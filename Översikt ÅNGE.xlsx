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45733</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45733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45733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45733</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45733</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45733</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45733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45733</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45733</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45733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45733</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45733</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45733</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45733</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45733</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45733</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45733</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45733</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45733</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45733</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45733</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45733</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45733</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45733</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45733</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45733</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45733</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45733</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45733</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45733</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45733</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45733</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45733</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45733</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45733</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45733</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45733</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45733</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45733</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45733</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45733</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45733</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45733</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45733</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45733</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45733</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45733</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45733</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45733</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45733</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45733</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45733</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45733</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45733</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45733</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45733</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45733</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45733</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45733</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45733</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45733</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45733</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45733</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45733</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45733</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45733</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45733</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45733</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45733</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45733</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45733</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45733</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45733</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45733</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45733</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45733</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45733</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45733</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45733</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45733</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45733</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45733</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45733</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45733</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45733</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45733</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45733</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45733</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45733</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45733</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45733</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45733</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45733</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45733</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45733</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45733</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45733</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45733</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45733</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45733</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45733</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45733</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45733</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45733</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45733</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45733</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45733</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45733</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45733</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45733</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45733</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45733</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45733</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45733</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45733</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45733</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45733</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45733</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45733</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45733</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45733</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45733</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45733</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45733</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45733</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45733</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45733</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45733</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45733</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45733</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45733</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45733</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45733</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45733</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45733</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45733</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45733</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45733</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45733</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45733</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45733</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45733</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45733</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45733</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45733</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HYPERLINK("https://klasma.github.io/Logging_2260/artfynd/A 11029-2025 artfynd.xlsx", "A 11029-2025")</f>
        <v/>
      </c>
      <c r="T146">
        <f>HYPERLINK("https://klasma.github.io/Logging_2260/kartor/A 11029-2025 karta.png", "A 11029-2025")</f>
        <v/>
      </c>
      <c r="U146">
        <f>HYPERLINK("https://klasma.github.io/Logging_2260/knärot/A 11029-2025 karta knärot.png", "A 11029-2025")</f>
        <v/>
      </c>
      <c r="V146">
        <f>HYPERLINK("https://klasma.github.io/Logging_2260/klagomål/A 11029-2025 FSC-klagomål.docx", "A 11029-2025")</f>
        <v/>
      </c>
      <c r="W146">
        <f>HYPERLINK("https://klasma.github.io/Logging_2260/klagomålsmail/A 11029-2025 FSC-klagomål mail.docx", "A 11029-2025")</f>
        <v/>
      </c>
      <c r="X146">
        <f>HYPERLINK("https://klasma.github.io/Logging_2260/tillsyn/A 11029-2025 tillsynsbegäran.docx", "A 11029-2025")</f>
        <v/>
      </c>
      <c r="Y146">
        <f>HYPERLINK("https://klasma.github.io/Logging_2260/tillsynsmail/A 11029-2025 tillsynsbegäran mail.docx", "A 11029-2025")</f>
        <v/>
      </c>
    </row>
    <row r="147" ht="15" customHeight="1">
      <c r="A147" t="inlineStr">
        <is>
          <t>A 15666-2021</t>
        </is>
      </c>
      <c r="B147" s="1" t="n">
        <v>44285</v>
      </c>
      <c r="C147" s="1" t="n">
        <v>45733</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45733</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45733</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45733</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45733</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45733</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45733</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45733</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45733</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45733</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45733</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45733</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45733</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45733</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45733</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45733</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45733</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45733</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45733</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45733</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45733</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45733</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45733</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45733</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45733</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45733</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45733</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45733</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45733</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45733</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45733</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45733</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45733</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45733</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45733</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45733</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45733</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45733</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45733</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45733</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45733</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45733</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45733</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45733</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45733</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45733</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45733</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45733</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45733</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45733</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45733</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45733</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45733</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45733</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45733</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45733</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45733</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45733</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45733</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45733</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45733</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45733</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45733</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45733</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45733</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45733</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45733</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45733</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45733</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45733</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45733</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45733</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45733</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45733</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45733</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45733</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45733</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45733</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45733</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45733</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45733</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45733</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45733</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45733</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45733</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45733</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45733</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45733</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45733</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45733</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45733</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45733</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45733</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45733</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45733</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45733</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45733</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45733</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45733</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45733</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45733</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45733</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45733</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45733</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45733</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45733</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45733</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45733</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45733</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45733</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45733</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45733</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45733</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45733</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45733</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45733</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45733</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45733</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45733</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45733</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45733</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45733</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45733</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45733</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45733</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45733</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45733</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45733</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45733</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45733</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45733</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45733</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45733</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45733</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45733</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45733</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45733</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45733</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45733</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45733</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45733</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45733</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45733</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45733</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45733</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45733</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45733</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45733</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45733</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45733</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45733</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45733</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45733</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45733</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45733</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45733</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45733</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45733</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45733</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45733</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45733</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45733</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45733</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45733</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45733</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HYPERLINK("https://klasma.github.io/Logging_2260/artfynd/A 10309-2025 artfynd.xlsx", "A 10309-2025")</f>
        <v/>
      </c>
      <c r="T311">
        <f>HYPERLINK("https://klasma.github.io/Logging_2260/kartor/A 10309-2025 karta.png", "A 10309-2025")</f>
        <v/>
      </c>
      <c r="V311">
        <f>HYPERLINK("https://klasma.github.io/Logging_2260/klagomål/A 10309-2025 FSC-klagomål.docx", "A 10309-2025")</f>
        <v/>
      </c>
      <c r="W311">
        <f>HYPERLINK("https://klasma.github.io/Logging_2260/klagomålsmail/A 10309-2025 FSC-klagomål mail.docx", "A 10309-2025")</f>
        <v/>
      </c>
      <c r="X311">
        <f>HYPERLINK("https://klasma.github.io/Logging_2260/tillsyn/A 10309-2025 tillsynsbegäran.docx", "A 10309-2025")</f>
        <v/>
      </c>
      <c r="Y311">
        <f>HYPERLINK("https://klasma.github.io/Logging_2260/tillsynsmail/A 10309-2025 tillsynsbegäran mail.docx", "A 10309-2025")</f>
        <v/>
      </c>
      <c r="Z311">
        <f>HYPERLINK("https://klasma.github.io/Logging_2260/fåglar/A 10309-2025 prioriterade fågelarter.docx", "A 10309-2025")</f>
        <v/>
      </c>
    </row>
    <row r="312" ht="15" customHeight="1">
      <c r="A312" t="inlineStr">
        <is>
          <t>A 17854-2019</t>
        </is>
      </c>
      <c r="B312" s="1" t="n">
        <v>43556</v>
      </c>
      <c r="C312" s="1" t="n">
        <v>45733</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45733</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45733</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45733</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45733</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45733</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45733</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45733</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45733</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45733</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45733</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45733</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45733</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45733</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45733</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45733</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45733</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45733</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45733</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45733</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45733</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45733</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45733</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45733</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45733</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45733</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45733</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45733</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45733</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45733</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45733</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45733</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45733</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45733</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45733</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45733</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45733</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45733</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45733</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45733</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45733</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45733</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45733</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45733</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45733</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45733</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45733</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45733</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45733</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45733</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45733</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45733</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45733</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45733</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45733</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45733</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45733</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45733</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45733</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45733</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45733</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45733</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45733</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45733</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45733</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45733</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45733</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45733</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45733</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45733</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45733</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45733</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45733</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45733</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45733</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45733</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45733</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45733</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45733</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45733</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45733</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45733</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45733</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45733</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45733</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45733</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45733</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45733</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45733</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45733</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45733</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45733</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45733</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45733</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45733</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45733</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45733</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45733</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45733</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45733</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45733</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45733</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45733</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45733</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45733</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45733</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45733</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45733</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45733</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45733</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45733</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45733</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45733</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45733</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45733</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45733</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45733</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45733</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45733</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45733</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45733</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45733</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45733</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45733</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45733</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45733</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45733</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45733</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45733</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45733</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45733</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45733</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45733</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45733</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45733</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45733</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45733</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45733</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45733</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45733</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45733</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45733</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45733</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45733</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45733</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45733</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45733</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45733</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45733</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45733</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45733</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45733</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45733</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45733</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45733</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45733</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45733</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45733</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45733</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45733</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45733</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45733</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45733</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45733</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45733</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45733</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45733</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45733</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45733</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45733</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45733</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45733</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45733</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45733</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45733</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45733</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45733</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45733</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45733</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45733</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45733</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45733</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45733</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45733</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45733</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45733</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45733</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45733</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45733</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45733</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45733</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45733</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45733</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45733</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45733</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45733</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45733</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45733</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45733</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45733</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45733</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45733</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45733</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45733</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45733</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45733</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45733</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45733</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45733</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45733</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45733</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45733</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45733</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45733</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45733</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45733</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45733</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45733</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45733</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45733</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45733</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45733</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45733</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45733</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45733</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45733</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45733</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45733</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45733</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45733</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45733</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45733</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45733</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45733</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45733</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45733</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45733</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45733</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45733</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45733</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45733</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45733</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45733</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45733</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45733</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45733</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45733</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45733</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45733</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45733</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45733</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45733</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45733</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45733</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45733</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45733</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45733</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45733</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45733</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45733</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45733</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45733</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45733</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45733</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45733</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45733</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45733</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45733</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45733</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45733</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45733</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45733</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45733</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45733</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45733</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45733</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45733</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45733</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45733</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45733</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45733</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45733</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45733</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45733</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45733</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45733</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45733</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45733</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45733</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45733</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45733</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45733</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45733</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45733</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45733</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45733</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45733</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45733</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45733</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45733</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45733</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45733</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45733</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45733</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45733</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45733</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45733</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45733</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45733</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45733</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45733</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45733</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45733</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45733</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45733</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45733</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45733</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45733</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45733</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45733</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45733</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45733</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45733</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45733</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45733</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45733</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45733</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45733</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45733</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45733</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45733</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45733</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45733</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45733</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45733</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45733</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45733</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45733</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45733</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45733</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45733</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45733</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45733</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45733</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45733</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45733</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45733</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45733</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45733</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45733</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45733</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45733</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45733</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45733</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45733</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45733</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45733</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45733</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45733</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45733</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45733</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45733</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45733</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45733</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45733</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45733</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45733</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45733</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45733</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45733</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45733</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45733</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45733</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45733</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45733</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45733</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45733</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45733</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45733</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45733</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45733</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45733</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45733</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45733</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45733</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45733</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45733</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45733</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45733</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45733</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45733</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45733</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45733</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45733</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45733</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45733</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45733</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45733</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45733</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45733</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45733</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45733</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45733</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45733</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45733</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45733</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45733</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45733</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45733</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45733</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45733</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45733</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45733</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45733</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45733</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45733</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45733</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45733</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45733</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45733</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45733</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45733</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45733</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45733</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45733</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45733</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45733</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45733</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45733</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45733</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45733</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45733</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45733</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45733</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45733</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45733</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45733</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45733</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45733</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45733</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45733</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45733</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45733</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45733</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45733</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45733</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45733</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45733</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45733</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45733</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45733</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45733</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45733</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45733</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45733</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45733</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45733</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45733</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45733</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45733</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45733</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45733</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45733</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45733</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45733</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45733</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45733</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45733</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45733</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45733</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45733</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45733</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45733</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45733</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45733</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45733</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45733</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45733</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45733</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45733</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45733</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45733</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45733</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45733</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45733</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45733</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45733</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45733</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45733</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45733</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45733</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45733</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45733</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45733</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45733</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45733</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45733</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45733</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45733</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45733</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45733</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45733</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45733</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45733</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45733</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45733</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45733</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45733</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45733</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45733</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45733</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45733</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45733</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45733</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45733</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45733</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45733</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45733</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45733</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45733</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45733</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45733</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45733</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45733</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45733</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45733</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45733</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45733</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45733</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45733</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45733</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45733</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45733</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45733</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45733</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45733</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45733</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45733</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45733</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45733</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45733</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45733</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45733</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45733</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45733</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45733</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45733</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45733</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45733</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45733</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45733</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45733</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45733</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45733</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45733</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45733</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45733</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45733</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45733</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45733</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45733</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45733</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45733</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45733</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45733</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45733</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45733</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45733</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45733</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45733</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45733</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45733</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45733</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45733</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45733</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45733</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45733</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45733</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45733</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45733</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45733</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45733</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45733</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45733</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45733</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45733</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45733</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45733</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45733</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45733</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45733</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45733</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45733</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45733</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45733</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45733</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45733</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45733</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45733</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45733</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45733</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45733</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45733</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45733</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45733</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45733</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45733</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45733</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45733</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45733</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45733</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45733</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45733</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45733</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45733</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45733</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45733</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45733</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45733</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45733</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45733</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45733</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45733</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45733</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45733</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45733</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45733</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45733</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45733</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45733</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45733</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45733</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45733</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45733</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45733</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45733</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45733</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45733</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45733</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45733</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45733</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45733</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45733</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45733</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45733</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45733</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45733</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45733</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45733</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45733</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45733</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45733</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45733</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45733</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45733</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45733</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45733</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45733</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45733</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45733</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45733</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45733</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45733</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45733</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45733</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45733</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45733</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45733</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45733</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45733</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45733</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45733</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45733</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45733</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45733</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45733</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45733</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45733</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45733</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45733</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45733</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45733</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45733</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45733</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45733</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45733</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45733</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45733</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45733</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45733</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45733</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45733</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45733</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45733</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45733</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45733</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45733</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45733</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45733</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45733</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45733</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45733</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45733</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45733</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45733</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45733</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45733</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45733</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45733</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45733</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45733</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45733</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45733</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45733</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45733</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45733</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45733</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45733</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45733</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45733</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45733</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45733</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45733</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45733</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45733</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45733</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45733</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45733</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45733</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45733</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45733</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45733</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45733</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45733</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45733</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45733</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45733</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45733</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45733</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45733</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45733</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45733</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45733</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45733</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45733</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45733</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45733</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45733</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45733</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45733</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45733</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45733</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45733</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45733</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45733</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45733</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45733</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45733</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45733</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45733</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45733</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45733</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45733</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45733</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45733</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45733</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45733</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45733</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45733</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45733</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45733</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45733</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45733</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45733</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45733</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45733</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45733</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45733</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45733</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45733</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45733</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45733</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45733</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45733</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45733</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45733</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45733</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45733</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45733</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45733</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45733</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45733</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45733</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45733</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45733</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45733</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45733</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45733</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45733</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45733</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45733</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45733</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45733</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45733</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45733</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45733</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45733</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45733</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45733</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45733</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45733</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45733</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45733</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45733</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45733</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45733</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45733</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45733</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45733</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45733</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45733</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45733</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45733</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45733</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45733</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45733</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45733</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45733</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45733</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45733</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45733</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45733</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45733</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45733</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45733</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45733</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45733</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45733</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45733</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45733</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45733</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45733</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45733</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45733</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45733</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45733</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45733</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45733</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45733</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45733</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45733</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45733</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45733</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45733</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45733</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45733</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45733</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45733</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45733</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45733</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45733</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45733</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45733</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45733</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45733</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45733</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45733</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45733</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45733</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45733</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45733</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45733</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45733</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45733</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45733</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45733</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45733</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45733</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45733</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45733</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45733</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45733</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45733</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45733</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45733</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45733</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45733</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45733</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45733</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45733</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45733</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45733</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45733</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45733</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45733</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45733</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45733</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45733</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45733</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45733</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45733</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45733</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45733</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45733</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45733</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45733</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45733</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45733</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45733</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45733</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45733</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45733</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45733</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45733</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45733</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45733</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45733</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45733</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45733</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45733</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45733</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45733</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45733</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45733</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45733</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45733</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45733</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45733</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45733</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45733</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45733</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45733</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45733</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45733</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45733</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45733</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45733</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45733</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45733</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45733</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45733</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45733</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45733</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45733</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45733</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45733</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45733</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45733</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45733</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45733</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45733</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45733</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45733</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45733</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45733</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45733</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45733</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45733</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45733</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45733</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45733</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45733</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45733</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45733</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45733</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45733</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45733</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45733</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45733</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45733</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45733</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45733</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45733</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45733</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45733</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45733</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45733</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45733</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45733</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45733</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45733</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45733</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45733</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45733</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45733</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45733</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45733</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45733</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45733</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45733</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45733</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45733</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45733</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45733</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45733</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45733</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45733</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45733</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45733</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45733</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45733</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45733</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45733</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45733</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45733</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45733</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45733</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45733</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45733</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45733</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45733</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45733</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45733</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45733</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45733</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45733</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45733</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45733</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45733</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45733</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45733</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45733</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45733</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45733</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45733</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45733</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45733</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45733</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45733</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45733</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45733</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45733</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45733</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45733</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45733</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45733</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45733</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45733</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45733</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45733</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45733</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45733</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45733</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45733</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45733</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45733</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45733</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45733</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45733</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45733</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45733</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45733</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45733</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45733</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45733</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45733</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45733</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45733</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45733</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45733</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45733</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45733</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45733</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45733</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45733</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45733</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45733</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45733</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45733</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45733</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45733</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45733</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45733</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45733</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45733</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45733</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45733</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45733</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45733</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45733</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45733</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45733</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45733</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45733</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45733</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45733</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45733</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45733</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45733</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45733</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45733</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45733</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45733</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45733</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45733</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45733</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45733</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45733</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45733</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45733</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45733</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45733</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45733</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45733</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45733</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45733</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45733</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45733</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45733</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45733</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45733</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45733</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45733</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45733</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45733</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45733</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45733</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45733</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45733</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45733</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45733</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45733</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45733</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45733</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45733</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45733</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45733</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45733</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45733</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45733</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45733</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45733</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45733</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45733</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45733</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45733</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45733</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45733</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45733</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45733</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45733</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45733</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45733</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45733</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45733</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45733</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45733</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45733</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45733</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45733</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45733</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45733</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45733</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45733</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45733</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45733</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45733</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45733</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45733</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45733</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45733</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45733</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45733</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45733</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45733</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45733</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45733</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45733</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45733</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45733</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45733</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45733</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45733</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45733</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45733</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45733</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45733</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45733</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45733</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45733</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45733</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45733</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45733</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45733</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45733</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45733</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45733</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45733</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45733</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45733</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45733</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45733</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45733</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45733</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45733</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45733</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45733</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45733</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45733</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45733</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45733</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45733</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45733</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45733</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45733</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45733</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45733</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45733</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45733</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45733</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45733</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45733</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45733</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45733</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45733</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45733</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45733</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45733</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45733</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45733</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45733</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45733</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45733</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45733</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45733</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45733</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45733</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45733</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45733</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45733</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45733</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45733</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45733</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45733</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45733</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45733</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45733</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45733</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45733</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45733</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45733</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45733</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45733</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45733</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45733</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45733</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45733</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45733</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45733</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45733</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45733</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45733</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45733</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45733</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45733</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45733</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45733</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45733</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45733</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45733</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45733</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45733</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45733</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45733</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45733</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45733</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45733</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45733</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45733</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45733</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45733</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45733</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45733</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45733</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45733</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45733</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45733</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45733</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45733</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45733</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45733</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45733</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45733</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45733</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45733</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45733</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45733</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45733</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45733</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45733</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45733</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45733</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45733</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45733</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45733</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45733</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45733</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45733</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45733</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45733</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45733</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45733</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45733</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45733</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45733</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45733</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45733</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45733</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45733</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45733</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45733</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45733</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45733</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45733</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45733</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45733</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45733</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45733</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45733</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45733</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45733</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45733</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45733</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45733</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45733</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45733</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45733</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45733</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45733</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45733</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45733</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45733</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45733</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45733</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45733</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45733</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45733</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45733</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45733</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45733</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45733</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45733</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45733</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45733</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45733</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45733</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45733</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45733</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45733</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45733</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45733</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45733</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45733</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45733</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45733</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45733</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45733</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45733</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45733</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45733</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45733</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45733</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45733</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45733</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45733</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45733</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45733</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45733</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45733</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45733</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45733</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45733</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45733</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45733</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45733</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45733</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45733</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45733</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45733</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45733</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45733</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45733</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45733</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45733</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45733</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45733</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45733</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45733</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45733</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45733</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45733</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45733</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45733</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45733</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45733</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45733</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45733</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45733</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45733</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45733</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45733</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45733</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45733</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45733</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45733</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45733</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45733</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45733</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45733</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45733</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45733</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45733</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45733</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45733</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45733</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45733</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45733</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45733</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45733</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45733</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45733</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45733</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45733</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45733</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45733</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45733</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45733</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45733</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45733</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45733</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45733</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45733</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45733</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45733</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45733</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45733</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45733</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45733</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45733</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45733</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45733</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45733</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45733</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45733</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45733</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45733</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45733</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45733</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45733</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45733</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45733</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45733</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45733</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45733</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45733</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45733</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45733</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45733</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45733</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45733</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45733</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45733</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45733</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45733</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45733</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45733</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45733</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45733</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45733</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45733</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45733</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45733</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45733</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45733</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45733</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45733</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45733</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45733</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45733</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45733</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45733</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45733</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45733</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45733</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45733</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45733</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45733</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45733</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45733</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45733</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45733</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45733</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45733</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45733</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45733</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45733</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45733</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45733</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45733</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45733</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45733</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45733</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45733</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45733</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45733</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45733</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45733</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45733</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45733</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45733</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45733</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45733</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45733</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45733</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45733</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45733</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45733</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45733</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45733</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45733</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45733</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45733</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45733</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45733</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45733</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45733</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45733</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45733</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45733</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45733</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45733</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45733</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45733</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45733</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45733</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45733</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45733</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45733</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45733</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45733</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45733</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45733</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45733</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45733</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45733</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45733</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45733</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45733</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45733</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45733</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45733</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45733</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45733</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45733</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45733</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45733</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45733</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45733</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45733</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45733</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45733</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45733</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45733</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45733</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45733</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45733</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45733</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45733</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45733</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45733</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45733</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45733</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45733</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45733</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45733</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45733</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45733</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45733</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45733</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45733</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45733</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45733</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45733</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45733</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45733</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45733</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45733</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45733</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45733</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45733</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45733</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45733</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45733</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45733</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45733</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45733</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45733</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45733</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45733</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45733</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45733</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45733</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45733</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45733</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45733</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45733</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45733</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45733</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45733</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45733</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45733</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45733</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45733</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45733</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45733</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45733</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45733</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45733</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45733</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45733</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45733</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45733</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45733</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45733</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45733</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45733</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45733</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45733</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45733</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45733</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45733</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45733</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45733</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45733</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45733</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45733</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45733</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45733</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45733</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45733</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45733</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45733</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45733</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45733</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45733</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45733</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45733</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45733</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45733</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45733</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45733</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45733</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45733</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45733</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45733</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45733</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45733</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45733</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45733</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45733</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45733</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45733</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45733</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45733</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45733</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45733</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45733</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45733</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45733</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45733</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45733</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45733</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45733</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45733</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45733</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45733</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45733</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45733</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45733</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45733</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45733</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45733</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45733</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45733</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45733</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45733</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45733</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45733</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45733</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45733</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45733</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45733</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45733</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45733</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45733</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45733</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45733</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45733</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45733</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45733</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45733</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45733</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45733</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45733</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45733</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45733</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45733</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45733</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45733</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45733</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45733</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45733</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45733</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45733</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45733</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45733</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45733</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45733</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45733</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45733</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45733</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45733</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45733</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45733</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45733</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45733</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45733</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45733</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45733</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45733</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45733</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45733</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45733</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45733</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45733</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45733</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45733</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45733</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45733</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45733</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45733</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45733</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45733</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45733</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45733</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45733</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45733</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45733</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45733</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45733</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45733</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45733</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45733</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45733</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45733</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45733</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45733</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45733</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45733</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45733</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45733</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45733</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45733</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45733</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45733</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45733</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45733</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45733</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45733</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45733</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45733</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45733</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45733</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45733</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45733</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45733</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45733</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45733</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45733</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45733</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45733</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45733</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45733</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45733</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45733</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45733</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45733</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45733</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45733</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45733</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45733</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45733</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45733</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45733</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45733</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45733</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45733</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45733</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45733</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45733</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45733</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45733</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45733</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45733</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45733</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45733</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45733</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45733</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45733</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45733</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45733</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45733</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45733</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45733</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45733</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45733</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45733</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45733</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45733</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45733</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45733</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45733</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45733</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45733</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45733</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45733</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45733</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45733</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45733</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45733</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45733</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45733</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45733</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45733</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45733</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45733</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45733</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45733</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45733</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45733</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45733</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45733</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45733</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45733</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45733</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45733</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45733</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45733</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45733</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45733</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45733</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45733</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45733</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45733</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45733</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45733</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45733</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45733</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45733</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45733</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45733</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45733</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45733</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45733</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45733</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45733</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45733</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45733</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45733</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45733</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45733</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45733</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45733</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45733</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45733</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45733</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45733</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45733</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45733</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45733</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45733</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45733</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45733</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45733</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45733</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45733</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45733</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45733</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45733</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45733</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45733</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45733</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45733</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45733</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45733</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45733</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45733</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45733</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45733</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45733</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45733</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45733</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45733</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45733</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45733</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45733</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45733</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45733</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45733</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45733</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45733</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45733</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45733</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45733</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45733</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45733</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45733</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45733</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45733</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45733</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45733</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45733</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45733</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45733</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45733</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45733</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45733</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45733</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45733</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45733</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45733</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45733</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45733</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45733</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45733</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45733</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45733</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45733</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45733</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45733</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45733</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45733</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45733</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45733</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45733</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45733</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45733</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45733</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45733</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45733</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45733</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45733</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45733</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45733</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45733</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45733</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45733</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45733</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45733</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45733</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45733</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45733</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45733</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45733</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45733</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45733</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45733</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45733</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45733</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45733</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45733</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45733</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45733</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45733</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45733</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45733</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45733</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45733</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45733</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45733</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45733</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45733</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45733</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45733</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45733</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45733</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45733</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45733</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45733</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45733</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45733</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45733</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45733</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45733</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45733</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45733</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45733</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45733</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45733</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45733</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45733</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45733</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45733</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45733</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45733</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45733</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45733</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45733</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45733</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45733</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45733</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45733</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45733</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45733</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45733</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45733</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45733</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45733</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45733</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45733</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45733</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45733</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45733</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45733</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45733</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45733</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45733</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45733</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45733</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45733</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45733</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45733</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45733</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45733</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45733</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45733</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45733</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45733</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45733</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45733</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45733</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45733</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45733</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45733</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45733</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45733</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45733</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45733</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45733</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45733</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45733</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45733</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45733</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45733</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6608-2025</t>
        </is>
      </c>
      <c r="B2366" s="1" t="n">
        <v>45700</v>
      </c>
      <c r="C2366" s="1" t="n">
        <v>45733</v>
      </c>
      <c r="D2366" t="inlineStr">
        <is>
          <t>VÄSTERNORRLANDS LÄN</t>
        </is>
      </c>
      <c r="E2366" t="inlineStr">
        <is>
          <t>ÅNGE</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6610-2025</t>
        </is>
      </c>
      <c r="B2367" s="1" t="n">
        <v>45700</v>
      </c>
      <c r="C2367" s="1" t="n">
        <v>45733</v>
      </c>
      <c r="D2367" t="inlineStr">
        <is>
          <t>VÄSTERNORRLANDS LÄN</t>
        </is>
      </c>
      <c r="E2367" t="inlineStr">
        <is>
          <t>ÅNGE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7444-2025</t>
        </is>
      </c>
      <c r="B2368" s="1" t="n">
        <v>45705</v>
      </c>
      <c r="C2368" s="1" t="n">
        <v>45733</v>
      </c>
      <c r="D2368" t="inlineStr">
        <is>
          <t>VÄSTERNORRLANDS LÄN</t>
        </is>
      </c>
      <c r="E2368" t="inlineStr">
        <is>
          <t>ÅNGE</t>
        </is>
      </c>
      <c r="F2368" t="inlineStr">
        <is>
          <t>SCA</t>
        </is>
      </c>
      <c r="G2368" t="n">
        <v>9.5</v>
      </c>
      <c r="H2368" t="n">
        <v>0</v>
      </c>
      <c r="I2368" t="n">
        <v>0</v>
      </c>
      <c r="J2368" t="n">
        <v>0</v>
      </c>
      <c r="K2368" t="n">
        <v>0</v>
      </c>
      <c r="L2368" t="n">
        <v>0</v>
      </c>
      <c r="M2368" t="n">
        <v>0</v>
      </c>
      <c r="N2368" t="n">
        <v>0</v>
      </c>
      <c r="O2368" t="n">
        <v>0</v>
      </c>
      <c r="P2368" t="n">
        <v>0</v>
      </c>
      <c r="Q2368" t="n">
        <v>0</v>
      </c>
      <c r="R2368" s="2" t="inlineStr"/>
    </row>
    <row r="2369" ht="15" customHeight="1">
      <c r="A2369" t="inlineStr">
        <is>
          <t>A 7571-2025</t>
        </is>
      </c>
      <c r="B2369" s="1" t="n">
        <v>45705</v>
      </c>
      <c r="C2369" s="1" t="n">
        <v>45733</v>
      </c>
      <c r="D2369" t="inlineStr">
        <is>
          <t>VÄSTERNORRLANDS LÄN</t>
        </is>
      </c>
      <c r="E2369" t="inlineStr">
        <is>
          <t>ÅNGE</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45733</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8648-2025</t>
        </is>
      </c>
      <c r="B2371" s="1" t="n">
        <v>45712</v>
      </c>
      <c r="C2371" s="1" t="n">
        <v>45733</v>
      </c>
      <c r="D2371" t="inlineStr">
        <is>
          <t>VÄSTERNORRLANDS LÄN</t>
        </is>
      </c>
      <c r="E2371" t="inlineStr">
        <is>
          <t>ÅNGE</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8778-2025</t>
        </is>
      </c>
      <c r="B2372" s="1" t="n">
        <v>45712</v>
      </c>
      <c r="C2372" s="1" t="n">
        <v>45733</v>
      </c>
      <c r="D2372" t="inlineStr">
        <is>
          <t>VÄSTERNORRLANDS LÄN</t>
        </is>
      </c>
      <c r="E2372" t="inlineStr">
        <is>
          <t>ÅNGE</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45733</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9382-2025</t>
        </is>
      </c>
      <c r="B2374" s="1" t="n">
        <v>45715</v>
      </c>
      <c r="C2374" s="1" t="n">
        <v>45733</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9605-2025</t>
        </is>
      </c>
      <c r="B2375" s="1" t="n">
        <v>45715</v>
      </c>
      <c r="C2375" s="1" t="n">
        <v>45733</v>
      </c>
      <c r="D2375" t="inlineStr">
        <is>
          <t>VÄSTERNORRLANDS LÄN</t>
        </is>
      </c>
      <c r="E2375" t="inlineStr">
        <is>
          <t>ÅNGE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45733</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45733</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10282-2025</t>
        </is>
      </c>
      <c r="B2378" s="1" t="n">
        <v>45720</v>
      </c>
      <c r="C2378" s="1" t="n">
        <v>45733</v>
      </c>
      <c r="D2378" t="inlineStr">
        <is>
          <t>VÄSTERNORRLANDS LÄN</t>
        </is>
      </c>
      <c r="E2378" t="inlineStr">
        <is>
          <t>ÅNGE</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10310-2025</t>
        </is>
      </c>
      <c r="B2379" s="1" t="n">
        <v>45720</v>
      </c>
      <c r="C2379" s="1" t="n">
        <v>45733</v>
      </c>
      <c r="D2379" t="inlineStr">
        <is>
          <t>VÄSTERNORRLANDS LÄN</t>
        </is>
      </c>
      <c r="E2379" t="inlineStr">
        <is>
          <t>ÅNGE</t>
        </is>
      </c>
      <c r="F2379" t="inlineStr">
        <is>
          <t>SCA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10339-2025</t>
        </is>
      </c>
      <c r="B2380" s="1" t="n">
        <v>45720</v>
      </c>
      <c r="C2380" s="1" t="n">
        <v>45733</v>
      </c>
      <c r="D2380" t="inlineStr">
        <is>
          <t>VÄSTERNORRLANDS LÄN</t>
        </is>
      </c>
      <c r="E2380" t="inlineStr">
        <is>
          <t>ÅNGE</t>
        </is>
      </c>
      <c r="F2380" t="inlineStr">
        <is>
          <t>SCA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10518-2025</t>
        </is>
      </c>
      <c r="B2381" s="1" t="n">
        <v>45721</v>
      </c>
      <c r="C2381" s="1" t="n">
        <v>45733</v>
      </c>
      <c r="D2381" t="inlineStr">
        <is>
          <t>VÄSTERNORRLANDS LÄN</t>
        </is>
      </c>
      <c r="E2381" t="inlineStr">
        <is>
          <t>ÅNGE</t>
        </is>
      </c>
      <c r="F2381" t="inlineStr">
        <is>
          <t>SCA</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10528-2025</t>
        </is>
      </c>
      <c r="B2382" s="1" t="n">
        <v>45721</v>
      </c>
      <c r="C2382" s="1" t="n">
        <v>45733</v>
      </c>
      <c r="D2382" t="inlineStr">
        <is>
          <t>VÄSTERNORRLANDS LÄN</t>
        </is>
      </c>
      <c r="E2382" t="inlineStr">
        <is>
          <t>ÅNGE</t>
        </is>
      </c>
      <c r="F2382" t="inlineStr">
        <is>
          <t>SCA</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11032-2025</t>
        </is>
      </c>
      <c r="B2383" s="1" t="n">
        <v>45723</v>
      </c>
      <c r="C2383" s="1" t="n">
        <v>45733</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11370-2025</t>
        </is>
      </c>
      <c r="B2384" s="1" t="n">
        <v>45726</v>
      </c>
      <c r="C2384" s="1" t="n">
        <v>45733</v>
      </c>
      <c r="D2384" t="inlineStr">
        <is>
          <t>VÄSTERNORRLANDS LÄN</t>
        </is>
      </c>
      <c r="E2384" t="inlineStr">
        <is>
          <t>ÅNGE</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11399-2025</t>
        </is>
      </c>
      <c r="B2385" s="1" t="n">
        <v>45726</v>
      </c>
      <c r="C2385" s="1" t="n">
        <v>45733</v>
      </c>
      <c r="D2385" t="inlineStr">
        <is>
          <t>VÄSTERNORRLANDS LÄN</t>
        </is>
      </c>
      <c r="E2385" t="inlineStr">
        <is>
          <t>ÅNGE</t>
        </is>
      </c>
      <c r="F2385" t="inlineStr">
        <is>
          <t>SCA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11882-2025</t>
        </is>
      </c>
      <c r="B2386" s="1" t="n">
        <v>45728</v>
      </c>
      <c r="C2386" s="1" t="n">
        <v>45733</v>
      </c>
      <c r="D2386" t="inlineStr">
        <is>
          <t>VÄSTERNORRLANDS LÄN</t>
        </is>
      </c>
      <c r="E2386" t="inlineStr">
        <is>
          <t>ÅNGE</t>
        </is>
      </c>
      <c r="F2386" t="inlineStr">
        <is>
          <t>SCA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11978-2025</t>
        </is>
      </c>
      <c r="B2387" s="1" t="n">
        <v>45728</v>
      </c>
      <c r="C2387" s="1" t="n">
        <v>45733</v>
      </c>
      <c r="D2387" t="inlineStr">
        <is>
          <t>VÄSTERNORRLANDS LÄN</t>
        </is>
      </c>
      <c r="E2387" t="inlineStr">
        <is>
          <t>ÅNGE</t>
        </is>
      </c>
      <c r="F2387" t="inlineStr">
        <is>
          <t>SCA</t>
        </is>
      </c>
      <c r="G2387" t="n">
        <v>10.4</v>
      </c>
      <c r="H2387" t="n">
        <v>0</v>
      </c>
      <c r="I2387" t="n">
        <v>0</v>
      </c>
      <c r="J2387" t="n">
        <v>0</v>
      </c>
      <c r="K2387" t="n">
        <v>0</v>
      </c>
      <c r="L2387" t="n">
        <v>0</v>
      </c>
      <c r="M2387" t="n">
        <v>0</v>
      </c>
      <c r="N2387" t="n">
        <v>0</v>
      </c>
      <c r="O2387" t="n">
        <v>0</v>
      </c>
      <c r="P2387" t="n">
        <v>0</v>
      </c>
      <c r="Q2387" t="n">
        <v>0</v>
      </c>
      <c r="R2387" s="2" t="inlineStr"/>
    </row>
    <row r="2388" ht="15" customHeight="1">
      <c r="A2388" t="inlineStr">
        <is>
          <t>A 12051-2025</t>
        </is>
      </c>
      <c r="B2388" s="1" t="n">
        <v>45728</v>
      </c>
      <c r="C2388" s="1" t="n">
        <v>45733</v>
      </c>
      <c r="D2388" t="inlineStr">
        <is>
          <t>VÄSTERNORRLANDS LÄN</t>
        </is>
      </c>
      <c r="E2388" t="inlineStr">
        <is>
          <t>ÅNGE</t>
        </is>
      </c>
      <c r="F2388" t="inlineStr">
        <is>
          <t>SCA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11871-2025</t>
        </is>
      </c>
      <c r="B2389" s="1" t="n">
        <v>45728</v>
      </c>
      <c r="C2389" s="1" t="n">
        <v>45733</v>
      </c>
      <c r="D2389" t="inlineStr">
        <is>
          <t>VÄSTERNORRLANDS LÄN</t>
        </is>
      </c>
      <c r="E2389" t="inlineStr">
        <is>
          <t>ÅNGE</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12103-2025</t>
        </is>
      </c>
      <c r="B2390" s="1" t="n">
        <v>45729</v>
      </c>
      <c r="C2390" s="1" t="n">
        <v>45733</v>
      </c>
      <c r="D2390" t="inlineStr">
        <is>
          <t>VÄSTERNORRLANDS LÄN</t>
        </is>
      </c>
      <c r="E2390" t="inlineStr">
        <is>
          <t>ÅNGE</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12399-2025</t>
        </is>
      </c>
      <c r="B2391" s="1" t="n">
        <v>45730</v>
      </c>
      <c r="C2391" s="1" t="n">
        <v>45733</v>
      </c>
      <c r="D2391" t="inlineStr">
        <is>
          <t>VÄSTERNORRLANDS LÄN</t>
        </is>
      </c>
      <c r="E2391" t="inlineStr">
        <is>
          <t>ÅNGE</t>
        </is>
      </c>
      <c r="F2391" t="inlineStr">
        <is>
          <t>SCA</t>
        </is>
      </c>
      <c r="G2391" t="n">
        <v>10.1</v>
      </c>
      <c r="H2391" t="n">
        <v>0</v>
      </c>
      <c r="I2391" t="n">
        <v>0</v>
      </c>
      <c r="J2391" t="n">
        <v>0</v>
      </c>
      <c r="K2391" t="n">
        <v>0</v>
      </c>
      <c r="L2391" t="n">
        <v>0</v>
      </c>
      <c r="M2391" t="n">
        <v>0</v>
      </c>
      <c r="N2391" t="n">
        <v>0</v>
      </c>
      <c r="O2391" t="n">
        <v>0</v>
      </c>
      <c r="P2391" t="n">
        <v>0</v>
      </c>
      <c r="Q2391" t="n">
        <v>0</v>
      </c>
      <c r="R2391" s="2" t="inlineStr"/>
    </row>
    <row r="2392">
      <c r="A2392" t="inlineStr">
        <is>
          <t>A 12493-2025</t>
        </is>
      </c>
      <c r="B2392" s="1" t="n">
        <v>45730</v>
      </c>
      <c r="C2392" s="1" t="n">
        <v>45733</v>
      </c>
      <c r="D2392" t="inlineStr">
        <is>
          <t>VÄSTERNORRLANDS LÄN</t>
        </is>
      </c>
      <c r="E2392" t="inlineStr">
        <is>
          <t>ÅNGE</t>
        </is>
      </c>
      <c r="F2392" t="inlineStr">
        <is>
          <t>SCA</t>
        </is>
      </c>
      <c r="G2392" t="n">
        <v>9.1</v>
      </c>
      <c r="H2392" t="n">
        <v>0</v>
      </c>
      <c r="I2392" t="n">
        <v>0</v>
      </c>
      <c r="J2392" t="n">
        <v>0</v>
      </c>
      <c r="K2392" t="n">
        <v>0</v>
      </c>
      <c r="L2392" t="n">
        <v>0</v>
      </c>
      <c r="M2392" t="n">
        <v>0</v>
      </c>
      <c r="N2392" t="n">
        <v>0</v>
      </c>
      <c r="O2392" t="n">
        <v>0</v>
      </c>
      <c r="P2392" t="n">
        <v>0</v>
      </c>
      <c r="Q2392" t="n">
        <v>0</v>
      </c>
      <c r="R2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2025-03-17T17:11:36Z</dcterms:created>
  <dcterms:modified xmlns:dcterms="http://purl.org/dc/terms/" xmlns:xsi="http://www.w3.org/2001/XMLSchema-instance" xsi:type="dcterms:W3CDTF">2025-03-17T17:11:38Z</dcterms:modified>
</cp:coreProperties>
</file>