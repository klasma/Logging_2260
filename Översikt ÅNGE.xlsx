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45574</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45574</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45574</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45574</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45574</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45574</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45574</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45574</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45574</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45574</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45574</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45574</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45574</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45574</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45574</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45574</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45574</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45574</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45574</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45574</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45574</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45574</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45574</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45574</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45574</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45574</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45574</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45574</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45574</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45574</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45574</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45574</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45574</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45574</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45574</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45574</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45574</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45574</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45574</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45574</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45574</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45574</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45574</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45574</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45574</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45574</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45574</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45574</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45574</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45574</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45574</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45574</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45574</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45574</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45574</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45574</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45574</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45574</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45574</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45574</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45574</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45574</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45574</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45574</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45574</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45574</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45574</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45574</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45574</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45574</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45574</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45574</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45574</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45574</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45574</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45574</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45574</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45574</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45574</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45574</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45574</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45574</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45574</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45574</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45574</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45574</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45574</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45574</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45574</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45574</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45574</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45574</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45574</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45574</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45574</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45574</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45574</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45574</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45574</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45574</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26240-2019</t>
        </is>
      </c>
      <c r="B108" s="1" t="n">
        <v>43609</v>
      </c>
      <c r="C108" s="1" t="n">
        <v>45574</v>
      </c>
      <c r="D108" t="inlineStr">
        <is>
          <t>VÄSTERNORRLANDS LÄN</t>
        </is>
      </c>
      <c r="E108" t="inlineStr">
        <is>
          <t>ÅNGE</t>
        </is>
      </c>
      <c r="F108" t="inlineStr">
        <is>
          <t>SCA</t>
        </is>
      </c>
      <c r="G108" t="n">
        <v>15.8</v>
      </c>
      <c r="H108" t="n">
        <v>1</v>
      </c>
      <c r="I108" t="n">
        <v>0</v>
      </c>
      <c r="J108" t="n">
        <v>4</v>
      </c>
      <c r="K108" t="n">
        <v>0</v>
      </c>
      <c r="L108" t="n">
        <v>0</v>
      </c>
      <c r="M108" t="n">
        <v>0</v>
      </c>
      <c r="N108" t="n">
        <v>0</v>
      </c>
      <c r="O108" t="n">
        <v>4</v>
      </c>
      <c r="P108" t="n">
        <v>0</v>
      </c>
      <c r="Q108" t="n">
        <v>4</v>
      </c>
      <c r="R108" s="2" t="inlineStr">
        <is>
          <t>Garnlav
Kolflarnlav
Reliktbock
Tretåig hackspett</t>
        </is>
      </c>
      <c r="S108">
        <f>HYPERLINK("https://klasma.github.io/Logging_2260/artfynd/A 26240-2019 artfynd.xlsx", "A 26240-2019")</f>
        <v/>
      </c>
      <c r="T108">
        <f>HYPERLINK("https://klasma.github.io/Logging_2260/kartor/A 26240-2019 karta.png", "A 26240-2019")</f>
        <v/>
      </c>
      <c r="V108">
        <f>HYPERLINK("https://klasma.github.io/Logging_2260/klagomål/A 26240-2019 FSC-klagomål.docx", "A 26240-2019")</f>
        <v/>
      </c>
      <c r="W108">
        <f>HYPERLINK("https://klasma.github.io/Logging_2260/klagomålsmail/A 26240-2019 FSC-klagomål mail.docx", "A 26240-2019")</f>
        <v/>
      </c>
      <c r="X108">
        <f>HYPERLINK("https://klasma.github.io/Logging_2260/tillsyn/A 26240-2019 tillsynsbegäran.docx", "A 26240-2019")</f>
        <v/>
      </c>
      <c r="Y108">
        <f>HYPERLINK("https://klasma.github.io/Logging_2260/tillsynsmail/A 26240-2019 tillsynsbegäran mail.docx", "A 26240-2019")</f>
        <v/>
      </c>
      <c r="Z108">
        <f>HYPERLINK("https://klasma.github.io/Logging_2260/fåglar/A 26240-2019 prioriterade fågelarter.docx", "A 26240-2019")</f>
        <v/>
      </c>
    </row>
    <row r="109" ht="15" customHeight="1">
      <c r="A109" t="inlineStr">
        <is>
          <t>A 53169-2020</t>
        </is>
      </c>
      <c r="B109" s="1" t="n">
        <v>44120</v>
      </c>
      <c r="C109" s="1" t="n">
        <v>45574</v>
      </c>
      <c r="D109" t="inlineStr">
        <is>
          <t>VÄSTERNORRLANDS LÄN</t>
        </is>
      </c>
      <c r="E109" t="inlineStr">
        <is>
          <t>ÅNGE</t>
        </is>
      </c>
      <c r="F109" t="inlineStr">
        <is>
          <t>SCA</t>
        </is>
      </c>
      <c r="G109" t="n">
        <v>6.4</v>
      </c>
      <c r="H109" t="n">
        <v>2</v>
      </c>
      <c r="I109" t="n">
        <v>1</v>
      </c>
      <c r="J109" t="n">
        <v>2</v>
      </c>
      <c r="K109" t="n">
        <v>1</v>
      </c>
      <c r="L109" t="n">
        <v>0</v>
      </c>
      <c r="M109" t="n">
        <v>0</v>
      </c>
      <c r="N109" t="n">
        <v>0</v>
      </c>
      <c r="O109" t="n">
        <v>3</v>
      </c>
      <c r="P109" t="n">
        <v>1</v>
      </c>
      <c r="Q109" t="n">
        <v>4</v>
      </c>
      <c r="R109" s="2" t="inlineStr">
        <is>
          <t>Långskägg
Garnlav
Lunglav
Korallrot</t>
        </is>
      </c>
      <c r="S109">
        <f>HYPERLINK("https://klasma.github.io/Logging_2260/artfynd/A 53169-2020 artfynd.xlsx", "A 53169-2020")</f>
        <v/>
      </c>
      <c r="T109">
        <f>HYPERLINK("https://klasma.github.io/Logging_2260/kartor/A 53169-2020 karta.png", "A 53169-2020")</f>
        <v/>
      </c>
      <c r="V109">
        <f>HYPERLINK("https://klasma.github.io/Logging_2260/klagomål/A 53169-2020 FSC-klagomål.docx", "A 53169-2020")</f>
        <v/>
      </c>
      <c r="W109">
        <f>HYPERLINK("https://klasma.github.io/Logging_2260/klagomålsmail/A 53169-2020 FSC-klagomål mail.docx", "A 53169-2020")</f>
        <v/>
      </c>
      <c r="X109">
        <f>HYPERLINK("https://klasma.github.io/Logging_2260/tillsyn/A 53169-2020 tillsynsbegäran.docx", "A 53169-2020")</f>
        <v/>
      </c>
      <c r="Y109">
        <f>HYPERLINK("https://klasma.github.io/Logging_2260/tillsynsmail/A 53169-2020 tillsynsbegäran mail.docx", "A 53169-2020")</f>
        <v/>
      </c>
    </row>
    <row r="110" ht="15" customHeight="1">
      <c r="A110" t="inlineStr">
        <is>
          <t>A 29095-2021</t>
        </is>
      </c>
      <c r="B110" s="1" t="n">
        <v>44358</v>
      </c>
      <c r="C110" s="1" t="n">
        <v>45574</v>
      </c>
      <c r="D110" t="inlineStr">
        <is>
          <t>VÄSTERNORRLANDS LÄN</t>
        </is>
      </c>
      <c r="E110" t="inlineStr">
        <is>
          <t>ÅNGE</t>
        </is>
      </c>
      <c r="F110" t="inlineStr">
        <is>
          <t>Sveaskog</t>
        </is>
      </c>
      <c r="G110" t="n">
        <v>5</v>
      </c>
      <c r="H110" t="n">
        <v>3</v>
      </c>
      <c r="I110" t="n">
        <v>1</v>
      </c>
      <c r="J110" t="n">
        <v>1</v>
      </c>
      <c r="K110" t="n">
        <v>0</v>
      </c>
      <c r="L110" t="n">
        <v>0</v>
      </c>
      <c r="M110" t="n">
        <v>0</v>
      </c>
      <c r="N110" t="n">
        <v>0</v>
      </c>
      <c r="O110" t="n">
        <v>1</v>
      </c>
      <c r="P110" t="n">
        <v>0</v>
      </c>
      <c r="Q110" t="n">
        <v>4</v>
      </c>
      <c r="R110" s="2" t="inlineStr">
        <is>
          <t>Garnlav
Plattlummer
Nattviol
Revlummer</t>
        </is>
      </c>
      <c r="S110">
        <f>HYPERLINK("https://klasma.github.io/Logging_2260/artfynd/A 29095-2021 artfynd.xlsx", "A 29095-2021")</f>
        <v/>
      </c>
      <c r="T110">
        <f>HYPERLINK("https://klasma.github.io/Logging_2260/kartor/A 29095-2021 karta.png", "A 29095-2021")</f>
        <v/>
      </c>
      <c r="V110">
        <f>HYPERLINK("https://klasma.github.io/Logging_2260/klagomål/A 29095-2021 FSC-klagomål.docx", "A 29095-2021")</f>
        <v/>
      </c>
      <c r="W110">
        <f>HYPERLINK("https://klasma.github.io/Logging_2260/klagomålsmail/A 29095-2021 FSC-klagomål mail.docx", "A 29095-2021")</f>
        <v/>
      </c>
      <c r="X110">
        <f>HYPERLINK("https://klasma.github.io/Logging_2260/tillsyn/A 29095-2021 tillsynsbegäran.docx", "A 29095-2021")</f>
        <v/>
      </c>
      <c r="Y110">
        <f>HYPERLINK("https://klasma.github.io/Logging_2260/tillsynsmail/A 29095-2021 tillsynsbegäran mail.docx", "A 29095-2021")</f>
        <v/>
      </c>
    </row>
    <row r="111" ht="15" customHeight="1">
      <c r="A111" t="inlineStr">
        <is>
          <t>A 21878-2022</t>
        </is>
      </c>
      <c r="B111" s="1" t="n">
        <v>44711</v>
      </c>
      <c r="C111" s="1" t="n">
        <v>45574</v>
      </c>
      <c r="D111" t="inlineStr">
        <is>
          <t>VÄSTERNORRLANDS LÄN</t>
        </is>
      </c>
      <c r="E111" t="inlineStr">
        <is>
          <t>ÅNGE</t>
        </is>
      </c>
      <c r="F111" t="inlineStr">
        <is>
          <t>Holmen skog AB</t>
        </is>
      </c>
      <c r="G111" t="n">
        <v>10.4</v>
      </c>
      <c r="H111" t="n">
        <v>0</v>
      </c>
      <c r="I111" t="n">
        <v>2</v>
      </c>
      <c r="J111" t="n">
        <v>2</v>
      </c>
      <c r="K111" t="n">
        <v>0</v>
      </c>
      <c r="L111" t="n">
        <v>0</v>
      </c>
      <c r="M111" t="n">
        <v>0</v>
      </c>
      <c r="N111" t="n">
        <v>0</v>
      </c>
      <c r="O111" t="n">
        <v>2</v>
      </c>
      <c r="P111" t="n">
        <v>0</v>
      </c>
      <c r="Q111" t="n">
        <v>4</v>
      </c>
      <c r="R111" s="2" t="inlineStr">
        <is>
          <t>Lunglav
Småflikig brosklav
Korallblylav
Robust tickgnagare</t>
        </is>
      </c>
      <c r="S111">
        <f>HYPERLINK("https://klasma.github.io/Logging_2260/artfynd/A 21878-2022 artfynd.xlsx", "A 21878-2022")</f>
        <v/>
      </c>
      <c r="T111">
        <f>HYPERLINK("https://klasma.github.io/Logging_2260/kartor/A 21878-2022 karta.png", "A 21878-2022")</f>
        <v/>
      </c>
      <c r="V111">
        <f>HYPERLINK("https://klasma.github.io/Logging_2260/klagomål/A 21878-2022 FSC-klagomål.docx", "A 21878-2022")</f>
        <v/>
      </c>
      <c r="W111">
        <f>HYPERLINK("https://klasma.github.io/Logging_2260/klagomålsmail/A 21878-2022 FSC-klagomål mail.docx", "A 21878-2022")</f>
        <v/>
      </c>
      <c r="X111">
        <f>HYPERLINK("https://klasma.github.io/Logging_2260/tillsyn/A 21878-2022 tillsynsbegäran.docx", "A 21878-2022")</f>
        <v/>
      </c>
      <c r="Y111">
        <f>HYPERLINK("https://klasma.github.io/Logging_2260/tillsynsmail/A 21878-2022 tillsynsbegäran mail.docx", "A 21878-2022")</f>
        <v/>
      </c>
    </row>
    <row r="112" ht="15" customHeight="1">
      <c r="A112" t="inlineStr">
        <is>
          <t>A 26112-2022</t>
        </is>
      </c>
      <c r="B112" s="1" t="n">
        <v>44734</v>
      </c>
      <c r="C112" s="1" t="n">
        <v>45574</v>
      </c>
      <c r="D112" t="inlineStr">
        <is>
          <t>VÄSTERNORRLANDS LÄN</t>
        </is>
      </c>
      <c r="E112" t="inlineStr">
        <is>
          <t>ÅNGE</t>
        </is>
      </c>
      <c r="G112" t="n">
        <v>29.4</v>
      </c>
      <c r="H112" t="n">
        <v>0</v>
      </c>
      <c r="I112" t="n">
        <v>1</v>
      </c>
      <c r="J112" t="n">
        <v>2</v>
      </c>
      <c r="K112" t="n">
        <v>1</v>
      </c>
      <c r="L112" t="n">
        <v>0</v>
      </c>
      <c r="M112" t="n">
        <v>0</v>
      </c>
      <c r="N112" t="n">
        <v>0</v>
      </c>
      <c r="O112" t="n">
        <v>3</v>
      </c>
      <c r="P112" t="n">
        <v>1</v>
      </c>
      <c r="Q112" t="n">
        <v>4</v>
      </c>
      <c r="R112" s="2" t="inlineStr">
        <is>
          <t>Liten hornflikmossa
Mörk kolflarnlav
Vedtrappmossa
Dropptaggsvamp</t>
        </is>
      </c>
      <c r="S112">
        <f>HYPERLINK("https://klasma.github.io/Logging_2260/artfynd/A 26112-2022 artfynd.xlsx", "A 26112-2022")</f>
        <v/>
      </c>
      <c r="T112">
        <f>HYPERLINK("https://klasma.github.io/Logging_2260/kartor/A 26112-2022 karta.png", "A 26112-2022")</f>
        <v/>
      </c>
      <c r="V112">
        <f>HYPERLINK("https://klasma.github.io/Logging_2260/klagomål/A 26112-2022 FSC-klagomål.docx", "A 26112-2022")</f>
        <v/>
      </c>
      <c r="W112">
        <f>HYPERLINK("https://klasma.github.io/Logging_2260/klagomålsmail/A 26112-2022 FSC-klagomål mail.docx", "A 26112-2022")</f>
        <v/>
      </c>
      <c r="X112">
        <f>HYPERLINK("https://klasma.github.io/Logging_2260/tillsyn/A 26112-2022 tillsynsbegäran.docx", "A 26112-2022")</f>
        <v/>
      </c>
      <c r="Y112">
        <f>HYPERLINK("https://klasma.github.io/Logging_2260/tillsynsmail/A 26112-2022 tillsynsbegäran mail.docx", "A 26112-2022")</f>
        <v/>
      </c>
    </row>
    <row r="113" ht="15" customHeight="1">
      <c r="A113" t="inlineStr">
        <is>
          <t>A 57299-2022</t>
        </is>
      </c>
      <c r="B113" s="1" t="n">
        <v>44895</v>
      </c>
      <c r="C113" s="1" t="n">
        <v>45574</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46548-2023</t>
        </is>
      </c>
      <c r="B114" s="1" t="n">
        <v>45197</v>
      </c>
      <c r="C114" s="1" t="n">
        <v>45574</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54810-2023</t>
        </is>
      </c>
      <c r="B115" s="1" t="n">
        <v>45236</v>
      </c>
      <c r="C115" s="1" t="n">
        <v>45574</v>
      </c>
      <c r="D115" t="inlineStr">
        <is>
          <t>VÄSTERNORRLANDS LÄN</t>
        </is>
      </c>
      <c r="E115" t="inlineStr">
        <is>
          <t>ÅNGE</t>
        </is>
      </c>
      <c r="G115" t="n">
        <v>1.2</v>
      </c>
      <c r="H115" t="n">
        <v>1</v>
      </c>
      <c r="I115" t="n">
        <v>0</v>
      </c>
      <c r="J115" t="n">
        <v>1</v>
      </c>
      <c r="K115" t="n">
        <v>1</v>
      </c>
      <c r="L115" t="n">
        <v>2</v>
      </c>
      <c r="M115" t="n">
        <v>0</v>
      </c>
      <c r="N115" t="n">
        <v>0</v>
      </c>
      <c r="O115" t="n">
        <v>4</v>
      </c>
      <c r="P115" t="n">
        <v>3</v>
      </c>
      <c r="Q115" t="n">
        <v>4</v>
      </c>
      <c r="R115" s="2" t="inlineStr">
        <is>
          <t>Mikroskapania
Timmerskapania
Liten hornflikmossa
Vedtrappmossa</t>
        </is>
      </c>
      <c r="S115">
        <f>HYPERLINK("https://klasma.github.io/Logging_2260/artfynd/A 54810-2023 artfynd.xlsx", "A 54810-2023")</f>
        <v/>
      </c>
      <c r="T115">
        <f>HYPERLINK("https://klasma.github.io/Logging_2260/kartor/A 54810-2023 karta.png", "A 54810-2023")</f>
        <v/>
      </c>
      <c r="V115">
        <f>HYPERLINK("https://klasma.github.io/Logging_2260/klagomål/A 54810-2023 FSC-klagomål.docx", "A 54810-2023")</f>
        <v/>
      </c>
      <c r="W115">
        <f>HYPERLINK("https://klasma.github.io/Logging_2260/klagomålsmail/A 54810-2023 FSC-klagomål mail.docx", "A 54810-2023")</f>
        <v/>
      </c>
      <c r="X115">
        <f>HYPERLINK("https://klasma.github.io/Logging_2260/tillsyn/A 54810-2023 tillsynsbegäran.docx", "A 54810-2023")</f>
        <v/>
      </c>
      <c r="Y115">
        <f>HYPERLINK("https://klasma.github.io/Logging_2260/tillsynsmail/A 54810-2023 tillsynsbegäran mail.docx", "A 54810-2023")</f>
        <v/>
      </c>
    </row>
    <row r="116" ht="15" customHeight="1">
      <c r="A116" t="inlineStr">
        <is>
          <t>A 59659-2023</t>
        </is>
      </c>
      <c r="B116" s="1" t="n">
        <v>45254</v>
      </c>
      <c r="C116" s="1" t="n">
        <v>45574</v>
      </c>
      <c r="D116" t="inlineStr">
        <is>
          <t>VÄSTERNORRLANDS LÄN</t>
        </is>
      </c>
      <c r="E116" t="inlineStr">
        <is>
          <t>ÅNGE</t>
        </is>
      </c>
      <c r="F116" t="inlineStr">
        <is>
          <t>SCA</t>
        </is>
      </c>
      <c r="G116" t="n">
        <v>4.5</v>
      </c>
      <c r="H116" t="n">
        <v>2</v>
      </c>
      <c r="I116" t="n">
        <v>0</v>
      </c>
      <c r="J116" t="n">
        <v>2</v>
      </c>
      <c r="K116" t="n">
        <v>0</v>
      </c>
      <c r="L116" t="n">
        <v>0</v>
      </c>
      <c r="M116" t="n">
        <v>0</v>
      </c>
      <c r="N116" t="n">
        <v>0</v>
      </c>
      <c r="O116" t="n">
        <v>2</v>
      </c>
      <c r="P116" t="n">
        <v>0</v>
      </c>
      <c r="Q116" t="n">
        <v>4</v>
      </c>
      <c r="R116" s="2" t="inlineStr">
        <is>
          <t>Garnlav
Lunglav
Fläcknycklar
Revlummer</t>
        </is>
      </c>
      <c r="S116">
        <f>HYPERLINK("https://klasma.github.io/Logging_2260/artfynd/A 59659-2023 artfynd.xlsx", "A 59659-2023")</f>
        <v/>
      </c>
      <c r="T116">
        <f>HYPERLINK("https://klasma.github.io/Logging_2260/kartor/A 59659-2023 karta.png", "A 59659-2023")</f>
        <v/>
      </c>
      <c r="V116">
        <f>HYPERLINK("https://klasma.github.io/Logging_2260/klagomål/A 59659-2023 FSC-klagomål.docx", "A 59659-2023")</f>
        <v/>
      </c>
      <c r="W116">
        <f>HYPERLINK("https://klasma.github.io/Logging_2260/klagomålsmail/A 59659-2023 FSC-klagomål mail.docx", "A 59659-2023")</f>
        <v/>
      </c>
      <c r="X116">
        <f>HYPERLINK("https://klasma.github.io/Logging_2260/tillsyn/A 59659-2023 tillsynsbegäran.docx", "A 59659-2023")</f>
        <v/>
      </c>
      <c r="Y116">
        <f>HYPERLINK("https://klasma.github.io/Logging_2260/tillsynsmail/A 59659-2023 tillsynsbegäran mail.docx", "A 59659-2023")</f>
        <v/>
      </c>
    </row>
    <row r="117" ht="15" customHeight="1">
      <c r="A117" t="inlineStr">
        <is>
          <t>A 60002-2023</t>
        </is>
      </c>
      <c r="B117" s="1" t="n">
        <v>45257</v>
      </c>
      <c r="C117" s="1" t="n">
        <v>45574</v>
      </c>
      <c r="D117" t="inlineStr">
        <is>
          <t>VÄSTERNORRLANDS LÄN</t>
        </is>
      </c>
      <c r="E117" t="inlineStr">
        <is>
          <t>ÅNGE</t>
        </is>
      </c>
      <c r="F117" t="inlineStr">
        <is>
          <t>SCA</t>
        </is>
      </c>
      <c r="G117" t="n">
        <v>5.3</v>
      </c>
      <c r="H117" t="n">
        <v>1</v>
      </c>
      <c r="I117" t="n">
        <v>2</v>
      </c>
      <c r="J117" t="n">
        <v>1</v>
      </c>
      <c r="K117" t="n">
        <v>1</v>
      </c>
      <c r="L117" t="n">
        <v>0</v>
      </c>
      <c r="M117" t="n">
        <v>0</v>
      </c>
      <c r="N117" t="n">
        <v>0</v>
      </c>
      <c r="O117" t="n">
        <v>2</v>
      </c>
      <c r="P117" t="n">
        <v>1</v>
      </c>
      <c r="Q117" t="n">
        <v>4</v>
      </c>
      <c r="R117" s="2" t="inlineStr">
        <is>
          <t>Knärot
Violettgrå tagellav
Korallblylav
Skuggblåslav</t>
        </is>
      </c>
      <c r="S117">
        <f>HYPERLINK("https://klasma.github.io/Logging_2260/artfynd/A 60002-2023 artfynd.xlsx", "A 60002-2023")</f>
        <v/>
      </c>
      <c r="T117">
        <f>HYPERLINK("https://klasma.github.io/Logging_2260/kartor/A 60002-2023 karta.png", "A 60002-2023")</f>
        <v/>
      </c>
      <c r="U117">
        <f>HYPERLINK("https://klasma.github.io/Logging_2260/knärot/A 60002-2023 karta knärot.png", "A 60002-2023")</f>
        <v/>
      </c>
      <c r="V117">
        <f>HYPERLINK("https://klasma.github.io/Logging_2260/klagomål/A 60002-2023 FSC-klagomål.docx", "A 60002-2023")</f>
        <v/>
      </c>
      <c r="W117">
        <f>HYPERLINK("https://klasma.github.io/Logging_2260/klagomålsmail/A 60002-2023 FSC-klagomål mail.docx", "A 60002-2023")</f>
        <v/>
      </c>
      <c r="X117">
        <f>HYPERLINK("https://klasma.github.io/Logging_2260/tillsyn/A 60002-2023 tillsynsbegäran.docx", "A 60002-2023")</f>
        <v/>
      </c>
      <c r="Y117">
        <f>HYPERLINK("https://klasma.github.io/Logging_2260/tillsynsmail/A 60002-2023 tillsynsbegäran mail.docx", "A 60002-2023")</f>
        <v/>
      </c>
    </row>
    <row r="118" ht="15" customHeight="1">
      <c r="A118" t="inlineStr">
        <is>
          <t>A 60336-2023</t>
        </is>
      </c>
      <c r="B118" s="1" t="n">
        <v>45258</v>
      </c>
      <c r="C118" s="1" t="n">
        <v>45574</v>
      </c>
      <c r="D118" t="inlineStr">
        <is>
          <t>VÄSTERNORRLANDS LÄN</t>
        </is>
      </c>
      <c r="E118" t="inlineStr">
        <is>
          <t>ÅNGE</t>
        </is>
      </c>
      <c r="F118" t="inlineStr">
        <is>
          <t>SCA</t>
        </is>
      </c>
      <c r="G118" t="n">
        <v>5.1</v>
      </c>
      <c r="H118" t="n">
        <v>0</v>
      </c>
      <c r="I118" t="n">
        <v>2</v>
      </c>
      <c r="J118" t="n">
        <v>2</v>
      </c>
      <c r="K118" t="n">
        <v>0</v>
      </c>
      <c r="L118" t="n">
        <v>0</v>
      </c>
      <c r="M118" t="n">
        <v>0</v>
      </c>
      <c r="N118" t="n">
        <v>0</v>
      </c>
      <c r="O118" t="n">
        <v>2</v>
      </c>
      <c r="P118" t="n">
        <v>0</v>
      </c>
      <c r="Q118" t="n">
        <v>4</v>
      </c>
      <c r="R118" s="2" t="inlineStr">
        <is>
          <t>Lunglav
Skrovellav
Bårdlav
Stuplav</t>
        </is>
      </c>
      <c r="S118">
        <f>HYPERLINK("https://klasma.github.io/Logging_2260/artfynd/A 60336-2023 artfynd.xlsx", "A 60336-2023")</f>
        <v/>
      </c>
      <c r="T118">
        <f>HYPERLINK("https://klasma.github.io/Logging_2260/kartor/A 60336-2023 karta.png", "A 60336-2023")</f>
        <v/>
      </c>
      <c r="V118">
        <f>HYPERLINK("https://klasma.github.io/Logging_2260/klagomål/A 60336-2023 FSC-klagomål.docx", "A 60336-2023")</f>
        <v/>
      </c>
      <c r="W118">
        <f>HYPERLINK("https://klasma.github.io/Logging_2260/klagomålsmail/A 60336-2023 FSC-klagomål mail.docx", "A 60336-2023")</f>
        <v/>
      </c>
      <c r="X118">
        <f>HYPERLINK("https://klasma.github.io/Logging_2260/tillsyn/A 60336-2023 tillsynsbegäran.docx", "A 60336-2023")</f>
        <v/>
      </c>
      <c r="Y118">
        <f>HYPERLINK("https://klasma.github.io/Logging_2260/tillsynsmail/A 60336-2023 tillsynsbegäran mail.docx", "A 60336-2023")</f>
        <v/>
      </c>
    </row>
    <row r="119" ht="15" customHeight="1">
      <c r="A119" t="inlineStr">
        <is>
          <t>A 64514-2023</t>
        </is>
      </c>
      <c r="B119" s="1" t="n">
        <v>45281</v>
      </c>
      <c r="C119" s="1" t="n">
        <v>45574</v>
      </c>
      <c r="D119" t="inlineStr">
        <is>
          <t>VÄSTERNORRLANDS LÄN</t>
        </is>
      </c>
      <c r="E119" t="inlineStr">
        <is>
          <t>ÅNGE</t>
        </is>
      </c>
      <c r="G119" t="n">
        <v>82.09999999999999</v>
      </c>
      <c r="H119" t="n">
        <v>0</v>
      </c>
      <c r="I119" t="n">
        <v>1</v>
      </c>
      <c r="J119" t="n">
        <v>2</v>
      </c>
      <c r="K119" t="n">
        <v>1</v>
      </c>
      <c r="L119" t="n">
        <v>0</v>
      </c>
      <c r="M119" t="n">
        <v>0</v>
      </c>
      <c r="N119" t="n">
        <v>0</v>
      </c>
      <c r="O119" t="n">
        <v>3</v>
      </c>
      <c r="P119" t="n">
        <v>1</v>
      </c>
      <c r="Q119" t="n">
        <v>4</v>
      </c>
      <c r="R119" s="2" t="inlineStr">
        <is>
          <t>Grangråticka
Lunglav
Reliktbock
Dropptaggsvamp</t>
        </is>
      </c>
      <c r="S119">
        <f>HYPERLINK("https://klasma.github.io/Logging_2260/artfynd/A 64514-2023 artfynd.xlsx", "A 64514-2023")</f>
        <v/>
      </c>
      <c r="T119">
        <f>HYPERLINK("https://klasma.github.io/Logging_2260/kartor/A 64514-2023 karta.png", "A 64514-2023")</f>
        <v/>
      </c>
      <c r="U119">
        <f>HYPERLINK("https://klasma.github.io/Logging_2260/knärot/A 64514-2023 karta knärot.png", "A 64514-2023")</f>
        <v/>
      </c>
      <c r="V119">
        <f>HYPERLINK("https://klasma.github.io/Logging_2260/klagomål/A 64514-2023 FSC-klagomål.docx", "A 64514-2023")</f>
        <v/>
      </c>
      <c r="W119">
        <f>HYPERLINK("https://klasma.github.io/Logging_2260/klagomålsmail/A 64514-2023 FSC-klagomål mail.docx", "A 64514-2023")</f>
        <v/>
      </c>
      <c r="X119">
        <f>HYPERLINK("https://klasma.github.io/Logging_2260/tillsyn/A 64514-2023 tillsynsbegäran.docx", "A 64514-2023")</f>
        <v/>
      </c>
      <c r="Y119">
        <f>HYPERLINK("https://klasma.github.io/Logging_2260/tillsynsmail/A 64514-2023 tillsynsbegäran mail.docx", "A 64514-2023")</f>
        <v/>
      </c>
    </row>
    <row r="120" ht="15" customHeight="1">
      <c r="A120" t="inlineStr">
        <is>
          <t>A 4172-2024</t>
        </is>
      </c>
      <c r="B120" s="1" t="n">
        <v>45323</v>
      </c>
      <c r="C120" s="1" t="n">
        <v>45574</v>
      </c>
      <c r="D120" t="inlineStr">
        <is>
          <t>VÄSTERNORRLANDS LÄN</t>
        </is>
      </c>
      <c r="E120" t="inlineStr">
        <is>
          <t>ÅNGE</t>
        </is>
      </c>
      <c r="F120" t="inlineStr">
        <is>
          <t>SCA</t>
        </is>
      </c>
      <c r="G120" t="n">
        <v>29.8</v>
      </c>
      <c r="H120" t="n">
        <v>0</v>
      </c>
      <c r="I120" t="n">
        <v>0</v>
      </c>
      <c r="J120" t="n">
        <v>4</v>
      </c>
      <c r="K120" t="n">
        <v>0</v>
      </c>
      <c r="L120" t="n">
        <v>0</v>
      </c>
      <c r="M120" t="n">
        <v>0</v>
      </c>
      <c r="N120" t="n">
        <v>0</v>
      </c>
      <c r="O120" t="n">
        <v>4</v>
      </c>
      <c r="P120" t="n">
        <v>0</v>
      </c>
      <c r="Q120" t="n">
        <v>4</v>
      </c>
      <c r="R120" s="2" t="inlineStr">
        <is>
          <t>Garnlav
Kolflarnlav
Mörk kolflarnlav
Skogshare</t>
        </is>
      </c>
      <c r="S120">
        <f>HYPERLINK("https://klasma.github.io/Logging_2260/artfynd/A 4172-2024 artfynd.xlsx", "A 4172-2024")</f>
        <v/>
      </c>
      <c r="T120">
        <f>HYPERLINK("https://klasma.github.io/Logging_2260/kartor/A 4172-2024 karta.png", "A 4172-2024")</f>
        <v/>
      </c>
      <c r="V120">
        <f>HYPERLINK("https://klasma.github.io/Logging_2260/klagomål/A 4172-2024 FSC-klagomål.docx", "A 4172-2024")</f>
        <v/>
      </c>
      <c r="W120">
        <f>HYPERLINK("https://klasma.github.io/Logging_2260/klagomålsmail/A 4172-2024 FSC-klagomål mail.docx", "A 4172-2024")</f>
        <v/>
      </c>
      <c r="X120">
        <f>HYPERLINK("https://klasma.github.io/Logging_2260/tillsyn/A 4172-2024 tillsynsbegäran.docx", "A 4172-2024")</f>
        <v/>
      </c>
      <c r="Y120">
        <f>HYPERLINK("https://klasma.github.io/Logging_2260/tillsynsmail/A 4172-2024 tillsynsbegäran mail.docx", "A 4172-2024")</f>
        <v/>
      </c>
    </row>
    <row r="121" ht="15" customHeight="1">
      <c r="A121" t="inlineStr">
        <is>
          <t>A 13766-2024</t>
        </is>
      </c>
      <c r="B121" s="1" t="n">
        <v>45390</v>
      </c>
      <c r="C121" s="1" t="n">
        <v>45574</v>
      </c>
      <c r="D121" t="inlineStr">
        <is>
          <t>VÄSTERNORRLANDS LÄN</t>
        </is>
      </c>
      <c r="E121" t="inlineStr">
        <is>
          <t>ÅNGE</t>
        </is>
      </c>
      <c r="F121" t="inlineStr">
        <is>
          <t>SCA</t>
        </is>
      </c>
      <c r="G121" t="n">
        <v>1.1</v>
      </c>
      <c r="H121" t="n">
        <v>2</v>
      </c>
      <c r="I121" t="n">
        <v>2</v>
      </c>
      <c r="J121" t="n">
        <v>0</v>
      </c>
      <c r="K121" t="n">
        <v>1</v>
      </c>
      <c r="L121" t="n">
        <v>0</v>
      </c>
      <c r="M121" t="n">
        <v>0</v>
      </c>
      <c r="N121" t="n">
        <v>0</v>
      </c>
      <c r="O121" t="n">
        <v>1</v>
      </c>
      <c r="P121" t="n">
        <v>1</v>
      </c>
      <c r="Q121" t="n">
        <v>4</v>
      </c>
      <c r="R121" s="2" t="inlineStr">
        <is>
          <t>Knärot
Tibast
Underviol
Skogsrör</t>
        </is>
      </c>
      <c r="S121">
        <f>HYPERLINK("https://klasma.github.io/Logging_2260/artfynd/A 13766-2024 artfynd.xlsx", "A 13766-2024")</f>
        <v/>
      </c>
      <c r="T121">
        <f>HYPERLINK("https://klasma.github.io/Logging_2260/kartor/A 13766-2024 karta.png", "A 13766-2024")</f>
        <v/>
      </c>
      <c r="U121">
        <f>HYPERLINK("https://klasma.github.io/Logging_2260/knärot/A 13766-2024 karta knärot.png", "A 13766-2024")</f>
        <v/>
      </c>
      <c r="V121">
        <f>HYPERLINK("https://klasma.github.io/Logging_2260/klagomål/A 13766-2024 FSC-klagomål.docx", "A 13766-2024")</f>
        <v/>
      </c>
      <c r="W121">
        <f>HYPERLINK("https://klasma.github.io/Logging_2260/klagomålsmail/A 13766-2024 FSC-klagomål mail.docx", "A 13766-2024")</f>
        <v/>
      </c>
      <c r="X121">
        <f>HYPERLINK("https://klasma.github.io/Logging_2260/tillsyn/A 13766-2024 tillsynsbegäran.docx", "A 13766-2024")</f>
        <v/>
      </c>
      <c r="Y121">
        <f>HYPERLINK("https://klasma.github.io/Logging_2260/tillsynsmail/A 13766-2024 tillsynsbegäran mail.docx", "A 13766-2024")</f>
        <v/>
      </c>
    </row>
    <row r="122" ht="15" customHeight="1">
      <c r="A122" t="inlineStr">
        <is>
          <t>A 26953-2024</t>
        </is>
      </c>
      <c r="B122" s="1" t="n">
        <v>45470</v>
      </c>
      <c r="C122" s="1" t="n">
        <v>45574</v>
      </c>
      <c r="D122" t="inlineStr">
        <is>
          <t>VÄSTERNORRLANDS LÄN</t>
        </is>
      </c>
      <c r="E122" t="inlineStr">
        <is>
          <t>ÅNGE</t>
        </is>
      </c>
      <c r="F122" t="inlineStr">
        <is>
          <t>SCA</t>
        </is>
      </c>
      <c r="G122" t="n">
        <v>3.1</v>
      </c>
      <c r="H122" t="n">
        <v>0</v>
      </c>
      <c r="I122" t="n">
        <v>0</v>
      </c>
      <c r="J122" t="n">
        <v>4</v>
      </c>
      <c r="K122" t="n">
        <v>0</v>
      </c>
      <c r="L122" t="n">
        <v>0</v>
      </c>
      <c r="M122" t="n">
        <v>0</v>
      </c>
      <c r="N122" t="n">
        <v>0</v>
      </c>
      <c r="O122" t="n">
        <v>4</v>
      </c>
      <c r="P122" t="n">
        <v>0</v>
      </c>
      <c r="Q122" t="n">
        <v>4</v>
      </c>
      <c r="R122" s="2" t="inlineStr">
        <is>
          <t>Blågrå svartspik
Garnlav
Kolflarnlav
Mörk kolflarnlav</t>
        </is>
      </c>
      <c r="S122">
        <f>HYPERLINK("https://klasma.github.io/Logging_2260/artfynd/A 26953-2024 artfynd.xlsx", "A 26953-2024")</f>
        <v/>
      </c>
      <c r="T122">
        <f>HYPERLINK("https://klasma.github.io/Logging_2260/kartor/A 26953-2024 karta.png", "A 26953-2024")</f>
        <v/>
      </c>
      <c r="V122">
        <f>HYPERLINK("https://klasma.github.io/Logging_2260/klagomål/A 26953-2024 FSC-klagomål.docx", "A 26953-2024")</f>
        <v/>
      </c>
      <c r="W122">
        <f>HYPERLINK("https://klasma.github.io/Logging_2260/klagomålsmail/A 26953-2024 FSC-klagomål mail.docx", "A 26953-2024")</f>
        <v/>
      </c>
      <c r="X122">
        <f>HYPERLINK("https://klasma.github.io/Logging_2260/tillsyn/A 26953-2024 tillsynsbegäran.docx", "A 26953-2024")</f>
        <v/>
      </c>
      <c r="Y122">
        <f>HYPERLINK("https://klasma.github.io/Logging_2260/tillsynsmail/A 26953-2024 tillsynsbegäran mail.docx", "A 26953-2024")</f>
        <v/>
      </c>
    </row>
    <row r="123" ht="15" customHeight="1">
      <c r="A123" t="inlineStr">
        <is>
          <t>A 27646-2024</t>
        </is>
      </c>
      <c r="B123" s="1" t="n">
        <v>45474</v>
      </c>
      <c r="C123" s="1" t="n">
        <v>45574</v>
      </c>
      <c r="D123" t="inlineStr">
        <is>
          <t>VÄSTERNORRLANDS LÄN</t>
        </is>
      </c>
      <c r="E123" t="inlineStr">
        <is>
          <t>ÅNGE</t>
        </is>
      </c>
      <c r="F123" t="inlineStr">
        <is>
          <t>SCA</t>
        </is>
      </c>
      <c r="G123" t="n">
        <v>31.5</v>
      </c>
      <c r="H123" t="n">
        <v>4</v>
      </c>
      <c r="I123" t="n">
        <v>0</v>
      </c>
      <c r="J123" t="n">
        <v>2</v>
      </c>
      <c r="K123" t="n">
        <v>0</v>
      </c>
      <c r="L123" t="n">
        <v>0</v>
      </c>
      <c r="M123" t="n">
        <v>0</v>
      </c>
      <c r="N123" t="n">
        <v>0</v>
      </c>
      <c r="O123" t="n">
        <v>2</v>
      </c>
      <c r="P123" t="n">
        <v>0</v>
      </c>
      <c r="Q123" t="n">
        <v>4</v>
      </c>
      <c r="R123" s="2" t="inlineStr">
        <is>
          <t>Järpe
Kungsörn
Grönsiska
Kungsfågel</t>
        </is>
      </c>
      <c r="S123">
        <f>HYPERLINK("https://klasma.github.io/Logging_2260/artfynd/A 27646-2024 artfynd.xlsx", "A 27646-2024")</f>
        <v/>
      </c>
      <c r="T123">
        <f>HYPERLINK("https://klasma.github.io/Logging_2260/kartor/A 27646-2024 karta.png", "A 27646-2024")</f>
        <v/>
      </c>
      <c r="V123">
        <f>HYPERLINK("https://klasma.github.io/Logging_2260/klagomål/A 27646-2024 FSC-klagomål.docx", "A 27646-2024")</f>
        <v/>
      </c>
      <c r="W123">
        <f>HYPERLINK("https://klasma.github.io/Logging_2260/klagomålsmail/A 27646-2024 FSC-klagomål mail.docx", "A 27646-2024")</f>
        <v/>
      </c>
      <c r="X123">
        <f>HYPERLINK("https://klasma.github.io/Logging_2260/tillsyn/A 27646-2024 tillsynsbegäran.docx", "A 27646-2024")</f>
        <v/>
      </c>
      <c r="Y123">
        <f>HYPERLINK("https://klasma.github.io/Logging_2260/tillsynsmail/A 27646-2024 tillsynsbegäran mail.docx", "A 27646-2024")</f>
        <v/>
      </c>
      <c r="Z123">
        <f>HYPERLINK("https://klasma.github.io/Logging_2260/fåglar/A 27646-2024 prioriterade fågelarter.docx", "A 27646-2024")</f>
        <v/>
      </c>
    </row>
    <row r="124" ht="15" customHeight="1">
      <c r="A124" t="inlineStr">
        <is>
          <t>A 38326-2024</t>
        </is>
      </c>
      <c r="B124" s="1" t="n">
        <v>45545</v>
      </c>
      <c r="C124" s="1" t="n">
        <v>45574</v>
      </c>
      <c r="D124" t="inlineStr">
        <is>
          <t>VÄSTERNORRLANDS LÄN</t>
        </is>
      </c>
      <c r="E124" t="inlineStr">
        <is>
          <t>ÅNGE</t>
        </is>
      </c>
      <c r="F124" t="inlineStr">
        <is>
          <t>SCA</t>
        </is>
      </c>
      <c r="G124" t="n">
        <v>15</v>
      </c>
      <c r="H124" t="n">
        <v>0</v>
      </c>
      <c r="I124" t="n">
        <v>1</v>
      </c>
      <c r="J124" t="n">
        <v>3</v>
      </c>
      <c r="K124" t="n">
        <v>0</v>
      </c>
      <c r="L124" t="n">
        <v>0</v>
      </c>
      <c r="M124" t="n">
        <v>0</v>
      </c>
      <c r="N124" t="n">
        <v>0</v>
      </c>
      <c r="O124" t="n">
        <v>3</v>
      </c>
      <c r="P124" t="n">
        <v>0</v>
      </c>
      <c r="Q124" t="n">
        <v>4</v>
      </c>
      <c r="R124" s="2" t="inlineStr">
        <is>
          <t>Gammelgransskål
Garnlav
Lunglav
Stuplav</t>
        </is>
      </c>
      <c r="S124">
        <f>HYPERLINK("https://klasma.github.io/Logging_2260/artfynd/A 38326-2024 artfynd.xlsx", "A 38326-2024")</f>
        <v/>
      </c>
      <c r="T124">
        <f>HYPERLINK("https://klasma.github.io/Logging_2260/kartor/A 38326-2024 karta.png", "A 38326-2024")</f>
        <v/>
      </c>
      <c r="V124">
        <f>HYPERLINK("https://klasma.github.io/Logging_2260/klagomål/A 38326-2024 FSC-klagomål.docx", "A 38326-2024")</f>
        <v/>
      </c>
      <c r="W124">
        <f>HYPERLINK("https://klasma.github.io/Logging_2260/klagomålsmail/A 38326-2024 FSC-klagomål mail.docx", "A 38326-2024")</f>
        <v/>
      </c>
      <c r="X124">
        <f>HYPERLINK("https://klasma.github.io/Logging_2260/tillsyn/A 38326-2024 tillsynsbegäran.docx", "A 38326-2024")</f>
        <v/>
      </c>
      <c r="Y124">
        <f>HYPERLINK("https://klasma.github.io/Logging_2260/tillsynsmail/A 38326-2024 tillsynsbegäran mail.docx", "A 38326-2024")</f>
        <v/>
      </c>
    </row>
    <row r="125" ht="15" customHeight="1">
      <c r="A125" t="inlineStr">
        <is>
          <t>A 39176-2024</t>
        </is>
      </c>
      <c r="B125" s="1" t="n">
        <v>45548</v>
      </c>
      <c r="C125" s="1" t="n">
        <v>45574</v>
      </c>
      <c r="D125" t="inlineStr">
        <is>
          <t>VÄSTERNORRLANDS LÄN</t>
        </is>
      </c>
      <c r="E125" t="inlineStr">
        <is>
          <t>ÅNGE</t>
        </is>
      </c>
      <c r="F125" t="inlineStr">
        <is>
          <t>SCA</t>
        </is>
      </c>
      <c r="G125" t="n">
        <v>6.9</v>
      </c>
      <c r="H125" t="n">
        <v>1</v>
      </c>
      <c r="I125" t="n">
        <v>0</v>
      </c>
      <c r="J125" t="n">
        <v>3</v>
      </c>
      <c r="K125" t="n">
        <v>1</v>
      </c>
      <c r="L125" t="n">
        <v>0</v>
      </c>
      <c r="M125" t="n">
        <v>0</v>
      </c>
      <c r="N125" t="n">
        <v>0</v>
      </c>
      <c r="O125" t="n">
        <v>4</v>
      </c>
      <c r="P125" t="n">
        <v>1</v>
      </c>
      <c r="Q125" t="n">
        <v>4</v>
      </c>
      <c r="R125" s="2" t="inlineStr">
        <is>
          <t>Knärot
Doftskinn
Skrovellav
Violettgrå tagellav</t>
        </is>
      </c>
      <c r="S125">
        <f>HYPERLINK("https://klasma.github.io/Logging_2260/artfynd/A 39176-2024 artfynd.xlsx", "A 39176-2024")</f>
        <v/>
      </c>
      <c r="T125">
        <f>HYPERLINK("https://klasma.github.io/Logging_2260/kartor/A 39176-2024 karta.png", "A 39176-2024")</f>
        <v/>
      </c>
      <c r="U125">
        <f>HYPERLINK("https://klasma.github.io/Logging_2260/knärot/A 39176-2024 karta knärot.png", "A 39176-2024")</f>
        <v/>
      </c>
      <c r="V125">
        <f>HYPERLINK("https://klasma.github.io/Logging_2260/klagomål/A 39176-2024 FSC-klagomål.docx", "A 39176-2024")</f>
        <v/>
      </c>
      <c r="W125">
        <f>HYPERLINK("https://klasma.github.io/Logging_2260/klagomålsmail/A 39176-2024 FSC-klagomål mail.docx", "A 39176-2024")</f>
        <v/>
      </c>
      <c r="X125">
        <f>HYPERLINK("https://klasma.github.io/Logging_2260/tillsyn/A 39176-2024 tillsynsbegäran.docx", "A 39176-2024")</f>
        <v/>
      </c>
      <c r="Y125">
        <f>HYPERLINK("https://klasma.github.io/Logging_2260/tillsynsmail/A 39176-2024 tillsynsbegäran mail.docx", "A 39176-2024")</f>
        <v/>
      </c>
    </row>
    <row r="126" ht="15" customHeight="1">
      <c r="A126" t="inlineStr">
        <is>
          <t>A 39493-2024</t>
        </is>
      </c>
      <c r="B126" s="1" t="n">
        <v>45551</v>
      </c>
      <c r="C126" s="1" t="n">
        <v>45574</v>
      </c>
      <c r="D126" t="inlineStr">
        <is>
          <t>VÄSTERNORRLANDS LÄN</t>
        </is>
      </c>
      <c r="E126" t="inlineStr">
        <is>
          <t>ÅNGE</t>
        </is>
      </c>
      <c r="F126" t="inlineStr">
        <is>
          <t>SCA</t>
        </is>
      </c>
      <c r="G126" t="n">
        <v>3.8</v>
      </c>
      <c r="H126" t="n">
        <v>1</v>
      </c>
      <c r="I126" t="n">
        <v>1</v>
      </c>
      <c r="J126" t="n">
        <v>2</v>
      </c>
      <c r="K126" t="n">
        <v>1</v>
      </c>
      <c r="L126" t="n">
        <v>0</v>
      </c>
      <c r="M126" t="n">
        <v>0</v>
      </c>
      <c r="N126" t="n">
        <v>0</v>
      </c>
      <c r="O126" t="n">
        <v>3</v>
      </c>
      <c r="P126" t="n">
        <v>1</v>
      </c>
      <c r="Q126" t="n">
        <v>4</v>
      </c>
      <c r="R126" s="2" t="inlineStr">
        <is>
          <t>Knärot
Dvärgbägarlav
Lunglav
Dropptaggsvamp</t>
        </is>
      </c>
      <c r="S126">
        <f>HYPERLINK("https://klasma.github.io/Logging_2260/artfynd/A 39493-2024 artfynd.xlsx", "A 39493-2024")</f>
        <v/>
      </c>
      <c r="T126">
        <f>HYPERLINK("https://klasma.github.io/Logging_2260/kartor/A 39493-2024 karta.png", "A 39493-2024")</f>
        <v/>
      </c>
      <c r="U126">
        <f>HYPERLINK("https://klasma.github.io/Logging_2260/knärot/A 39493-2024 karta knärot.png", "A 39493-2024")</f>
        <v/>
      </c>
      <c r="V126">
        <f>HYPERLINK("https://klasma.github.io/Logging_2260/klagomål/A 39493-2024 FSC-klagomål.docx", "A 39493-2024")</f>
        <v/>
      </c>
      <c r="W126">
        <f>HYPERLINK("https://klasma.github.io/Logging_2260/klagomålsmail/A 39493-2024 FSC-klagomål mail.docx", "A 39493-2024")</f>
        <v/>
      </c>
      <c r="X126">
        <f>HYPERLINK("https://klasma.github.io/Logging_2260/tillsyn/A 39493-2024 tillsynsbegäran.docx", "A 39493-2024")</f>
        <v/>
      </c>
      <c r="Y126">
        <f>HYPERLINK("https://klasma.github.io/Logging_2260/tillsynsmail/A 39493-2024 tillsynsbegäran mail.docx", "A 39493-2024")</f>
        <v/>
      </c>
    </row>
    <row r="127" ht="15" customHeight="1">
      <c r="A127" t="inlineStr">
        <is>
          <t>A 41757-2024</t>
        </is>
      </c>
      <c r="B127" s="1" t="n">
        <v>45561</v>
      </c>
      <c r="C127" s="1" t="n">
        <v>45574</v>
      </c>
      <c r="D127" t="inlineStr">
        <is>
          <t>VÄSTERNORRLANDS LÄN</t>
        </is>
      </c>
      <c r="E127" t="inlineStr">
        <is>
          <t>ÅNGE</t>
        </is>
      </c>
      <c r="F127" t="inlineStr">
        <is>
          <t>SCA</t>
        </is>
      </c>
      <c r="G127" t="n">
        <v>6.2</v>
      </c>
      <c r="H127" t="n">
        <v>0</v>
      </c>
      <c r="I127" t="n">
        <v>0</v>
      </c>
      <c r="J127" t="n">
        <v>3</v>
      </c>
      <c r="K127" t="n">
        <v>1</v>
      </c>
      <c r="L127" t="n">
        <v>0</v>
      </c>
      <c r="M127" t="n">
        <v>0</v>
      </c>
      <c r="N127" t="n">
        <v>0</v>
      </c>
      <c r="O127" t="n">
        <v>4</v>
      </c>
      <c r="P127" t="n">
        <v>1</v>
      </c>
      <c r="Q127" t="n">
        <v>4</v>
      </c>
      <c r="R127" s="2" t="inlineStr">
        <is>
          <t>Gräddporing
Lunglav
Mörk kolflarnlav
Vedtrappmossa</t>
        </is>
      </c>
      <c r="S127">
        <f>HYPERLINK("https://klasma.github.io/Logging_2260/artfynd/A 41757-2024 artfynd.xlsx", "A 41757-2024")</f>
        <v/>
      </c>
      <c r="T127">
        <f>HYPERLINK("https://klasma.github.io/Logging_2260/kartor/A 41757-2024 karta.png", "A 41757-2024")</f>
        <v/>
      </c>
      <c r="U127">
        <f>HYPERLINK("https://klasma.github.io/Logging_2260/knärot/A 41757-2024 karta knärot.png", "A 41757-2024")</f>
        <v/>
      </c>
      <c r="V127">
        <f>HYPERLINK("https://klasma.github.io/Logging_2260/klagomål/A 41757-2024 FSC-klagomål.docx", "A 41757-2024")</f>
        <v/>
      </c>
      <c r="W127">
        <f>HYPERLINK("https://klasma.github.io/Logging_2260/klagomålsmail/A 41757-2024 FSC-klagomål mail.docx", "A 41757-2024")</f>
        <v/>
      </c>
      <c r="X127">
        <f>HYPERLINK("https://klasma.github.io/Logging_2260/tillsyn/A 41757-2024 tillsynsbegäran.docx", "A 41757-2024")</f>
        <v/>
      </c>
      <c r="Y127">
        <f>HYPERLINK("https://klasma.github.io/Logging_2260/tillsynsmail/A 41757-2024 tillsynsbegäran mail.docx", "A 41757-2024")</f>
        <v/>
      </c>
    </row>
    <row r="128" ht="15" customHeight="1">
      <c r="A128" t="inlineStr">
        <is>
          <t>A 15666-2021</t>
        </is>
      </c>
      <c r="B128" s="1" t="n">
        <v>44285</v>
      </c>
      <c r="C128" s="1" t="n">
        <v>45574</v>
      </c>
      <c r="D128" t="inlineStr">
        <is>
          <t>VÄSTERNORRLANDS LÄN</t>
        </is>
      </c>
      <c r="E128" t="inlineStr">
        <is>
          <t>ÅNGE</t>
        </is>
      </c>
      <c r="G128" t="n">
        <v>4.3</v>
      </c>
      <c r="H128" t="n">
        <v>0</v>
      </c>
      <c r="I128" t="n">
        <v>1</v>
      </c>
      <c r="J128" t="n">
        <v>2</v>
      </c>
      <c r="K128" t="n">
        <v>0</v>
      </c>
      <c r="L128" t="n">
        <v>0</v>
      </c>
      <c r="M128" t="n">
        <v>0</v>
      </c>
      <c r="N128" t="n">
        <v>0</v>
      </c>
      <c r="O128" t="n">
        <v>2</v>
      </c>
      <c r="P128" t="n">
        <v>0</v>
      </c>
      <c r="Q128" t="n">
        <v>3</v>
      </c>
      <c r="R128" s="2" t="inlineStr">
        <is>
          <t>Lunglav
Skrovellav
Stuplav</t>
        </is>
      </c>
      <c r="S128">
        <f>HYPERLINK("https://klasma.github.io/Logging_2260/artfynd/A 15666-2021 artfynd.xlsx", "A 15666-2021")</f>
        <v/>
      </c>
      <c r="T128">
        <f>HYPERLINK("https://klasma.github.io/Logging_2260/kartor/A 15666-2021 karta.png", "A 15666-2021")</f>
        <v/>
      </c>
      <c r="V128">
        <f>HYPERLINK("https://klasma.github.io/Logging_2260/klagomål/A 15666-2021 FSC-klagomål.docx", "A 15666-2021")</f>
        <v/>
      </c>
      <c r="W128">
        <f>HYPERLINK("https://klasma.github.io/Logging_2260/klagomålsmail/A 15666-2021 FSC-klagomål mail.docx", "A 15666-2021")</f>
        <v/>
      </c>
      <c r="X128">
        <f>HYPERLINK("https://klasma.github.io/Logging_2260/tillsyn/A 15666-2021 tillsynsbegäran.docx", "A 15666-2021")</f>
        <v/>
      </c>
      <c r="Y128">
        <f>HYPERLINK("https://klasma.github.io/Logging_2260/tillsynsmail/A 15666-2021 tillsynsbegäran mail.docx", "A 15666-2021")</f>
        <v/>
      </c>
    </row>
    <row r="129" ht="15" customHeight="1">
      <c r="A129" t="inlineStr">
        <is>
          <t>A 27956-2021</t>
        </is>
      </c>
      <c r="B129" s="1" t="n">
        <v>44354</v>
      </c>
      <c r="C129" s="1" t="n">
        <v>45574</v>
      </c>
      <c r="D129" t="inlineStr">
        <is>
          <t>VÄSTERNORRLANDS LÄN</t>
        </is>
      </c>
      <c r="E129" t="inlineStr">
        <is>
          <t>ÅNGE</t>
        </is>
      </c>
      <c r="G129" t="n">
        <v>1.4</v>
      </c>
      <c r="H129" t="n">
        <v>0</v>
      </c>
      <c r="I129" t="n">
        <v>0</v>
      </c>
      <c r="J129" t="n">
        <v>3</v>
      </c>
      <c r="K129" t="n">
        <v>0</v>
      </c>
      <c r="L129" t="n">
        <v>0</v>
      </c>
      <c r="M129" t="n">
        <v>0</v>
      </c>
      <c r="N129" t="n">
        <v>0</v>
      </c>
      <c r="O129" t="n">
        <v>3</v>
      </c>
      <c r="P129" t="n">
        <v>0</v>
      </c>
      <c r="Q129" t="n">
        <v>3</v>
      </c>
      <c r="R129" s="2" t="inlineStr">
        <is>
          <t>Garnlav
Lunglav
Ullticka</t>
        </is>
      </c>
      <c r="S129">
        <f>HYPERLINK("https://klasma.github.io/Logging_2260/artfynd/A 27956-2021 artfynd.xlsx", "A 27956-2021")</f>
        <v/>
      </c>
      <c r="T129">
        <f>HYPERLINK("https://klasma.github.io/Logging_2260/kartor/A 27956-2021 karta.png", "A 27956-2021")</f>
        <v/>
      </c>
      <c r="V129">
        <f>HYPERLINK("https://klasma.github.io/Logging_2260/klagomål/A 27956-2021 FSC-klagomål.docx", "A 27956-2021")</f>
        <v/>
      </c>
      <c r="W129">
        <f>HYPERLINK("https://klasma.github.io/Logging_2260/klagomålsmail/A 27956-2021 FSC-klagomål mail.docx", "A 27956-2021")</f>
        <v/>
      </c>
      <c r="X129">
        <f>HYPERLINK("https://klasma.github.io/Logging_2260/tillsyn/A 27956-2021 tillsynsbegäran.docx", "A 27956-2021")</f>
        <v/>
      </c>
      <c r="Y129">
        <f>HYPERLINK("https://klasma.github.io/Logging_2260/tillsynsmail/A 27956-2021 tillsynsbegäran mail.docx", "A 27956-2021")</f>
        <v/>
      </c>
    </row>
    <row r="130" ht="15" customHeight="1">
      <c r="A130" t="inlineStr">
        <is>
          <t>A 29083-2021</t>
        </is>
      </c>
      <c r="B130" s="1" t="n">
        <v>44358</v>
      </c>
      <c r="C130" s="1" t="n">
        <v>45574</v>
      </c>
      <c r="D130" t="inlineStr">
        <is>
          <t>VÄSTERNORRLANDS LÄN</t>
        </is>
      </c>
      <c r="E130" t="inlineStr">
        <is>
          <t>ÅNGE</t>
        </is>
      </c>
      <c r="F130" t="inlineStr">
        <is>
          <t>Sveaskog</t>
        </is>
      </c>
      <c r="G130" t="n">
        <v>6.1</v>
      </c>
      <c r="H130" t="n">
        <v>1</v>
      </c>
      <c r="I130" t="n">
        <v>2</v>
      </c>
      <c r="J130" t="n">
        <v>1</v>
      </c>
      <c r="K130" t="n">
        <v>0</v>
      </c>
      <c r="L130" t="n">
        <v>0</v>
      </c>
      <c r="M130" t="n">
        <v>0</v>
      </c>
      <c r="N130" t="n">
        <v>0</v>
      </c>
      <c r="O130" t="n">
        <v>1</v>
      </c>
      <c r="P130" t="n">
        <v>0</v>
      </c>
      <c r="Q130" t="n">
        <v>3</v>
      </c>
      <c r="R130" s="2" t="inlineStr">
        <is>
          <t>Lunglav
Plattlummer
Stor aspticka</t>
        </is>
      </c>
      <c r="S130">
        <f>HYPERLINK("https://klasma.github.io/Logging_2260/artfynd/A 29083-2021 artfynd.xlsx", "A 29083-2021")</f>
        <v/>
      </c>
      <c r="T130">
        <f>HYPERLINK("https://klasma.github.io/Logging_2260/kartor/A 29083-2021 karta.png", "A 29083-2021")</f>
        <v/>
      </c>
      <c r="V130">
        <f>HYPERLINK("https://klasma.github.io/Logging_2260/klagomål/A 29083-2021 FSC-klagomål.docx", "A 29083-2021")</f>
        <v/>
      </c>
      <c r="W130">
        <f>HYPERLINK("https://klasma.github.io/Logging_2260/klagomålsmail/A 29083-2021 FSC-klagomål mail.docx", "A 29083-2021")</f>
        <v/>
      </c>
      <c r="X130">
        <f>HYPERLINK("https://klasma.github.io/Logging_2260/tillsyn/A 29083-2021 tillsynsbegäran.docx", "A 29083-2021")</f>
        <v/>
      </c>
      <c r="Y130">
        <f>HYPERLINK("https://klasma.github.io/Logging_2260/tillsynsmail/A 29083-2021 tillsynsbegäran mail.docx", "A 29083-2021")</f>
        <v/>
      </c>
    </row>
    <row r="131" ht="15" customHeight="1">
      <c r="A131" t="inlineStr">
        <is>
          <t>A 45122-2021</t>
        </is>
      </c>
      <c r="B131" s="1" t="n">
        <v>44439</v>
      </c>
      <c r="C131" s="1" t="n">
        <v>45574</v>
      </c>
      <c r="D131" t="inlineStr">
        <is>
          <t>VÄSTERNORRLANDS LÄN</t>
        </is>
      </c>
      <c r="E131" t="inlineStr">
        <is>
          <t>ÅNGE</t>
        </is>
      </c>
      <c r="G131" t="n">
        <v>20.3</v>
      </c>
      <c r="H131" t="n">
        <v>0</v>
      </c>
      <c r="I131" t="n">
        <v>2</v>
      </c>
      <c r="J131" t="n">
        <v>1</v>
      </c>
      <c r="K131" t="n">
        <v>0</v>
      </c>
      <c r="L131" t="n">
        <v>0</v>
      </c>
      <c r="M131" t="n">
        <v>0</v>
      </c>
      <c r="N131" t="n">
        <v>0</v>
      </c>
      <c r="O131" t="n">
        <v>1</v>
      </c>
      <c r="P131" t="n">
        <v>0</v>
      </c>
      <c r="Q131" t="n">
        <v>3</v>
      </c>
      <c r="R131" s="2" t="inlineStr">
        <is>
          <t>Reliktbock
Cixidia
Skinnlav</t>
        </is>
      </c>
      <c r="S131">
        <f>HYPERLINK("https://klasma.github.io/Logging_2260/artfynd/A 45122-2021 artfynd.xlsx", "A 45122-2021")</f>
        <v/>
      </c>
      <c r="T131">
        <f>HYPERLINK("https://klasma.github.io/Logging_2260/kartor/A 45122-2021 karta.png", "A 45122-2021")</f>
        <v/>
      </c>
      <c r="V131">
        <f>HYPERLINK("https://klasma.github.io/Logging_2260/klagomål/A 45122-2021 FSC-klagomål.docx", "A 45122-2021")</f>
        <v/>
      </c>
      <c r="W131">
        <f>HYPERLINK("https://klasma.github.io/Logging_2260/klagomålsmail/A 45122-2021 FSC-klagomål mail.docx", "A 45122-2021")</f>
        <v/>
      </c>
      <c r="X131">
        <f>HYPERLINK("https://klasma.github.io/Logging_2260/tillsyn/A 45122-2021 tillsynsbegäran.docx", "A 45122-2021")</f>
        <v/>
      </c>
      <c r="Y131">
        <f>HYPERLINK("https://klasma.github.io/Logging_2260/tillsynsmail/A 45122-2021 tillsynsbegäran mail.docx", "A 45122-2021")</f>
        <v/>
      </c>
    </row>
    <row r="132" ht="15" customHeight="1">
      <c r="A132" t="inlineStr">
        <is>
          <t>A 10317-2022</t>
        </is>
      </c>
      <c r="B132" s="1" t="n">
        <v>44622</v>
      </c>
      <c r="C132" s="1" t="n">
        <v>45574</v>
      </c>
      <c r="D132" t="inlineStr">
        <is>
          <t>VÄSTERNORRLANDS LÄN</t>
        </is>
      </c>
      <c r="E132" t="inlineStr">
        <is>
          <t>ÅNGE</t>
        </is>
      </c>
      <c r="F132" t="inlineStr">
        <is>
          <t>SCA</t>
        </is>
      </c>
      <c r="G132" t="n">
        <v>3</v>
      </c>
      <c r="H132" t="n">
        <v>2</v>
      </c>
      <c r="I132" t="n">
        <v>1</v>
      </c>
      <c r="J132" t="n">
        <v>1</v>
      </c>
      <c r="K132" t="n">
        <v>1</v>
      </c>
      <c r="L132" t="n">
        <v>0</v>
      </c>
      <c r="M132" t="n">
        <v>0</v>
      </c>
      <c r="N132" t="n">
        <v>0</v>
      </c>
      <c r="O132" t="n">
        <v>2</v>
      </c>
      <c r="P132" t="n">
        <v>1</v>
      </c>
      <c r="Q132" t="n">
        <v>3</v>
      </c>
      <c r="R132" s="2" t="inlineStr">
        <is>
          <t>Knärot
Granticka
Tvåblad</t>
        </is>
      </c>
      <c r="S132">
        <f>HYPERLINK("https://klasma.github.io/Logging_2260/artfynd/A 10317-2022 artfynd.xlsx", "A 10317-2022")</f>
        <v/>
      </c>
      <c r="T132">
        <f>HYPERLINK("https://klasma.github.io/Logging_2260/kartor/A 10317-2022 karta.png", "A 10317-2022")</f>
        <v/>
      </c>
      <c r="U132">
        <f>HYPERLINK("https://klasma.github.io/Logging_2260/knärot/A 10317-2022 karta knärot.png", "A 10317-2022")</f>
        <v/>
      </c>
      <c r="V132">
        <f>HYPERLINK("https://klasma.github.io/Logging_2260/klagomål/A 10317-2022 FSC-klagomål.docx", "A 10317-2022")</f>
        <v/>
      </c>
      <c r="W132">
        <f>HYPERLINK("https://klasma.github.io/Logging_2260/klagomålsmail/A 10317-2022 FSC-klagomål mail.docx", "A 10317-2022")</f>
        <v/>
      </c>
      <c r="X132">
        <f>HYPERLINK("https://klasma.github.io/Logging_2260/tillsyn/A 10317-2022 tillsynsbegäran.docx", "A 10317-2022")</f>
        <v/>
      </c>
      <c r="Y132">
        <f>HYPERLINK("https://klasma.github.io/Logging_2260/tillsynsmail/A 10317-2022 tillsynsbegäran mail.docx", "A 10317-2022")</f>
        <v/>
      </c>
    </row>
    <row r="133" ht="15" customHeight="1">
      <c r="A133" t="inlineStr">
        <is>
          <t>A 7533-2023</t>
        </is>
      </c>
      <c r="B133" s="1" t="n">
        <v>44971</v>
      </c>
      <c r="C133" s="1" t="n">
        <v>45574</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22996-2023</t>
        </is>
      </c>
      <c r="B134" s="1" t="n">
        <v>45072</v>
      </c>
      <c r="C134" s="1" t="n">
        <v>45574</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28274-2023</t>
        </is>
      </c>
      <c r="B135" s="1" t="n">
        <v>45099</v>
      </c>
      <c r="C135" s="1" t="n">
        <v>45574</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30839-2023</t>
        </is>
      </c>
      <c r="B136" s="1" t="n">
        <v>45112</v>
      </c>
      <c r="C136" s="1" t="n">
        <v>45574</v>
      </c>
      <c r="D136" t="inlineStr">
        <is>
          <t>VÄSTERNORRLANDS LÄN</t>
        </is>
      </c>
      <c r="E136" t="inlineStr">
        <is>
          <t>ÅNGE</t>
        </is>
      </c>
      <c r="F136" t="inlineStr">
        <is>
          <t>SCA</t>
        </is>
      </c>
      <c r="G136" t="n">
        <v>15.1</v>
      </c>
      <c r="H136" t="n">
        <v>0</v>
      </c>
      <c r="I136" t="n">
        <v>0</v>
      </c>
      <c r="J136" t="n">
        <v>3</v>
      </c>
      <c r="K136" t="n">
        <v>0</v>
      </c>
      <c r="L136" t="n">
        <v>0</v>
      </c>
      <c r="M136" t="n">
        <v>0</v>
      </c>
      <c r="N136" t="n">
        <v>0</v>
      </c>
      <c r="O136" t="n">
        <v>3</v>
      </c>
      <c r="P136" t="n">
        <v>0</v>
      </c>
      <c r="Q136" t="n">
        <v>3</v>
      </c>
      <c r="R136" s="2" t="inlineStr">
        <is>
          <t>Kolflarnlav
Mörk kolflarnlav
Vedskivlav</t>
        </is>
      </c>
      <c r="S136">
        <f>HYPERLINK("https://klasma.github.io/Logging_2260/artfynd/A 30839-2023 artfynd.xlsx", "A 30839-2023")</f>
        <v/>
      </c>
      <c r="T136">
        <f>HYPERLINK("https://klasma.github.io/Logging_2260/kartor/A 30839-2023 karta.png", "A 30839-2023")</f>
        <v/>
      </c>
      <c r="U136">
        <f>HYPERLINK("https://klasma.github.io/Logging_2260/knärot/A 30839-2023 karta knärot.png", "A 30839-2023")</f>
        <v/>
      </c>
      <c r="V136">
        <f>HYPERLINK("https://klasma.github.io/Logging_2260/klagomål/A 30839-2023 FSC-klagomål.docx", "A 30839-2023")</f>
        <v/>
      </c>
      <c r="W136">
        <f>HYPERLINK("https://klasma.github.io/Logging_2260/klagomålsmail/A 30839-2023 FSC-klagomål mail.docx", "A 30839-2023")</f>
        <v/>
      </c>
      <c r="X136">
        <f>HYPERLINK("https://klasma.github.io/Logging_2260/tillsyn/A 30839-2023 tillsynsbegäran.docx", "A 30839-2023")</f>
        <v/>
      </c>
      <c r="Y136">
        <f>HYPERLINK("https://klasma.github.io/Logging_2260/tillsynsmail/A 30839-2023 tillsynsbegäran mail.docx", "A 30839-2023")</f>
        <v/>
      </c>
    </row>
    <row r="137" ht="15" customHeight="1">
      <c r="A137" t="inlineStr">
        <is>
          <t>A 37470-2023</t>
        </is>
      </c>
      <c r="B137" s="1" t="n">
        <v>45156</v>
      </c>
      <c r="C137" s="1" t="n">
        <v>45574</v>
      </c>
      <c r="D137" t="inlineStr">
        <is>
          <t>VÄSTERNORRLANDS LÄN</t>
        </is>
      </c>
      <c r="E137" t="inlineStr">
        <is>
          <t>ÅNGE</t>
        </is>
      </c>
      <c r="G137" t="n">
        <v>3.3</v>
      </c>
      <c r="H137" t="n">
        <v>0</v>
      </c>
      <c r="I137" t="n">
        <v>0</v>
      </c>
      <c r="J137" t="n">
        <v>3</v>
      </c>
      <c r="K137" t="n">
        <v>0</v>
      </c>
      <c r="L137" t="n">
        <v>0</v>
      </c>
      <c r="M137" t="n">
        <v>0</v>
      </c>
      <c r="N137" t="n">
        <v>0</v>
      </c>
      <c r="O137" t="n">
        <v>3</v>
      </c>
      <c r="P137" t="n">
        <v>0</v>
      </c>
      <c r="Q137" t="n">
        <v>3</v>
      </c>
      <c r="R137" s="2" t="inlineStr">
        <is>
          <t>Blanksvart spiklav
Garnlav
Vedflamlav</t>
        </is>
      </c>
      <c r="S137">
        <f>HYPERLINK("https://klasma.github.io/Logging_2260/artfynd/A 37470-2023 artfynd.xlsx", "A 37470-2023")</f>
        <v/>
      </c>
      <c r="T137">
        <f>HYPERLINK("https://klasma.github.io/Logging_2260/kartor/A 37470-2023 karta.png", "A 37470-2023")</f>
        <v/>
      </c>
      <c r="V137">
        <f>HYPERLINK("https://klasma.github.io/Logging_2260/klagomål/A 37470-2023 FSC-klagomål.docx", "A 37470-2023")</f>
        <v/>
      </c>
      <c r="W137">
        <f>HYPERLINK("https://klasma.github.io/Logging_2260/klagomålsmail/A 37470-2023 FSC-klagomål mail.docx", "A 37470-2023")</f>
        <v/>
      </c>
      <c r="X137">
        <f>HYPERLINK("https://klasma.github.io/Logging_2260/tillsyn/A 37470-2023 tillsynsbegäran.docx", "A 37470-2023")</f>
        <v/>
      </c>
      <c r="Y137">
        <f>HYPERLINK("https://klasma.github.io/Logging_2260/tillsynsmail/A 37470-2023 tillsynsbegäran mail.docx", "A 37470-2023")</f>
        <v/>
      </c>
    </row>
    <row r="138" ht="15" customHeight="1">
      <c r="A138" t="inlineStr">
        <is>
          <t>A 39065-2023</t>
        </is>
      </c>
      <c r="B138" s="1" t="n">
        <v>45163</v>
      </c>
      <c r="C138" s="1" t="n">
        <v>45574</v>
      </c>
      <c r="D138" t="inlineStr">
        <is>
          <t>VÄSTERNORRLANDS LÄN</t>
        </is>
      </c>
      <c r="E138" t="inlineStr">
        <is>
          <t>ÅNGE</t>
        </is>
      </c>
      <c r="F138" t="inlineStr">
        <is>
          <t>SCA</t>
        </is>
      </c>
      <c r="G138" t="n">
        <v>3.1</v>
      </c>
      <c r="H138" t="n">
        <v>1</v>
      </c>
      <c r="I138" t="n">
        <v>1</v>
      </c>
      <c r="J138" t="n">
        <v>1</v>
      </c>
      <c r="K138" t="n">
        <v>1</v>
      </c>
      <c r="L138" t="n">
        <v>0</v>
      </c>
      <c r="M138" t="n">
        <v>0</v>
      </c>
      <c r="N138" t="n">
        <v>0</v>
      </c>
      <c r="O138" t="n">
        <v>2</v>
      </c>
      <c r="P138" t="n">
        <v>1</v>
      </c>
      <c r="Q138" t="n">
        <v>3</v>
      </c>
      <c r="R138" s="2" t="inlineStr">
        <is>
          <t>Knärot
Koralltaggsvamp
Stor aspticka</t>
        </is>
      </c>
      <c r="S138">
        <f>HYPERLINK("https://klasma.github.io/Logging_2260/artfynd/A 39065-2023 artfynd.xlsx", "A 39065-2023")</f>
        <v/>
      </c>
      <c r="T138">
        <f>HYPERLINK("https://klasma.github.io/Logging_2260/kartor/A 39065-2023 karta.png", "A 39065-2023")</f>
        <v/>
      </c>
      <c r="U138">
        <f>HYPERLINK("https://klasma.github.io/Logging_2260/knärot/A 39065-2023 karta knärot.png", "A 39065-2023")</f>
        <v/>
      </c>
      <c r="V138">
        <f>HYPERLINK("https://klasma.github.io/Logging_2260/klagomål/A 39065-2023 FSC-klagomål.docx", "A 39065-2023")</f>
        <v/>
      </c>
      <c r="W138">
        <f>HYPERLINK("https://klasma.github.io/Logging_2260/klagomålsmail/A 39065-2023 FSC-klagomål mail.docx", "A 39065-2023")</f>
        <v/>
      </c>
      <c r="X138">
        <f>HYPERLINK("https://klasma.github.io/Logging_2260/tillsyn/A 39065-2023 tillsynsbegäran.docx", "A 39065-2023")</f>
        <v/>
      </c>
      <c r="Y138">
        <f>HYPERLINK("https://klasma.github.io/Logging_2260/tillsynsmail/A 39065-2023 tillsynsbegäran mail.docx", "A 39065-2023")</f>
        <v/>
      </c>
    </row>
    <row r="139" ht="15" customHeight="1">
      <c r="A139" t="inlineStr">
        <is>
          <t>A 40413-2023</t>
        </is>
      </c>
      <c r="B139" s="1" t="n">
        <v>45169</v>
      </c>
      <c r="C139" s="1" t="n">
        <v>45574</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40413-2023 artfynd.xlsx", "A 40413-2023")</f>
        <v/>
      </c>
      <c r="T139">
        <f>HYPERLINK("https://klasma.github.io/Logging_2260/kartor/A 40413-2023 karta.png", "A 40413-2023")</f>
        <v/>
      </c>
      <c r="U139">
        <f>HYPERLINK("https://klasma.github.io/Logging_2260/knärot/A 40413-2023 karta knärot.png", "A 40413-2023")</f>
        <v/>
      </c>
      <c r="V139">
        <f>HYPERLINK("https://klasma.github.io/Logging_2260/klagomål/A 40413-2023 FSC-klagomål.docx", "A 40413-2023")</f>
        <v/>
      </c>
      <c r="W139">
        <f>HYPERLINK("https://klasma.github.io/Logging_2260/klagomålsmail/A 40413-2023 FSC-klagomål mail.docx", "A 40413-2023")</f>
        <v/>
      </c>
      <c r="X139">
        <f>HYPERLINK("https://klasma.github.io/Logging_2260/tillsyn/A 40413-2023 tillsynsbegäran.docx", "A 40413-2023")</f>
        <v/>
      </c>
      <c r="Y139">
        <f>HYPERLINK("https://klasma.github.io/Logging_2260/tillsynsmail/A 40413-2023 tillsynsbegäran mail.docx", "A 40413-2023")</f>
        <v/>
      </c>
    </row>
    <row r="140" ht="15" customHeight="1">
      <c r="A140" t="inlineStr">
        <is>
          <t>A 54748-2023</t>
        </is>
      </c>
      <c r="B140" s="1" t="n">
        <v>45229</v>
      </c>
      <c r="C140" s="1" t="n">
        <v>45574</v>
      </c>
      <c r="D140" t="inlineStr">
        <is>
          <t>VÄSTERNORRLANDS LÄN</t>
        </is>
      </c>
      <c r="E140" t="inlineStr">
        <is>
          <t>ÅNGE</t>
        </is>
      </c>
      <c r="G140" t="n">
        <v>5.8</v>
      </c>
      <c r="H140" t="n">
        <v>1</v>
      </c>
      <c r="I140" t="n">
        <v>2</v>
      </c>
      <c r="J140" t="n">
        <v>0</v>
      </c>
      <c r="K140" t="n">
        <v>1</v>
      </c>
      <c r="L140" t="n">
        <v>0</v>
      </c>
      <c r="M140" t="n">
        <v>0</v>
      </c>
      <c r="N140" t="n">
        <v>0</v>
      </c>
      <c r="O140" t="n">
        <v>1</v>
      </c>
      <c r="P140" t="n">
        <v>1</v>
      </c>
      <c r="Q140" t="n">
        <v>3</v>
      </c>
      <c r="R140" s="2" t="inlineStr">
        <is>
          <t>Knärot
Gulnål
Korallblylav</t>
        </is>
      </c>
      <c r="S140">
        <f>HYPERLINK("https://klasma.github.io/Logging_2260/artfynd/A 54748-2023 artfynd.xlsx", "A 54748-2023")</f>
        <v/>
      </c>
      <c r="T140">
        <f>HYPERLINK("https://klasma.github.io/Logging_2260/kartor/A 54748-2023 karta.png", "A 54748-2023")</f>
        <v/>
      </c>
      <c r="U140">
        <f>HYPERLINK("https://klasma.github.io/Logging_2260/knärot/A 54748-2023 karta knärot.png", "A 54748-2023")</f>
        <v/>
      </c>
      <c r="V140">
        <f>HYPERLINK("https://klasma.github.io/Logging_2260/klagomål/A 54748-2023 FSC-klagomål.docx", "A 54748-2023")</f>
        <v/>
      </c>
      <c r="W140">
        <f>HYPERLINK("https://klasma.github.io/Logging_2260/klagomålsmail/A 54748-2023 FSC-klagomål mail.docx", "A 54748-2023")</f>
        <v/>
      </c>
      <c r="X140">
        <f>HYPERLINK("https://klasma.github.io/Logging_2260/tillsyn/A 54748-2023 tillsynsbegäran.docx", "A 54748-2023")</f>
        <v/>
      </c>
      <c r="Y140">
        <f>HYPERLINK("https://klasma.github.io/Logging_2260/tillsynsmail/A 54748-2023 tillsynsbegäran mail.docx", "A 54748-2023")</f>
        <v/>
      </c>
    </row>
    <row r="141" ht="15" customHeight="1">
      <c r="A141" t="inlineStr">
        <is>
          <t>A 55953-2023</t>
        </is>
      </c>
      <c r="B141" s="1" t="n">
        <v>45240</v>
      </c>
      <c r="C141" s="1" t="n">
        <v>45574</v>
      </c>
      <c r="D141" t="inlineStr">
        <is>
          <t>VÄSTERNORRLANDS LÄN</t>
        </is>
      </c>
      <c r="E141" t="inlineStr">
        <is>
          <t>ÅNGE</t>
        </is>
      </c>
      <c r="F141" t="inlineStr">
        <is>
          <t>Holmen skog AB</t>
        </is>
      </c>
      <c r="G141" t="n">
        <v>5.8</v>
      </c>
      <c r="H141" t="n">
        <v>1</v>
      </c>
      <c r="I141" t="n">
        <v>2</v>
      </c>
      <c r="J141" t="n">
        <v>0</v>
      </c>
      <c r="K141" t="n">
        <v>0</v>
      </c>
      <c r="L141" t="n">
        <v>0</v>
      </c>
      <c r="M141" t="n">
        <v>0</v>
      </c>
      <c r="N141" t="n">
        <v>0</v>
      </c>
      <c r="O141" t="n">
        <v>0</v>
      </c>
      <c r="P141" t="n">
        <v>0</v>
      </c>
      <c r="Q141" t="n">
        <v>3</v>
      </c>
      <c r="R141" s="2" t="inlineStr">
        <is>
          <t>Skinnlav
Stuplav
Blåsippa</t>
        </is>
      </c>
      <c r="S141">
        <f>HYPERLINK("https://klasma.github.io/Logging_2260/artfynd/A 55953-2023 artfynd.xlsx", "A 55953-2023")</f>
        <v/>
      </c>
      <c r="T141">
        <f>HYPERLINK("https://klasma.github.io/Logging_2260/kartor/A 55953-2023 karta.png", "A 55953-2023")</f>
        <v/>
      </c>
      <c r="V141">
        <f>HYPERLINK("https://klasma.github.io/Logging_2260/klagomål/A 55953-2023 FSC-klagomål.docx", "A 55953-2023")</f>
        <v/>
      </c>
      <c r="W141">
        <f>HYPERLINK("https://klasma.github.io/Logging_2260/klagomålsmail/A 55953-2023 FSC-klagomål mail.docx", "A 55953-2023")</f>
        <v/>
      </c>
      <c r="X141">
        <f>HYPERLINK("https://klasma.github.io/Logging_2260/tillsyn/A 55953-2023 tillsynsbegäran.docx", "A 55953-2023")</f>
        <v/>
      </c>
      <c r="Y141">
        <f>HYPERLINK("https://klasma.github.io/Logging_2260/tillsynsmail/A 55953-2023 tillsynsbegäran mail.docx", "A 55953-2023")</f>
        <v/>
      </c>
    </row>
    <row r="142" ht="15" customHeight="1">
      <c r="A142" t="inlineStr">
        <is>
          <t>A 60276-2023</t>
        </is>
      </c>
      <c r="B142" s="1" t="n">
        <v>45257</v>
      </c>
      <c r="C142" s="1" t="n">
        <v>45574</v>
      </c>
      <c r="D142" t="inlineStr">
        <is>
          <t>VÄSTERNORRLANDS LÄN</t>
        </is>
      </c>
      <c r="E142" t="inlineStr">
        <is>
          <t>ÅNGE</t>
        </is>
      </c>
      <c r="G142" t="n">
        <v>1.7</v>
      </c>
      <c r="H142" t="n">
        <v>0</v>
      </c>
      <c r="I142" t="n">
        <v>1</v>
      </c>
      <c r="J142" t="n">
        <v>1</v>
      </c>
      <c r="K142" t="n">
        <v>1</v>
      </c>
      <c r="L142" t="n">
        <v>0</v>
      </c>
      <c r="M142" t="n">
        <v>0</v>
      </c>
      <c r="N142" t="n">
        <v>0</v>
      </c>
      <c r="O142" t="n">
        <v>2</v>
      </c>
      <c r="P142" t="n">
        <v>1</v>
      </c>
      <c r="Q142" t="n">
        <v>3</v>
      </c>
      <c r="R142" s="2" t="inlineStr">
        <is>
          <t>Rynkskinn
Rosenticka
Sotlav</t>
        </is>
      </c>
      <c r="S142">
        <f>HYPERLINK("https://klasma.github.io/Logging_2260/artfynd/A 60276-2023 artfynd.xlsx", "A 60276-2023")</f>
        <v/>
      </c>
      <c r="T142">
        <f>HYPERLINK("https://klasma.github.io/Logging_2260/kartor/A 60276-2023 karta.png", "A 60276-2023")</f>
        <v/>
      </c>
      <c r="V142">
        <f>HYPERLINK("https://klasma.github.io/Logging_2260/klagomål/A 60276-2023 FSC-klagomål.docx", "A 60276-2023")</f>
        <v/>
      </c>
      <c r="W142">
        <f>HYPERLINK("https://klasma.github.io/Logging_2260/klagomålsmail/A 60276-2023 FSC-klagomål mail.docx", "A 60276-2023")</f>
        <v/>
      </c>
      <c r="X142">
        <f>HYPERLINK("https://klasma.github.io/Logging_2260/tillsyn/A 60276-2023 tillsynsbegäran.docx", "A 60276-2023")</f>
        <v/>
      </c>
      <c r="Y142">
        <f>HYPERLINK("https://klasma.github.io/Logging_2260/tillsynsmail/A 60276-2023 tillsynsbegäran mail.docx", "A 60276-2023")</f>
        <v/>
      </c>
    </row>
    <row r="143" ht="15" customHeight="1">
      <c r="A143" t="inlineStr">
        <is>
          <t>A 1056-2024</t>
        </is>
      </c>
      <c r="B143" s="1" t="n">
        <v>45301</v>
      </c>
      <c r="C143" s="1" t="n">
        <v>45574</v>
      </c>
      <c r="D143" t="inlineStr">
        <is>
          <t>VÄSTERNORRLANDS LÄN</t>
        </is>
      </c>
      <c r="E143" t="inlineStr">
        <is>
          <t>ÅNGE</t>
        </is>
      </c>
      <c r="F143" t="inlineStr">
        <is>
          <t>SCA</t>
        </is>
      </c>
      <c r="G143" t="n">
        <v>9.4</v>
      </c>
      <c r="H143" t="n">
        <v>0</v>
      </c>
      <c r="I143" t="n">
        <v>0</v>
      </c>
      <c r="J143" t="n">
        <v>3</v>
      </c>
      <c r="K143" t="n">
        <v>0</v>
      </c>
      <c r="L143" t="n">
        <v>0</v>
      </c>
      <c r="M143" t="n">
        <v>0</v>
      </c>
      <c r="N143" t="n">
        <v>0</v>
      </c>
      <c r="O143" t="n">
        <v>3</v>
      </c>
      <c r="P143" t="n">
        <v>0</v>
      </c>
      <c r="Q143" t="n">
        <v>3</v>
      </c>
      <c r="R143" s="2" t="inlineStr">
        <is>
          <t>Garnlav
Lunglav
Mörk kolflarnlav</t>
        </is>
      </c>
      <c r="S143">
        <f>HYPERLINK("https://klasma.github.io/Logging_2260/artfynd/A 1056-2024 artfynd.xlsx", "A 1056-2024")</f>
        <v/>
      </c>
      <c r="T143">
        <f>HYPERLINK("https://klasma.github.io/Logging_2260/kartor/A 1056-2024 karta.png", "A 1056-2024")</f>
        <v/>
      </c>
      <c r="V143">
        <f>HYPERLINK("https://klasma.github.io/Logging_2260/klagomål/A 1056-2024 FSC-klagomål.docx", "A 1056-2024")</f>
        <v/>
      </c>
      <c r="W143">
        <f>HYPERLINK("https://klasma.github.io/Logging_2260/klagomålsmail/A 1056-2024 FSC-klagomål mail.docx", "A 1056-2024")</f>
        <v/>
      </c>
      <c r="X143">
        <f>HYPERLINK("https://klasma.github.io/Logging_2260/tillsyn/A 1056-2024 tillsynsbegäran.docx", "A 1056-2024")</f>
        <v/>
      </c>
      <c r="Y143">
        <f>HYPERLINK("https://klasma.github.io/Logging_2260/tillsynsmail/A 1056-2024 tillsynsbegäran mail.docx", "A 1056-2024")</f>
        <v/>
      </c>
    </row>
    <row r="144" ht="15" customHeight="1">
      <c r="A144" t="inlineStr">
        <is>
          <t>A 2428-2024</t>
        </is>
      </c>
      <c r="B144" s="1" t="n">
        <v>45310</v>
      </c>
      <c r="C144" s="1" t="n">
        <v>45574</v>
      </c>
      <c r="D144" t="inlineStr">
        <is>
          <t>VÄSTERNORRLANDS LÄN</t>
        </is>
      </c>
      <c r="E144" t="inlineStr">
        <is>
          <t>ÅNGE</t>
        </is>
      </c>
      <c r="F144" t="inlineStr">
        <is>
          <t>SCA</t>
        </is>
      </c>
      <c r="G144" t="n">
        <v>15.6</v>
      </c>
      <c r="H144" t="n">
        <v>1</v>
      </c>
      <c r="I144" t="n">
        <v>0</v>
      </c>
      <c r="J144" t="n">
        <v>3</v>
      </c>
      <c r="K144" t="n">
        <v>0</v>
      </c>
      <c r="L144" t="n">
        <v>0</v>
      </c>
      <c r="M144" t="n">
        <v>0</v>
      </c>
      <c r="N144" t="n">
        <v>0</v>
      </c>
      <c r="O144" t="n">
        <v>3</v>
      </c>
      <c r="P144" t="n">
        <v>0</v>
      </c>
      <c r="Q144" t="n">
        <v>3</v>
      </c>
      <c r="R144" s="2" t="inlineStr">
        <is>
          <t>Garnlav
Kolflarnlav
Tretåig hackspett</t>
        </is>
      </c>
      <c r="S144">
        <f>HYPERLINK("https://klasma.github.io/Logging_2260/artfynd/A 2428-2024 artfynd.xlsx", "A 2428-2024")</f>
        <v/>
      </c>
      <c r="T144">
        <f>HYPERLINK("https://klasma.github.io/Logging_2260/kartor/A 2428-2024 karta.png", "A 2428-2024")</f>
        <v/>
      </c>
      <c r="V144">
        <f>HYPERLINK("https://klasma.github.io/Logging_2260/klagomål/A 2428-2024 FSC-klagomål.docx", "A 2428-2024")</f>
        <v/>
      </c>
      <c r="W144">
        <f>HYPERLINK("https://klasma.github.io/Logging_2260/klagomålsmail/A 2428-2024 FSC-klagomål mail.docx", "A 2428-2024")</f>
        <v/>
      </c>
      <c r="X144">
        <f>HYPERLINK("https://klasma.github.io/Logging_2260/tillsyn/A 2428-2024 tillsynsbegäran.docx", "A 2428-2024")</f>
        <v/>
      </c>
      <c r="Y144">
        <f>HYPERLINK("https://klasma.github.io/Logging_2260/tillsynsmail/A 2428-2024 tillsynsbegäran mail.docx", "A 2428-2024")</f>
        <v/>
      </c>
      <c r="Z144">
        <f>HYPERLINK("https://klasma.github.io/Logging_2260/fåglar/A 2428-2024 prioriterade fågelarter.docx", "A 2428-2024")</f>
        <v/>
      </c>
    </row>
    <row r="145" ht="15" customHeight="1">
      <c r="A145" t="inlineStr">
        <is>
          <t>A 24796-2024</t>
        </is>
      </c>
      <c r="B145" s="1" t="n">
        <v>45460</v>
      </c>
      <c r="C145" s="1" t="n">
        <v>45574</v>
      </c>
      <c r="D145" t="inlineStr">
        <is>
          <t>VÄSTERNORRLANDS LÄN</t>
        </is>
      </c>
      <c r="E145" t="inlineStr">
        <is>
          <t>ÅNGE</t>
        </is>
      </c>
      <c r="F145" t="inlineStr">
        <is>
          <t>SCA</t>
        </is>
      </c>
      <c r="G145" t="n">
        <v>6.7</v>
      </c>
      <c r="H145" t="n">
        <v>1</v>
      </c>
      <c r="I145" t="n">
        <v>2</v>
      </c>
      <c r="J145" t="n">
        <v>1</v>
      </c>
      <c r="K145" t="n">
        <v>0</v>
      </c>
      <c r="L145" t="n">
        <v>0</v>
      </c>
      <c r="M145" t="n">
        <v>0</v>
      </c>
      <c r="N145" t="n">
        <v>0</v>
      </c>
      <c r="O145" t="n">
        <v>1</v>
      </c>
      <c r="P145" t="n">
        <v>0</v>
      </c>
      <c r="Q145" t="n">
        <v>3</v>
      </c>
      <c r="R145" s="2" t="inlineStr">
        <is>
          <t>Doftskinn
Korallrot
Skinnlav</t>
        </is>
      </c>
      <c r="S145">
        <f>HYPERLINK("https://klasma.github.io/Logging_2260/artfynd/A 24796-2024 artfynd.xlsx", "A 24796-2024")</f>
        <v/>
      </c>
      <c r="T145">
        <f>HYPERLINK("https://klasma.github.io/Logging_2260/kartor/A 24796-2024 karta.png", "A 24796-2024")</f>
        <v/>
      </c>
      <c r="V145">
        <f>HYPERLINK("https://klasma.github.io/Logging_2260/klagomål/A 24796-2024 FSC-klagomål.docx", "A 24796-2024")</f>
        <v/>
      </c>
      <c r="W145">
        <f>HYPERLINK("https://klasma.github.io/Logging_2260/klagomålsmail/A 24796-2024 FSC-klagomål mail.docx", "A 24796-2024")</f>
        <v/>
      </c>
      <c r="X145">
        <f>HYPERLINK("https://klasma.github.io/Logging_2260/tillsyn/A 24796-2024 tillsynsbegäran.docx", "A 24796-2024")</f>
        <v/>
      </c>
      <c r="Y145">
        <f>HYPERLINK("https://klasma.github.io/Logging_2260/tillsynsmail/A 24796-2024 tillsynsbegäran mail.docx", "A 24796-2024")</f>
        <v/>
      </c>
    </row>
    <row r="146" ht="15" customHeight="1">
      <c r="A146" t="inlineStr">
        <is>
          <t>A 27660-2024</t>
        </is>
      </c>
      <c r="B146" s="1" t="n">
        <v>45474</v>
      </c>
      <c r="C146" s="1" t="n">
        <v>45574</v>
      </c>
      <c r="D146" t="inlineStr">
        <is>
          <t>VÄSTERNORRLANDS LÄN</t>
        </is>
      </c>
      <c r="E146" t="inlineStr">
        <is>
          <t>ÅNGE</t>
        </is>
      </c>
      <c r="F146" t="inlineStr">
        <is>
          <t>SCA</t>
        </is>
      </c>
      <c r="G146" t="n">
        <v>4.2</v>
      </c>
      <c r="H146" t="n">
        <v>1</v>
      </c>
      <c r="I146" t="n">
        <v>0</v>
      </c>
      <c r="J146" t="n">
        <v>2</v>
      </c>
      <c r="K146" t="n">
        <v>1</v>
      </c>
      <c r="L146" t="n">
        <v>0</v>
      </c>
      <c r="M146" t="n">
        <v>0</v>
      </c>
      <c r="N146" t="n">
        <v>0</v>
      </c>
      <c r="O146" t="n">
        <v>3</v>
      </c>
      <c r="P146" t="n">
        <v>1</v>
      </c>
      <c r="Q146" t="n">
        <v>3</v>
      </c>
      <c r="R146" s="2" t="inlineStr">
        <is>
          <t>Knärot
Garnlav
Lunglav</t>
        </is>
      </c>
      <c r="S146">
        <f>HYPERLINK("https://klasma.github.io/Logging_2260/artfynd/A 27660-2024 artfynd.xlsx", "A 27660-2024")</f>
        <v/>
      </c>
      <c r="T146">
        <f>HYPERLINK("https://klasma.github.io/Logging_2260/kartor/A 27660-2024 karta.png", "A 27660-2024")</f>
        <v/>
      </c>
      <c r="U146">
        <f>HYPERLINK("https://klasma.github.io/Logging_2260/knärot/A 27660-2024 karta knärot.png", "A 27660-2024")</f>
        <v/>
      </c>
      <c r="V146">
        <f>HYPERLINK("https://klasma.github.io/Logging_2260/klagomål/A 27660-2024 FSC-klagomål.docx", "A 27660-2024")</f>
        <v/>
      </c>
      <c r="W146">
        <f>HYPERLINK("https://klasma.github.io/Logging_2260/klagomålsmail/A 27660-2024 FSC-klagomål mail.docx", "A 27660-2024")</f>
        <v/>
      </c>
      <c r="X146">
        <f>HYPERLINK("https://klasma.github.io/Logging_2260/tillsyn/A 27660-2024 tillsynsbegäran.docx", "A 27660-2024")</f>
        <v/>
      </c>
      <c r="Y146">
        <f>HYPERLINK("https://klasma.github.io/Logging_2260/tillsynsmail/A 27660-2024 tillsynsbegäran mail.docx", "A 27660-2024")</f>
        <v/>
      </c>
    </row>
    <row r="147" ht="15" customHeight="1">
      <c r="A147" t="inlineStr">
        <is>
          <t>A 29461-2024</t>
        </is>
      </c>
      <c r="B147" s="1" t="n">
        <v>45484</v>
      </c>
      <c r="C147" s="1" t="n">
        <v>45574</v>
      </c>
      <c r="D147" t="inlineStr">
        <is>
          <t>VÄSTERNORRLANDS LÄN</t>
        </is>
      </c>
      <c r="E147" t="inlineStr">
        <is>
          <t>ÅNGE</t>
        </is>
      </c>
      <c r="F147" t="inlineStr">
        <is>
          <t>SCA</t>
        </is>
      </c>
      <c r="G147" t="n">
        <v>3.9</v>
      </c>
      <c r="H147" t="n">
        <v>0</v>
      </c>
      <c r="I147" t="n">
        <v>0</v>
      </c>
      <c r="J147" t="n">
        <v>3</v>
      </c>
      <c r="K147" t="n">
        <v>0</v>
      </c>
      <c r="L147" t="n">
        <v>0</v>
      </c>
      <c r="M147" t="n">
        <v>0</v>
      </c>
      <c r="N147" t="n">
        <v>0</v>
      </c>
      <c r="O147" t="n">
        <v>3</v>
      </c>
      <c r="P147" t="n">
        <v>0</v>
      </c>
      <c r="Q147" t="n">
        <v>3</v>
      </c>
      <c r="R147" s="2" t="inlineStr">
        <is>
          <t>Dvärgbägarlav
Kolflarnlav
Mörk kolflarnlav</t>
        </is>
      </c>
      <c r="S147">
        <f>HYPERLINK("https://klasma.github.io/Logging_2260/artfynd/A 29461-2024 artfynd.xlsx", "A 29461-2024")</f>
        <v/>
      </c>
      <c r="T147">
        <f>HYPERLINK("https://klasma.github.io/Logging_2260/kartor/A 29461-2024 karta.png", "A 29461-2024")</f>
        <v/>
      </c>
      <c r="V147">
        <f>HYPERLINK("https://klasma.github.io/Logging_2260/klagomål/A 29461-2024 FSC-klagomål.docx", "A 29461-2024")</f>
        <v/>
      </c>
      <c r="W147">
        <f>HYPERLINK("https://klasma.github.io/Logging_2260/klagomålsmail/A 29461-2024 FSC-klagomål mail.docx", "A 29461-2024")</f>
        <v/>
      </c>
      <c r="X147">
        <f>HYPERLINK("https://klasma.github.io/Logging_2260/tillsyn/A 29461-2024 tillsynsbegäran.docx", "A 29461-2024")</f>
        <v/>
      </c>
      <c r="Y147">
        <f>HYPERLINK("https://klasma.github.io/Logging_2260/tillsynsmail/A 29461-2024 tillsynsbegäran mail.docx", "A 29461-2024")</f>
        <v/>
      </c>
    </row>
    <row r="148" ht="15" customHeight="1">
      <c r="A148" t="inlineStr">
        <is>
          <t>A 29665-2024</t>
        </is>
      </c>
      <c r="B148" s="1" t="n">
        <v>45484</v>
      </c>
      <c r="C148" s="1" t="n">
        <v>45574</v>
      </c>
      <c r="D148" t="inlineStr">
        <is>
          <t>VÄSTERNORRLANDS LÄN</t>
        </is>
      </c>
      <c r="E148" t="inlineStr">
        <is>
          <t>ÅNGE</t>
        </is>
      </c>
      <c r="F148" t="inlineStr">
        <is>
          <t>SCA</t>
        </is>
      </c>
      <c r="G148" t="n">
        <v>3.3</v>
      </c>
      <c r="H148" t="n">
        <v>1</v>
      </c>
      <c r="I148" t="n">
        <v>0</v>
      </c>
      <c r="J148" t="n">
        <v>3</v>
      </c>
      <c r="K148" t="n">
        <v>0</v>
      </c>
      <c r="L148" t="n">
        <v>0</v>
      </c>
      <c r="M148" t="n">
        <v>0</v>
      </c>
      <c r="N148" t="n">
        <v>0</v>
      </c>
      <c r="O148" t="n">
        <v>3</v>
      </c>
      <c r="P148" t="n">
        <v>0</v>
      </c>
      <c r="Q148" t="n">
        <v>3</v>
      </c>
      <c r="R148" s="2" t="inlineStr">
        <is>
          <t>Garnlav
Granticka
Utter</t>
        </is>
      </c>
      <c r="S148">
        <f>HYPERLINK("https://klasma.github.io/Logging_2260/artfynd/A 29665-2024 artfynd.xlsx", "A 29665-2024")</f>
        <v/>
      </c>
      <c r="T148">
        <f>HYPERLINK("https://klasma.github.io/Logging_2260/kartor/A 29665-2024 karta.png", "A 29665-2024")</f>
        <v/>
      </c>
      <c r="V148">
        <f>HYPERLINK("https://klasma.github.io/Logging_2260/klagomål/A 29665-2024 FSC-klagomål.docx", "A 29665-2024")</f>
        <v/>
      </c>
      <c r="W148">
        <f>HYPERLINK("https://klasma.github.io/Logging_2260/klagomålsmail/A 29665-2024 FSC-klagomål mail.docx", "A 29665-2024")</f>
        <v/>
      </c>
      <c r="X148">
        <f>HYPERLINK("https://klasma.github.io/Logging_2260/tillsyn/A 29665-2024 tillsynsbegäran.docx", "A 29665-2024")</f>
        <v/>
      </c>
      <c r="Y148">
        <f>HYPERLINK("https://klasma.github.io/Logging_2260/tillsynsmail/A 29665-2024 tillsynsbegäran mail.docx", "A 29665-2024")</f>
        <v/>
      </c>
    </row>
    <row r="149" ht="15" customHeight="1">
      <c r="A149" t="inlineStr">
        <is>
          <t>A 29691-2024</t>
        </is>
      </c>
      <c r="B149" s="1" t="n">
        <v>45485</v>
      </c>
      <c r="C149" s="1" t="n">
        <v>45574</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39182-2024</t>
        </is>
      </c>
      <c r="B150" s="1" t="n">
        <v>45548</v>
      </c>
      <c r="C150" s="1" t="n">
        <v>45574</v>
      </c>
      <c r="D150" t="inlineStr">
        <is>
          <t>VÄSTERNORRLANDS LÄN</t>
        </is>
      </c>
      <c r="E150" t="inlineStr">
        <is>
          <t>ÅNGE</t>
        </is>
      </c>
      <c r="F150" t="inlineStr">
        <is>
          <t>SCA</t>
        </is>
      </c>
      <c r="G150" t="n">
        <v>9.4</v>
      </c>
      <c r="H150" t="n">
        <v>0</v>
      </c>
      <c r="I150" t="n">
        <v>0</v>
      </c>
      <c r="J150" t="n">
        <v>3</v>
      </c>
      <c r="K150" t="n">
        <v>0</v>
      </c>
      <c r="L150" t="n">
        <v>0</v>
      </c>
      <c r="M150" t="n">
        <v>0</v>
      </c>
      <c r="N150" t="n">
        <v>0</v>
      </c>
      <c r="O150" t="n">
        <v>3</v>
      </c>
      <c r="P150" t="n">
        <v>0</v>
      </c>
      <c r="Q150" t="n">
        <v>3</v>
      </c>
      <c r="R150" s="2" t="inlineStr">
        <is>
          <t>Garnlav
Gul taggsvamp
Vedtrappmossa</t>
        </is>
      </c>
      <c r="S150">
        <f>HYPERLINK("https://klasma.github.io/Logging_2260/artfynd/A 39182-2024 artfynd.xlsx", "A 39182-2024")</f>
        <v/>
      </c>
      <c r="T150">
        <f>HYPERLINK("https://klasma.github.io/Logging_2260/kartor/A 39182-2024 karta.png", "A 39182-2024")</f>
        <v/>
      </c>
      <c r="V150">
        <f>HYPERLINK("https://klasma.github.io/Logging_2260/klagomål/A 39182-2024 FSC-klagomål.docx", "A 39182-2024")</f>
        <v/>
      </c>
      <c r="W150">
        <f>HYPERLINK("https://klasma.github.io/Logging_2260/klagomålsmail/A 39182-2024 FSC-klagomål mail.docx", "A 39182-2024")</f>
        <v/>
      </c>
      <c r="X150">
        <f>HYPERLINK("https://klasma.github.io/Logging_2260/tillsyn/A 39182-2024 tillsynsbegäran.docx", "A 39182-2024")</f>
        <v/>
      </c>
      <c r="Y150">
        <f>HYPERLINK("https://klasma.github.io/Logging_2260/tillsynsmail/A 39182-2024 tillsynsbegäran mail.docx", "A 39182-2024")</f>
        <v/>
      </c>
    </row>
    <row r="151" ht="15" customHeight="1">
      <c r="A151" t="inlineStr">
        <is>
          <t>A 39179-2024</t>
        </is>
      </c>
      <c r="B151" s="1" t="n">
        <v>45548</v>
      </c>
      <c r="C151" s="1" t="n">
        <v>45574</v>
      </c>
      <c r="D151" t="inlineStr">
        <is>
          <t>VÄSTERNORRLANDS LÄN</t>
        </is>
      </c>
      <c r="E151" t="inlineStr">
        <is>
          <t>ÅNGE</t>
        </is>
      </c>
      <c r="F151" t="inlineStr">
        <is>
          <t>SCA</t>
        </is>
      </c>
      <c r="G151" t="n">
        <v>4.2</v>
      </c>
      <c r="H151" t="n">
        <v>1</v>
      </c>
      <c r="I151" t="n">
        <v>2</v>
      </c>
      <c r="J151" t="n">
        <v>1</v>
      </c>
      <c r="K151" t="n">
        <v>0</v>
      </c>
      <c r="L151" t="n">
        <v>0</v>
      </c>
      <c r="M151" t="n">
        <v>0</v>
      </c>
      <c r="N151" t="n">
        <v>0</v>
      </c>
      <c r="O151" t="n">
        <v>1</v>
      </c>
      <c r="P151" t="n">
        <v>0</v>
      </c>
      <c r="Q151" t="n">
        <v>3</v>
      </c>
      <c r="R151" s="2" t="inlineStr">
        <is>
          <t>Rosenticka
Fjällig taggsvamp s.str.
Spindelblomster</t>
        </is>
      </c>
      <c r="S151">
        <f>HYPERLINK("https://klasma.github.io/Logging_2260/artfynd/A 39179-2024 artfynd.xlsx", "A 39179-2024")</f>
        <v/>
      </c>
      <c r="T151">
        <f>HYPERLINK("https://klasma.github.io/Logging_2260/kartor/A 39179-2024 karta.png", "A 39179-2024")</f>
        <v/>
      </c>
      <c r="V151">
        <f>HYPERLINK("https://klasma.github.io/Logging_2260/klagomål/A 39179-2024 FSC-klagomål.docx", "A 39179-2024")</f>
        <v/>
      </c>
      <c r="W151">
        <f>HYPERLINK("https://klasma.github.io/Logging_2260/klagomålsmail/A 39179-2024 FSC-klagomål mail.docx", "A 39179-2024")</f>
        <v/>
      </c>
      <c r="X151">
        <f>HYPERLINK("https://klasma.github.io/Logging_2260/tillsyn/A 39179-2024 tillsynsbegäran.docx", "A 39179-2024")</f>
        <v/>
      </c>
      <c r="Y151">
        <f>HYPERLINK("https://klasma.github.io/Logging_2260/tillsynsmail/A 39179-2024 tillsynsbegäran mail.docx", "A 39179-2024")</f>
        <v/>
      </c>
    </row>
    <row r="152" ht="15" customHeight="1">
      <c r="A152" t="inlineStr">
        <is>
          <t>A 39181-2024</t>
        </is>
      </c>
      <c r="B152" s="1" t="n">
        <v>45548</v>
      </c>
      <c r="C152" s="1" t="n">
        <v>45574</v>
      </c>
      <c r="D152" t="inlineStr">
        <is>
          <t>VÄSTERNORRLANDS LÄN</t>
        </is>
      </c>
      <c r="E152" t="inlineStr">
        <is>
          <t>ÅNGE</t>
        </is>
      </c>
      <c r="F152" t="inlineStr">
        <is>
          <t>SCA</t>
        </is>
      </c>
      <c r="G152" t="n">
        <v>21.1</v>
      </c>
      <c r="H152" t="n">
        <v>1</v>
      </c>
      <c r="I152" t="n">
        <v>1</v>
      </c>
      <c r="J152" t="n">
        <v>1</v>
      </c>
      <c r="K152" t="n">
        <v>1</v>
      </c>
      <c r="L152" t="n">
        <v>0</v>
      </c>
      <c r="M152" t="n">
        <v>0</v>
      </c>
      <c r="N152" t="n">
        <v>0</v>
      </c>
      <c r="O152" t="n">
        <v>2</v>
      </c>
      <c r="P152" t="n">
        <v>1</v>
      </c>
      <c r="Q152" t="n">
        <v>3</v>
      </c>
      <c r="R152" s="2" t="inlineStr">
        <is>
          <t>Knärot
Granticka
Kransrams</t>
        </is>
      </c>
      <c r="S152">
        <f>HYPERLINK("https://klasma.github.io/Logging_2260/artfynd/A 39181-2024 artfynd.xlsx", "A 39181-2024")</f>
        <v/>
      </c>
      <c r="T152">
        <f>HYPERLINK("https://klasma.github.io/Logging_2260/kartor/A 39181-2024 karta.png", "A 39181-2024")</f>
        <v/>
      </c>
      <c r="U152">
        <f>HYPERLINK("https://klasma.github.io/Logging_2260/knärot/A 39181-2024 karta knärot.png", "A 39181-2024")</f>
        <v/>
      </c>
      <c r="V152">
        <f>HYPERLINK("https://klasma.github.io/Logging_2260/klagomål/A 39181-2024 FSC-klagomål.docx", "A 39181-2024")</f>
        <v/>
      </c>
      <c r="W152">
        <f>HYPERLINK("https://klasma.github.io/Logging_2260/klagomålsmail/A 39181-2024 FSC-klagomål mail.docx", "A 39181-2024")</f>
        <v/>
      </c>
      <c r="X152">
        <f>HYPERLINK("https://klasma.github.io/Logging_2260/tillsyn/A 39181-2024 tillsynsbegäran.docx", "A 39181-2024")</f>
        <v/>
      </c>
      <c r="Y152">
        <f>HYPERLINK("https://klasma.github.io/Logging_2260/tillsynsmail/A 39181-2024 tillsynsbegäran mail.docx", "A 39181-2024")</f>
        <v/>
      </c>
    </row>
    <row r="153" ht="15" customHeight="1">
      <c r="A153" t="inlineStr">
        <is>
          <t>A 39708-2024</t>
        </is>
      </c>
      <c r="B153" s="1" t="n">
        <v>45552</v>
      </c>
      <c r="C153" s="1" t="n">
        <v>45574</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34494-2019</t>
        </is>
      </c>
      <c r="B154" s="1" t="n">
        <v>43656</v>
      </c>
      <c r="C154" s="1" t="n">
        <v>45574</v>
      </c>
      <c r="D154" t="inlineStr">
        <is>
          <t>VÄSTERNORRLANDS LÄN</t>
        </is>
      </c>
      <c r="E154" t="inlineStr">
        <is>
          <t>ÅNGE</t>
        </is>
      </c>
      <c r="F154" t="inlineStr">
        <is>
          <t>SCA</t>
        </is>
      </c>
      <c r="G154" t="n">
        <v>3.3</v>
      </c>
      <c r="H154" t="n">
        <v>0</v>
      </c>
      <c r="I154" t="n">
        <v>1</v>
      </c>
      <c r="J154" t="n">
        <v>1</v>
      </c>
      <c r="K154" t="n">
        <v>0</v>
      </c>
      <c r="L154" t="n">
        <v>0</v>
      </c>
      <c r="M154" t="n">
        <v>0</v>
      </c>
      <c r="N154" t="n">
        <v>0</v>
      </c>
      <c r="O154" t="n">
        <v>1</v>
      </c>
      <c r="P154" t="n">
        <v>0</v>
      </c>
      <c r="Q154" t="n">
        <v>2</v>
      </c>
      <c r="R154" s="2" t="inlineStr">
        <is>
          <t>Garnlav
Korallblylav</t>
        </is>
      </c>
      <c r="S154">
        <f>HYPERLINK("https://klasma.github.io/Logging_2260/artfynd/A 34494-2019 artfynd.xlsx", "A 34494-2019")</f>
        <v/>
      </c>
      <c r="T154">
        <f>HYPERLINK("https://klasma.github.io/Logging_2260/kartor/A 34494-2019 karta.png", "A 34494-2019")</f>
        <v/>
      </c>
      <c r="V154">
        <f>HYPERLINK("https://klasma.github.io/Logging_2260/klagomål/A 34494-2019 FSC-klagomål.docx", "A 34494-2019")</f>
        <v/>
      </c>
      <c r="W154">
        <f>HYPERLINK("https://klasma.github.io/Logging_2260/klagomålsmail/A 34494-2019 FSC-klagomål mail.docx", "A 34494-2019")</f>
        <v/>
      </c>
      <c r="X154">
        <f>HYPERLINK("https://klasma.github.io/Logging_2260/tillsyn/A 34494-2019 tillsynsbegäran.docx", "A 34494-2019")</f>
        <v/>
      </c>
      <c r="Y154">
        <f>HYPERLINK("https://klasma.github.io/Logging_2260/tillsynsmail/A 34494-2019 tillsynsbegäran mail.docx", "A 34494-2019")</f>
        <v/>
      </c>
    </row>
    <row r="155" ht="15" customHeight="1">
      <c r="A155" t="inlineStr">
        <is>
          <t>A 38332-2019</t>
        </is>
      </c>
      <c r="B155" s="1" t="n">
        <v>43684</v>
      </c>
      <c r="C155" s="1" t="n">
        <v>45574</v>
      </c>
      <c r="D155" t="inlineStr">
        <is>
          <t>VÄSTERNORRLANDS LÄN</t>
        </is>
      </c>
      <c r="E155" t="inlineStr">
        <is>
          <t>ÅNGE</t>
        </is>
      </c>
      <c r="F155" t="inlineStr">
        <is>
          <t>SCA</t>
        </is>
      </c>
      <c r="G155" t="n">
        <v>5</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38332-2019 artfynd.xlsx", "A 38332-2019")</f>
        <v/>
      </c>
      <c r="T155">
        <f>HYPERLINK("https://klasma.github.io/Logging_2260/kartor/A 38332-2019 karta.png", "A 38332-2019")</f>
        <v/>
      </c>
      <c r="V155">
        <f>HYPERLINK("https://klasma.github.io/Logging_2260/klagomål/A 38332-2019 FSC-klagomål.docx", "A 38332-2019")</f>
        <v/>
      </c>
      <c r="W155">
        <f>HYPERLINK("https://klasma.github.io/Logging_2260/klagomålsmail/A 38332-2019 FSC-klagomål mail.docx", "A 38332-2019")</f>
        <v/>
      </c>
      <c r="X155">
        <f>HYPERLINK("https://klasma.github.io/Logging_2260/tillsyn/A 38332-2019 tillsynsbegäran.docx", "A 38332-2019")</f>
        <v/>
      </c>
      <c r="Y155">
        <f>HYPERLINK("https://klasma.github.io/Logging_2260/tillsynsmail/A 38332-2019 tillsynsbegäran mail.docx", "A 38332-2019")</f>
        <v/>
      </c>
    </row>
    <row r="156" ht="15" customHeight="1">
      <c r="A156" t="inlineStr">
        <is>
          <t>A 3991-2020</t>
        </is>
      </c>
      <c r="B156" s="1" t="n">
        <v>43856</v>
      </c>
      <c r="C156" s="1" t="n">
        <v>45574</v>
      </c>
      <c r="D156" t="inlineStr">
        <is>
          <t>VÄSTERNORRLANDS LÄN</t>
        </is>
      </c>
      <c r="E156" t="inlineStr">
        <is>
          <t>ÅNGE</t>
        </is>
      </c>
      <c r="G156" t="n">
        <v>5</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3991-2020 artfynd.xlsx", "A 3991-2020")</f>
        <v/>
      </c>
      <c r="T156">
        <f>HYPERLINK("https://klasma.github.io/Logging_2260/kartor/A 3991-2020 karta.png", "A 3991-2020")</f>
        <v/>
      </c>
      <c r="V156">
        <f>HYPERLINK("https://klasma.github.io/Logging_2260/klagomål/A 3991-2020 FSC-klagomål.docx", "A 3991-2020")</f>
        <v/>
      </c>
      <c r="W156">
        <f>HYPERLINK("https://klasma.github.io/Logging_2260/klagomålsmail/A 3991-2020 FSC-klagomål mail.docx", "A 3991-2020")</f>
        <v/>
      </c>
      <c r="X156">
        <f>HYPERLINK("https://klasma.github.io/Logging_2260/tillsyn/A 3991-2020 tillsynsbegäran.docx", "A 3991-2020")</f>
        <v/>
      </c>
      <c r="Y156">
        <f>HYPERLINK("https://klasma.github.io/Logging_2260/tillsynsmail/A 3991-2020 tillsynsbegäran mail.docx", "A 3991-2020")</f>
        <v/>
      </c>
    </row>
    <row r="157" ht="15" customHeight="1">
      <c r="A157" t="inlineStr">
        <is>
          <t>A 46130-2020</t>
        </is>
      </c>
      <c r="B157" s="1" t="n">
        <v>44091</v>
      </c>
      <c r="C157" s="1" t="n">
        <v>45574</v>
      </c>
      <c r="D157" t="inlineStr">
        <is>
          <t>VÄSTERNORRLANDS LÄN</t>
        </is>
      </c>
      <c r="E157" t="inlineStr">
        <is>
          <t>ÅNGE</t>
        </is>
      </c>
      <c r="F157" t="inlineStr">
        <is>
          <t>SCA</t>
        </is>
      </c>
      <c r="G157" t="n">
        <v>8.4</v>
      </c>
      <c r="H157" t="n">
        <v>0</v>
      </c>
      <c r="I157" t="n">
        <v>1</v>
      </c>
      <c r="J157" t="n">
        <v>1</v>
      </c>
      <c r="K157" t="n">
        <v>0</v>
      </c>
      <c r="L157" t="n">
        <v>0</v>
      </c>
      <c r="M157" t="n">
        <v>0</v>
      </c>
      <c r="N157" t="n">
        <v>0</v>
      </c>
      <c r="O157" t="n">
        <v>1</v>
      </c>
      <c r="P157" t="n">
        <v>0</v>
      </c>
      <c r="Q157" t="n">
        <v>2</v>
      </c>
      <c r="R157" s="2" t="inlineStr">
        <is>
          <t>Ullticka
Kambräken</t>
        </is>
      </c>
      <c r="S157">
        <f>HYPERLINK("https://klasma.github.io/Logging_2260/artfynd/A 46130-2020 artfynd.xlsx", "A 46130-2020")</f>
        <v/>
      </c>
      <c r="T157">
        <f>HYPERLINK("https://klasma.github.io/Logging_2260/kartor/A 46130-2020 karta.png", "A 46130-2020")</f>
        <v/>
      </c>
      <c r="V157">
        <f>HYPERLINK("https://klasma.github.io/Logging_2260/klagomål/A 46130-2020 FSC-klagomål.docx", "A 46130-2020")</f>
        <v/>
      </c>
      <c r="W157">
        <f>HYPERLINK("https://klasma.github.io/Logging_2260/klagomålsmail/A 46130-2020 FSC-klagomål mail.docx", "A 46130-2020")</f>
        <v/>
      </c>
      <c r="X157">
        <f>HYPERLINK("https://klasma.github.io/Logging_2260/tillsyn/A 46130-2020 tillsynsbegäran.docx", "A 46130-2020")</f>
        <v/>
      </c>
      <c r="Y157">
        <f>HYPERLINK("https://klasma.github.io/Logging_2260/tillsynsmail/A 46130-2020 tillsynsbegäran mail.docx", "A 46130-2020")</f>
        <v/>
      </c>
    </row>
    <row r="158" ht="15" customHeight="1">
      <c r="A158" t="inlineStr">
        <is>
          <t>A 51694-2020</t>
        </is>
      </c>
      <c r="B158" s="1" t="n">
        <v>44113</v>
      </c>
      <c r="C158" s="1" t="n">
        <v>45574</v>
      </c>
      <c r="D158" t="inlineStr">
        <is>
          <t>VÄSTERNORRLANDS LÄN</t>
        </is>
      </c>
      <c r="E158" t="inlineStr">
        <is>
          <t>ÅNGE</t>
        </is>
      </c>
      <c r="F158" t="inlineStr">
        <is>
          <t>SCA</t>
        </is>
      </c>
      <c r="G158" t="n">
        <v>8.300000000000001</v>
      </c>
      <c r="H158" t="n">
        <v>0</v>
      </c>
      <c r="I158" t="n">
        <v>0</v>
      </c>
      <c r="J158" t="n">
        <v>2</v>
      </c>
      <c r="K158" t="n">
        <v>0</v>
      </c>
      <c r="L158" t="n">
        <v>0</v>
      </c>
      <c r="M158" t="n">
        <v>0</v>
      </c>
      <c r="N158" t="n">
        <v>0</v>
      </c>
      <c r="O158" t="n">
        <v>2</v>
      </c>
      <c r="P158" t="n">
        <v>0</v>
      </c>
      <c r="Q158" t="n">
        <v>2</v>
      </c>
      <c r="R158" s="2" t="inlineStr">
        <is>
          <t>Harticka
Ullticka</t>
        </is>
      </c>
      <c r="S158">
        <f>HYPERLINK("https://klasma.github.io/Logging_2260/artfynd/A 51694-2020 artfynd.xlsx", "A 51694-2020")</f>
        <v/>
      </c>
      <c r="T158">
        <f>HYPERLINK("https://klasma.github.io/Logging_2260/kartor/A 51694-2020 karta.png", "A 51694-2020")</f>
        <v/>
      </c>
      <c r="V158">
        <f>HYPERLINK("https://klasma.github.io/Logging_2260/klagomål/A 51694-2020 FSC-klagomål.docx", "A 51694-2020")</f>
        <v/>
      </c>
      <c r="W158">
        <f>HYPERLINK("https://klasma.github.io/Logging_2260/klagomålsmail/A 51694-2020 FSC-klagomål mail.docx", "A 51694-2020")</f>
        <v/>
      </c>
      <c r="X158">
        <f>HYPERLINK("https://klasma.github.io/Logging_2260/tillsyn/A 51694-2020 tillsynsbegäran.docx", "A 51694-2020")</f>
        <v/>
      </c>
      <c r="Y158">
        <f>HYPERLINK("https://klasma.github.io/Logging_2260/tillsynsmail/A 51694-2020 tillsynsbegäran mail.docx", "A 51694-2020")</f>
        <v/>
      </c>
    </row>
    <row r="159" ht="15" customHeight="1">
      <c r="A159" t="inlineStr">
        <is>
          <t>A 51756-2020</t>
        </is>
      </c>
      <c r="B159" s="1" t="n">
        <v>44114</v>
      </c>
      <c r="C159" s="1" t="n">
        <v>45574</v>
      </c>
      <c r="D159" t="inlineStr">
        <is>
          <t>VÄSTERNORRLANDS LÄN</t>
        </is>
      </c>
      <c r="E159" t="inlineStr">
        <is>
          <t>ÅNGE</t>
        </is>
      </c>
      <c r="G159" t="n">
        <v>0.8</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51756-2020 artfynd.xlsx", "A 51756-2020")</f>
        <v/>
      </c>
      <c r="T159">
        <f>HYPERLINK("https://klasma.github.io/Logging_2260/kartor/A 51756-2020 karta.png", "A 51756-2020")</f>
        <v/>
      </c>
      <c r="V159">
        <f>HYPERLINK("https://klasma.github.io/Logging_2260/klagomål/A 51756-2020 FSC-klagomål.docx", "A 51756-2020")</f>
        <v/>
      </c>
      <c r="W159">
        <f>HYPERLINK("https://klasma.github.io/Logging_2260/klagomålsmail/A 51756-2020 FSC-klagomål mail.docx", "A 51756-2020")</f>
        <v/>
      </c>
      <c r="X159">
        <f>HYPERLINK("https://klasma.github.io/Logging_2260/tillsyn/A 51756-2020 tillsynsbegäran.docx", "A 51756-2020")</f>
        <v/>
      </c>
      <c r="Y159">
        <f>HYPERLINK("https://klasma.github.io/Logging_2260/tillsynsmail/A 51756-2020 tillsynsbegäran mail.docx", "A 51756-2020")</f>
        <v/>
      </c>
    </row>
    <row r="160" ht="15" customHeight="1">
      <c r="A160" t="inlineStr">
        <is>
          <t>A 58902-2020</t>
        </is>
      </c>
      <c r="B160" s="1" t="n">
        <v>44146</v>
      </c>
      <c r="C160" s="1" t="n">
        <v>45574</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36635-2021</t>
        </is>
      </c>
      <c r="B161" s="1" t="n">
        <v>44391</v>
      </c>
      <c r="C161" s="1" t="n">
        <v>45574</v>
      </c>
      <c r="D161" t="inlineStr">
        <is>
          <t>VÄSTERNORRLANDS LÄN</t>
        </is>
      </c>
      <c r="E161" t="inlineStr">
        <is>
          <t>ÅNGE</t>
        </is>
      </c>
      <c r="F161" t="inlineStr">
        <is>
          <t>SCA</t>
        </is>
      </c>
      <c r="G161" t="n">
        <v>3.7</v>
      </c>
      <c r="H161" t="n">
        <v>1</v>
      </c>
      <c r="I161" t="n">
        <v>0</v>
      </c>
      <c r="J161" t="n">
        <v>1</v>
      </c>
      <c r="K161" t="n">
        <v>1</v>
      </c>
      <c r="L161" t="n">
        <v>0</v>
      </c>
      <c r="M161" t="n">
        <v>0</v>
      </c>
      <c r="N161" t="n">
        <v>0</v>
      </c>
      <c r="O161" t="n">
        <v>2</v>
      </c>
      <c r="P161" t="n">
        <v>1</v>
      </c>
      <c r="Q161" t="n">
        <v>2</v>
      </c>
      <c r="R161" s="2" t="inlineStr">
        <is>
          <t>Knärot
Tallticka</t>
        </is>
      </c>
      <c r="S161">
        <f>HYPERLINK("https://klasma.github.io/Logging_2260/artfynd/A 36635-2021 artfynd.xlsx", "A 36635-2021")</f>
        <v/>
      </c>
      <c r="T161">
        <f>HYPERLINK("https://klasma.github.io/Logging_2260/kartor/A 36635-2021 karta.png", "A 36635-2021")</f>
        <v/>
      </c>
      <c r="U161">
        <f>HYPERLINK("https://klasma.github.io/Logging_2260/knärot/A 36635-2021 karta knärot.png", "A 36635-2021")</f>
        <v/>
      </c>
      <c r="V161">
        <f>HYPERLINK("https://klasma.github.io/Logging_2260/klagomål/A 36635-2021 FSC-klagomål.docx", "A 36635-2021")</f>
        <v/>
      </c>
      <c r="W161">
        <f>HYPERLINK("https://klasma.github.io/Logging_2260/klagomålsmail/A 36635-2021 FSC-klagomål mail.docx", "A 36635-2021")</f>
        <v/>
      </c>
      <c r="X161">
        <f>HYPERLINK("https://klasma.github.io/Logging_2260/tillsyn/A 36635-2021 tillsynsbegäran.docx", "A 36635-2021")</f>
        <v/>
      </c>
      <c r="Y161">
        <f>HYPERLINK("https://klasma.github.io/Logging_2260/tillsynsmail/A 36635-2021 tillsynsbegäran mail.docx", "A 36635-2021")</f>
        <v/>
      </c>
    </row>
    <row r="162" ht="15" customHeight="1">
      <c r="A162" t="inlineStr">
        <is>
          <t>A 40965-2021</t>
        </is>
      </c>
      <c r="B162" s="1" t="n">
        <v>44421</v>
      </c>
      <c r="C162" s="1" t="n">
        <v>45574</v>
      </c>
      <c r="D162" t="inlineStr">
        <is>
          <t>VÄSTERNORRLANDS LÄN</t>
        </is>
      </c>
      <c r="E162" t="inlineStr">
        <is>
          <t>ÅNGE</t>
        </is>
      </c>
      <c r="F162" t="inlineStr">
        <is>
          <t>Sveaskog</t>
        </is>
      </c>
      <c r="G162" t="n">
        <v>5.4</v>
      </c>
      <c r="H162" t="n">
        <v>1</v>
      </c>
      <c r="I162" t="n">
        <v>1</v>
      </c>
      <c r="J162" t="n">
        <v>1</v>
      </c>
      <c r="K162" t="n">
        <v>0</v>
      </c>
      <c r="L162" t="n">
        <v>0</v>
      </c>
      <c r="M162" t="n">
        <v>0</v>
      </c>
      <c r="N162" t="n">
        <v>0</v>
      </c>
      <c r="O162" t="n">
        <v>1</v>
      </c>
      <c r="P162" t="n">
        <v>0</v>
      </c>
      <c r="Q162" t="n">
        <v>2</v>
      </c>
      <c r="R162" s="2" t="inlineStr">
        <is>
          <t>Skogsfru
Skogsbräsma</t>
        </is>
      </c>
      <c r="S162">
        <f>HYPERLINK("https://klasma.github.io/Logging_2260/artfynd/A 40965-2021 artfynd.xlsx", "A 40965-2021")</f>
        <v/>
      </c>
      <c r="T162">
        <f>HYPERLINK("https://klasma.github.io/Logging_2260/kartor/A 40965-2021 karta.png", "A 40965-2021")</f>
        <v/>
      </c>
      <c r="V162">
        <f>HYPERLINK("https://klasma.github.io/Logging_2260/klagomål/A 40965-2021 FSC-klagomål.docx", "A 40965-2021")</f>
        <v/>
      </c>
      <c r="W162">
        <f>HYPERLINK("https://klasma.github.io/Logging_2260/klagomålsmail/A 40965-2021 FSC-klagomål mail.docx", "A 40965-2021")</f>
        <v/>
      </c>
      <c r="X162">
        <f>HYPERLINK("https://klasma.github.io/Logging_2260/tillsyn/A 40965-2021 tillsynsbegäran.docx", "A 40965-2021")</f>
        <v/>
      </c>
      <c r="Y162">
        <f>HYPERLINK("https://klasma.github.io/Logging_2260/tillsynsmail/A 40965-2021 tillsynsbegäran mail.docx", "A 40965-2021")</f>
        <v/>
      </c>
    </row>
    <row r="163" ht="15" customHeight="1">
      <c r="A163" t="inlineStr">
        <is>
          <t>A 55591-2021</t>
        </is>
      </c>
      <c r="B163" s="1" t="n">
        <v>44475</v>
      </c>
      <c r="C163" s="1" t="n">
        <v>45574</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61472-2021</t>
        </is>
      </c>
      <c r="B164" s="1" t="n">
        <v>44500</v>
      </c>
      <c r="C164" s="1" t="n">
        <v>45574</v>
      </c>
      <c r="D164" t="inlineStr">
        <is>
          <t>VÄSTERNORRLANDS LÄN</t>
        </is>
      </c>
      <c r="E164" t="inlineStr">
        <is>
          <t>ÅNGE</t>
        </is>
      </c>
      <c r="F164" t="inlineStr">
        <is>
          <t>SCA</t>
        </is>
      </c>
      <c r="G164" t="n">
        <v>2.1</v>
      </c>
      <c r="H164" t="n">
        <v>2</v>
      </c>
      <c r="I164" t="n">
        <v>0</v>
      </c>
      <c r="J164" t="n">
        <v>0</v>
      </c>
      <c r="K164" t="n">
        <v>0</v>
      </c>
      <c r="L164" t="n">
        <v>0</v>
      </c>
      <c r="M164" t="n">
        <v>0</v>
      </c>
      <c r="N164" t="n">
        <v>0</v>
      </c>
      <c r="O164" t="n">
        <v>0</v>
      </c>
      <c r="P164" t="n">
        <v>0</v>
      </c>
      <c r="Q164" t="n">
        <v>2</v>
      </c>
      <c r="R164" s="2" t="inlineStr">
        <is>
          <t>Fläcknycklar
Revlummer</t>
        </is>
      </c>
      <c r="S164">
        <f>HYPERLINK("https://klasma.github.io/Logging_2260/artfynd/A 61472-2021 artfynd.xlsx", "A 61472-2021")</f>
        <v/>
      </c>
      <c r="T164">
        <f>HYPERLINK("https://klasma.github.io/Logging_2260/kartor/A 61472-2021 karta.png", "A 61472-2021")</f>
        <v/>
      </c>
      <c r="V164">
        <f>HYPERLINK("https://klasma.github.io/Logging_2260/klagomål/A 61472-2021 FSC-klagomål.docx", "A 61472-2021")</f>
        <v/>
      </c>
      <c r="W164">
        <f>HYPERLINK("https://klasma.github.io/Logging_2260/klagomålsmail/A 61472-2021 FSC-klagomål mail.docx", "A 61472-2021")</f>
        <v/>
      </c>
      <c r="X164">
        <f>HYPERLINK("https://klasma.github.io/Logging_2260/tillsyn/A 61472-2021 tillsynsbegäran.docx", "A 61472-2021")</f>
        <v/>
      </c>
      <c r="Y164">
        <f>HYPERLINK("https://klasma.github.io/Logging_2260/tillsynsmail/A 61472-2021 tillsynsbegäran mail.docx", "A 61472-2021")</f>
        <v/>
      </c>
    </row>
    <row r="165" ht="15" customHeight="1">
      <c r="A165" t="inlineStr">
        <is>
          <t>A 62861-2021</t>
        </is>
      </c>
      <c r="B165" s="1" t="n">
        <v>44503</v>
      </c>
      <c r="C165" s="1" t="n">
        <v>45574</v>
      </c>
      <c r="D165" t="inlineStr">
        <is>
          <t>VÄSTERNORRLANDS LÄN</t>
        </is>
      </c>
      <c r="E165" t="inlineStr">
        <is>
          <t>ÅNGE</t>
        </is>
      </c>
      <c r="F165" t="inlineStr">
        <is>
          <t>Övriga statliga verk och myndigheter</t>
        </is>
      </c>
      <c r="G165" t="n">
        <v>12.1</v>
      </c>
      <c r="H165" t="n">
        <v>1</v>
      </c>
      <c r="I165" t="n">
        <v>0</v>
      </c>
      <c r="J165" t="n">
        <v>1</v>
      </c>
      <c r="K165" t="n">
        <v>1</v>
      </c>
      <c r="L165" t="n">
        <v>0</v>
      </c>
      <c r="M165" t="n">
        <v>0</v>
      </c>
      <c r="N165" t="n">
        <v>0</v>
      </c>
      <c r="O165" t="n">
        <v>2</v>
      </c>
      <c r="P165" t="n">
        <v>1</v>
      </c>
      <c r="Q165" t="n">
        <v>2</v>
      </c>
      <c r="R165" s="2" t="inlineStr">
        <is>
          <t>Knärot
Rosenticka</t>
        </is>
      </c>
      <c r="S165">
        <f>HYPERLINK("https://klasma.github.io/Logging_2260/artfynd/A 62861-2021 artfynd.xlsx", "A 62861-2021")</f>
        <v/>
      </c>
      <c r="T165">
        <f>HYPERLINK("https://klasma.github.io/Logging_2260/kartor/A 62861-2021 karta.png", "A 62861-2021")</f>
        <v/>
      </c>
      <c r="U165">
        <f>HYPERLINK("https://klasma.github.io/Logging_2260/knärot/A 62861-2021 karta knärot.png", "A 62861-2021")</f>
        <v/>
      </c>
      <c r="V165">
        <f>HYPERLINK("https://klasma.github.io/Logging_2260/klagomål/A 62861-2021 FSC-klagomål.docx", "A 62861-2021")</f>
        <v/>
      </c>
      <c r="W165">
        <f>HYPERLINK("https://klasma.github.io/Logging_2260/klagomålsmail/A 62861-2021 FSC-klagomål mail.docx", "A 62861-2021")</f>
        <v/>
      </c>
      <c r="X165">
        <f>HYPERLINK("https://klasma.github.io/Logging_2260/tillsyn/A 62861-2021 tillsynsbegäran.docx", "A 62861-2021")</f>
        <v/>
      </c>
      <c r="Y165">
        <f>HYPERLINK("https://klasma.github.io/Logging_2260/tillsynsmail/A 62861-2021 tillsynsbegäran mail.docx", "A 62861-2021")</f>
        <v/>
      </c>
    </row>
    <row r="166" ht="15" customHeight="1">
      <c r="A166" t="inlineStr">
        <is>
          <t>A 1082-2022</t>
        </is>
      </c>
      <c r="B166" s="1" t="n">
        <v>44571</v>
      </c>
      <c r="C166" s="1" t="n">
        <v>45574</v>
      </c>
      <c r="D166" t="inlineStr">
        <is>
          <t>VÄSTERNORRLANDS LÄN</t>
        </is>
      </c>
      <c r="E166" t="inlineStr">
        <is>
          <t>ÅNGE</t>
        </is>
      </c>
      <c r="G166" t="n">
        <v>0.9</v>
      </c>
      <c r="H166" t="n">
        <v>1</v>
      </c>
      <c r="I166" t="n">
        <v>0</v>
      </c>
      <c r="J166" t="n">
        <v>2</v>
      </c>
      <c r="K166" t="n">
        <v>0</v>
      </c>
      <c r="L166" t="n">
        <v>0</v>
      </c>
      <c r="M166" t="n">
        <v>0</v>
      </c>
      <c r="N166" t="n">
        <v>0</v>
      </c>
      <c r="O166" t="n">
        <v>2</v>
      </c>
      <c r="P166" t="n">
        <v>0</v>
      </c>
      <c r="Q166" t="n">
        <v>2</v>
      </c>
      <c r="R166" s="2" t="inlineStr">
        <is>
          <t>Garnlav
Talltita</t>
        </is>
      </c>
      <c r="S166">
        <f>HYPERLINK("https://klasma.github.io/Logging_2260/artfynd/A 1082-2022 artfynd.xlsx", "A 1082-2022")</f>
        <v/>
      </c>
      <c r="T166">
        <f>HYPERLINK("https://klasma.github.io/Logging_2260/kartor/A 1082-2022 karta.png", "A 1082-2022")</f>
        <v/>
      </c>
      <c r="V166">
        <f>HYPERLINK("https://klasma.github.io/Logging_2260/klagomål/A 1082-2022 FSC-klagomål.docx", "A 1082-2022")</f>
        <v/>
      </c>
      <c r="W166">
        <f>HYPERLINK("https://klasma.github.io/Logging_2260/klagomålsmail/A 1082-2022 FSC-klagomål mail.docx", "A 1082-2022")</f>
        <v/>
      </c>
      <c r="X166">
        <f>HYPERLINK("https://klasma.github.io/Logging_2260/tillsyn/A 1082-2022 tillsynsbegäran.docx", "A 1082-2022")</f>
        <v/>
      </c>
      <c r="Y166">
        <f>HYPERLINK("https://klasma.github.io/Logging_2260/tillsynsmail/A 1082-2022 tillsynsbegäran mail.docx", "A 1082-2022")</f>
        <v/>
      </c>
      <c r="Z166">
        <f>HYPERLINK("https://klasma.github.io/Logging_2260/fåglar/A 1082-2022 prioriterade fågelarter.docx", "A 1082-2022")</f>
        <v/>
      </c>
    </row>
    <row r="167" ht="15" customHeight="1">
      <c r="A167" t="inlineStr">
        <is>
          <t>A 8234-2022</t>
        </is>
      </c>
      <c r="B167" s="1" t="n">
        <v>44609</v>
      </c>
      <c r="C167" s="1" t="n">
        <v>45574</v>
      </c>
      <c r="D167" t="inlineStr">
        <is>
          <t>VÄSTERNORRLANDS LÄN</t>
        </is>
      </c>
      <c r="E167" t="inlineStr">
        <is>
          <t>ÅNGE</t>
        </is>
      </c>
      <c r="F167" t="inlineStr">
        <is>
          <t>SCA</t>
        </is>
      </c>
      <c r="G167" t="n">
        <v>2.3</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8234-2022 artfynd.xlsx", "A 8234-2022")</f>
        <v/>
      </c>
      <c r="T167">
        <f>HYPERLINK("https://klasma.github.io/Logging_2260/kartor/A 8234-2022 karta.png", "A 8234-2022")</f>
        <v/>
      </c>
      <c r="V167">
        <f>HYPERLINK("https://klasma.github.io/Logging_2260/klagomål/A 8234-2022 FSC-klagomål.docx", "A 8234-2022")</f>
        <v/>
      </c>
      <c r="W167">
        <f>HYPERLINK("https://klasma.github.io/Logging_2260/klagomålsmail/A 8234-2022 FSC-klagomål mail.docx", "A 8234-2022")</f>
        <v/>
      </c>
      <c r="X167">
        <f>HYPERLINK("https://klasma.github.io/Logging_2260/tillsyn/A 8234-2022 tillsynsbegäran.docx", "A 8234-2022")</f>
        <v/>
      </c>
      <c r="Y167">
        <f>HYPERLINK("https://klasma.github.io/Logging_2260/tillsynsmail/A 8234-2022 tillsynsbegäran mail.docx", "A 8234-2022")</f>
        <v/>
      </c>
    </row>
    <row r="168" ht="15" customHeight="1">
      <c r="A168" t="inlineStr">
        <is>
          <t>A 38429-2022</t>
        </is>
      </c>
      <c r="B168" s="1" t="n">
        <v>44812</v>
      </c>
      <c r="C168" s="1" t="n">
        <v>45574</v>
      </c>
      <c r="D168" t="inlineStr">
        <is>
          <t>VÄSTERNORRLANDS LÄN</t>
        </is>
      </c>
      <c r="E168" t="inlineStr">
        <is>
          <t>ÅNGE</t>
        </is>
      </c>
      <c r="F168" t="inlineStr">
        <is>
          <t>SCA</t>
        </is>
      </c>
      <c r="G168" t="n">
        <v>4.2</v>
      </c>
      <c r="H168" t="n">
        <v>1</v>
      </c>
      <c r="I168" t="n">
        <v>0</v>
      </c>
      <c r="J168" t="n">
        <v>1</v>
      </c>
      <c r="K168" t="n">
        <v>1</v>
      </c>
      <c r="L168" t="n">
        <v>0</v>
      </c>
      <c r="M168" t="n">
        <v>0</v>
      </c>
      <c r="N168" t="n">
        <v>0</v>
      </c>
      <c r="O168" t="n">
        <v>2</v>
      </c>
      <c r="P168" t="n">
        <v>1</v>
      </c>
      <c r="Q168" t="n">
        <v>2</v>
      </c>
      <c r="R168" s="2" t="inlineStr">
        <is>
          <t>Doftticka
Lunglav</t>
        </is>
      </c>
      <c r="S168">
        <f>HYPERLINK("https://klasma.github.io/Logging_2260/artfynd/A 38429-2022 artfynd.xlsx", "A 38429-2022")</f>
        <v/>
      </c>
      <c r="T168">
        <f>HYPERLINK("https://klasma.github.io/Logging_2260/kartor/A 38429-2022 karta.png", "A 38429-2022")</f>
        <v/>
      </c>
      <c r="V168">
        <f>HYPERLINK("https://klasma.github.io/Logging_2260/klagomål/A 38429-2022 FSC-klagomål.docx", "A 38429-2022")</f>
        <v/>
      </c>
      <c r="W168">
        <f>HYPERLINK("https://klasma.github.io/Logging_2260/klagomålsmail/A 38429-2022 FSC-klagomål mail.docx", "A 38429-2022")</f>
        <v/>
      </c>
      <c r="X168">
        <f>HYPERLINK("https://klasma.github.io/Logging_2260/tillsyn/A 38429-2022 tillsynsbegäran.docx", "A 38429-2022")</f>
        <v/>
      </c>
      <c r="Y168">
        <f>HYPERLINK("https://klasma.github.io/Logging_2260/tillsynsmail/A 38429-2022 tillsynsbegäran mail.docx", "A 38429-2022")</f>
        <v/>
      </c>
    </row>
    <row r="169" ht="15" customHeight="1">
      <c r="A169" t="inlineStr">
        <is>
          <t>A 47438-2022</t>
        </is>
      </c>
      <c r="B169" s="1" t="n">
        <v>44853</v>
      </c>
      <c r="C169" s="1" t="n">
        <v>45574</v>
      </c>
      <c r="D169" t="inlineStr">
        <is>
          <t>VÄSTERNORRLANDS LÄN</t>
        </is>
      </c>
      <c r="E169" t="inlineStr">
        <is>
          <t>ÅNGE</t>
        </is>
      </c>
      <c r="F169" t="inlineStr">
        <is>
          <t>Sveaskog</t>
        </is>
      </c>
      <c r="G169" t="n">
        <v>2.1</v>
      </c>
      <c r="H169" t="n">
        <v>0</v>
      </c>
      <c r="I169" t="n">
        <v>0</v>
      </c>
      <c r="J169" t="n">
        <v>2</v>
      </c>
      <c r="K169" t="n">
        <v>0</v>
      </c>
      <c r="L169" t="n">
        <v>0</v>
      </c>
      <c r="M169" t="n">
        <v>0</v>
      </c>
      <c r="N169" t="n">
        <v>0</v>
      </c>
      <c r="O169" t="n">
        <v>2</v>
      </c>
      <c r="P169" t="n">
        <v>0</v>
      </c>
      <c r="Q169" t="n">
        <v>2</v>
      </c>
      <c r="R169" s="2" t="inlineStr">
        <is>
          <t>Lunglav
Violettgrå tagellav</t>
        </is>
      </c>
      <c r="S169">
        <f>HYPERLINK("https://klasma.github.io/Logging_2260/artfynd/A 47438-2022 artfynd.xlsx", "A 47438-2022")</f>
        <v/>
      </c>
      <c r="T169">
        <f>HYPERLINK("https://klasma.github.io/Logging_2260/kartor/A 47438-2022 karta.png", "A 47438-2022")</f>
        <v/>
      </c>
      <c r="V169">
        <f>HYPERLINK("https://klasma.github.io/Logging_2260/klagomål/A 47438-2022 FSC-klagomål.docx", "A 47438-2022")</f>
        <v/>
      </c>
      <c r="W169">
        <f>HYPERLINK("https://klasma.github.io/Logging_2260/klagomålsmail/A 47438-2022 FSC-klagomål mail.docx", "A 47438-2022")</f>
        <v/>
      </c>
      <c r="X169">
        <f>HYPERLINK("https://klasma.github.io/Logging_2260/tillsyn/A 47438-2022 tillsynsbegäran.docx", "A 47438-2022")</f>
        <v/>
      </c>
      <c r="Y169">
        <f>HYPERLINK("https://klasma.github.io/Logging_2260/tillsynsmail/A 47438-2022 tillsynsbegäran mail.docx", "A 47438-2022")</f>
        <v/>
      </c>
    </row>
    <row r="170" ht="15" customHeight="1">
      <c r="A170" t="inlineStr">
        <is>
          <t>A 48152-2022</t>
        </is>
      </c>
      <c r="B170" s="1" t="n">
        <v>44853</v>
      </c>
      <c r="C170" s="1" t="n">
        <v>45574</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Lunglav
Skrovellav</t>
        </is>
      </c>
      <c r="S170">
        <f>HYPERLINK("https://klasma.github.io/Logging_2260/artfynd/A 48152-2022 artfynd.xlsx", "A 48152-2022")</f>
        <v/>
      </c>
      <c r="T170">
        <f>HYPERLINK("https://klasma.github.io/Logging_2260/kartor/A 48152-2022 karta.png", "A 48152-2022")</f>
        <v/>
      </c>
      <c r="V170">
        <f>HYPERLINK("https://klasma.github.io/Logging_2260/klagomål/A 48152-2022 FSC-klagomål.docx", "A 48152-2022")</f>
        <v/>
      </c>
      <c r="W170">
        <f>HYPERLINK("https://klasma.github.io/Logging_2260/klagomålsmail/A 48152-2022 FSC-klagomål mail.docx", "A 48152-2022")</f>
        <v/>
      </c>
      <c r="X170">
        <f>HYPERLINK("https://klasma.github.io/Logging_2260/tillsyn/A 48152-2022 tillsynsbegäran.docx", "A 48152-2022")</f>
        <v/>
      </c>
      <c r="Y170">
        <f>HYPERLINK("https://klasma.github.io/Logging_2260/tillsynsmail/A 48152-2022 tillsynsbegäran mail.docx", "A 48152-2022")</f>
        <v/>
      </c>
    </row>
    <row r="171" ht="15" customHeight="1">
      <c r="A171" t="inlineStr">
        <is>
          <t>A 47799-2022</t>
        </is>
      </c>
      <c r="B171" s="1" t="n">
        <v>44855</v>
      </c>
      <c r="C171" s="1" t="n">
        <v>45574</v>
      </c>
      <c r="D171" t="inlineStr">
        <is>
          <t>VÄSTERNORRLANDS LÄN</t>
        </is>
      </c>
      <c r="E171" t="inlineStr">
        <is>
          <t>ÅNGE</t>
        </is>
      </c>
      <c r="F171" t="inlineStr">
        <is>
          <t>SCA</t>
        </is>
      </c>
      <c r="G171" t="n">
        <v>5</v>
      </c>
      <c r="H171" t="n">
        <v>1</v>
      </c>
      <c r="I171" t="n">
        <v>0</v>
      </c>
      <c r="J171" t="n">
        <v>1</v>
      </c>
      <c r="K171" t="n">
        <v>0</v>
      </c>
      <c r="L171" t="n">
        <v>0</v>
      </c>
      <c r="M171" t="n">
        <v>0</v>
      </c>
      <c r="N171" t="n">
        <v>0</v>
      </c>
      <c r="O171" t="n">
        <v>1</v>
      </c>
      <c r="P171" t="n">
        <v>0</v>
      </c>
      <c r="Q171" t="n">
        <v>2</v>
      </c>
      <c r="R171" s="2" t="inlineStr">
        <is>
          <t>Lunglav
Fläcknycklar</t>
        </is>
      </c>
      <c r="S171">
        <f>HYPERLINK("https://klasma.github.io/Logging_2260/artfynd/A 47799-2022 artfynd.xlsx", "A 47799-2022")</f>
        <v/>
      </c>
      <c r="T171">
        <f>HYPERLINK("https://klasma.github.io/Logging_2260/kartor/A 47799-2022 karta.png", "A 47799-2022")</f>
        <v/>
      </c>
      <c r="V171">
        <f>HYPERLINK("https://klasma.github.io/Logging_2260/klagomål/A 47799-2022 FSC-klagomål.docx", "A 47799-2022")</f>
        <v/>
      </c>
      <c r="W171">
        <f>HYPERLINK("https://klasma.github.io/Logging_2260/klagomålsmail/A 47799-2022 FSC-klagomål mail.docx", "A 47799-2022")</f>
        <v/>
      </c>
      <c r="X171">
        <f>HYPERLINK("https://klasma.github.io/Logging_2260/tillsyn/A 47799-2022 tillsynsbegäran.docx", "A 47799-2022")</f>
        <v/>
      </c>
      <c r="Y171">
        <f>HYPERLINK("https://klasma.github.io/Logging_2260/tillsynsmail/A 47799-2022 tillsynsbegäran mail.docx", "A 47799-2022")</f>
        <v/>
      </c>
    </row>
    <row r="172" ht="15" customHeight="1">
      <c r="A172" t="inlineStr">
        <is>
          <t>A 47798-2022</t>
        </is>
      </c>
      <c r="B172" s="1" t="n">
        <v>44855</v>
      </c>
      <c r="C172" s="1" t="n">
        <v>45574</v>
      </c>
      <c r="D172" t="inlineStr">
        <is>
          <t>VÄSTERNORRLANDS LÄN</t>
        </is>
      </c>
      <c r="E172" t="inlineStr">
        <is>
          <t>ÅNGE</t>
        </is>
      </c>
      <c r="F172" t="inlineStr">
        <is>
          <t>SCA</t>
        </is>
      </c>
      <c r="G172" t="n">
        <v>8.300000000000001</v>
      </c>
      <c r="H172" t="n">
        <v>0</v>
      </c>
      <c r="I172" t="n">
        <v>1</v>
      </c>
      <c r="J172" t="n">
        <v>1</v>
      </c>
      <c r="K172" t="n">
        <v>0</v>
      </c>
      <c r="L172" t="n">
        <v>0</v>
      </c>
      <c r="M172" t="n">
        <v>0</v>
      </c>
      <c r="N172" t="n">
        <v>0</v>
      </c>
      <c r="O172" t="n">
        <v>1</v>
      </c>
      <c r="P172" t="n">
        <v>0</v>
      </c>
      <c r="Q172" t="n">
        <v>2</v>
      </c>
      <c r="R172" s="2" t="inlineStr">
        <is>
          <t>Lunglav
Kransrams</t>
        </is>
      </c>
      <c r="S172">
        <f>HYPERLINK("https://klasma.github.io/Logging_2260/artfynd/A 47798-2022 artfynd.xlsx", "A 47798-2022")</f>
        <v/>
      </c>
      <c r="T172">
        <f>HYPERLINK("https://klasma.github.io/Logging_2260/kartor/A 47798-2022 karta.png", "A 47798-2022")</f>
        <v/>
      </c>
      <c r="V172">
        <f>HYPERLINK("https://klasma.github.io/Logging_2260/klagomål/A 47798-2022 FSC-klagomål.docx", "A 47798-2022")</f>
        <v/>
      </c>
      <c r="W172">
        <f>HYPERLINK("https://klasma.github.io/Logging_2260/klagomålsmail/A 47798-2022 FSC-klagomål mail.docx", "A 47798-2022")</f>
        <v/>
      </c>
      <c r="X172">
        <f>HYPERLINK("https://klasma.github.io/Logging_2260/tillsyn/A 47798-2022 tillsynsbegäran.docx", "A 47798-2022")</f>
        <v/>
      </c>
      <c r="Y172">
        <f>HYPERLINK("https://klasma.github.io/Logging_2260/tillsynsmail/A 47798-2022 tillsynsbegäran mail.docx", "A 47798-2022")</f>
        <v/>
      </c>
    </row>
    <row r="173" ht="15" customHeight="1">
      <c r="A173" t="inlineStr">
        <is>
          <t>A 54822-2022</t>
        </is>
      </c>
      <c r="B173" s="1" t="n">
        <v>44883</v>
      </c>
      <c r="C173" s="1" t="n">
        <v>45574</v>
      </c>
      <c r="D173" t="inlineStr">
        <is>
          <t>VÄSTERNORRLANDS LÄN</t>
        </is>
      </c>
      <c r="E173" t="inlineStr">
        <is>
          <t>ÅNGE</t>
        </is>
      </c>
      <c r="G173" t="n">
        <v>3.8</v>
      </c>
      <c r="H173" t="n">
        <v>2</v>
      </c>
      <c r="I173" t="n">
        <v>0</v>
      </c>
      <c r="J173" t="n">
        <v>1</v>
      </c>
      <c r="K173" t="n">
        <v>0</v>
      </c>
      <c r="L173" t="n">
        <v>0</v>
      </c>
      <c r="M173" t="n">
        <v>0</v>
      </c>
      <c r="N173" t="n">
        <v>0</v>
      </c>
      <c r="O173" t="n">
        <v>1</v>
      </c>
      <c r="P173" t="n">
        <v>0</v>
      </c>
      <c r="Q173" t="n">
        <v>2</v>
      </c>
      <c r="R173" s="2" t="inlineStr">
        <is>
          <t>Tretåig hackspett
Mindre vattensalamander</t>
        </is>
      </c>
      <c r="S173">
        <f>HYPERLINK("https://klasma.github.io/Logging_2260/artfynd/A 54822-2022 artfynd.xlsx", "A 54822-2022")</f>
        <v/>
      </c>
      <c r="T173">
        <f>HYPERLINK("https://klasma.github.io/Logging_2260/kartor/A 54822-2022 karta.png", "A 54822-2022")</f>
        <v/>
      </c>
      <c r="V173">
        <f>HYPERLINK("https://klasma.github.io/Logging_2260/klagomål/A 54822-2022 FSC-klagomål.docx", "A 54822-2022")</f>
        <v/>
      </c>
      <c r="W173">
        <f>HYPERLINK("https://klasma.github.io/Logging_2260/klagomålsmail/A 54822-2022 FSC-klagomål mail.docx", "A 54822-2022")</f>
        <v/>
      </c>
      <c r="X173">
        <f>HYPERLINK("https://klasma.github.io/Logging_2260/tillsyn/A 54822-2022 tillsynsbegäran.docx", "A 54822-2022")</f>
        <v/>
      </c>
      <c r="Y173">
        <f>HYPERLINK("https://klasma.github.io/Logging_2260/tillsynsmail/A 54822-2022 tillsynsbegäran mail.docx", "A 54822-2022")</f>
        <v/>
      </c>
      <c r="Z173">
        <f>HYPERLINK("https://klasma.github.io/Logging_2260/fåglar/A 54822-2022 prioriterade fågelarter.docx", "A 54822-2022")</f>
        <v/>
      </c>
    </row>
    <row r="174" ht="15" customHeight="1">
      <c r="A174" t="inlineStr">
        <is>
          <t>A 57594-2022</t>
        </is>
      </c>
      <c r="B174" s="1" t="n">
        <v>44897</v>
      </c>
      <c r="C174" s="1" t="n">
        <v>45574</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44897</v>
      </c>
      <c r="C175" s="1" t="n">
        <v>45574</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17861-2023</t>
        </is>
      </c>
      <c r="B176" s="1" t="n">
        <v>45038</v>
      </c>
      <c r="C176" s="1" t="n">
        <v>45574</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23521-2023</t>
        </is>
      </c>
      <c r="B177" s="1" t="n">
        <v>45076</v>
      </c>
      <c r="C177" s="1" t="n">
        <v>45574</v>
      </c>
      <c r="D177" t="inlineStr">
        <is>
          <t>VÄSTERNORRLANDS LÄN</t>
        </is>
      </c>
      <c r="E177" t="inlineStr">
        <is>
          <t>ÅNGE</t>
        </is>
      </c>
      <c r="F177" t="inlineStr">
        <is>
          <t>SCA</t>
        </is>
      </c>
      <c r="G177" t="n">
        <v>5</v>
      </c>
      <c r="H177" t="n">
        <v>0</v>
      </c>
      <c r="I177" t="n">
        <v>0</v>
      </c>
      <c r="J177" t="n">
        <v>2</v>
      </c>
      <c r="K177" t="n">
        <v>0</v>
      </c>
      <c r="L177" t="n">
        <v>0</v>
      </c>
      <c r="M177" t="n">
        <v>0</v>
      </c>
      <c r="N177" t="n">
        <v>0</v>
      </c>
      <c r="O177" t="n">
        <v>2</v>
      </c>
      <c r="P177" t="n">
        <v>0</v>
      </c>
      <c r="Q177" t="n">
        <v>2</v>
      </c>
      <c r="R177" s="2" t="inlineStr">
        <is>
          <t>Garnlav
Rosenticka</t>
        </is>
      </c>
      <c r="S177">
        <f>HYPERLINK("https://klasma.github.io/Logging_2260/artfynd/A 23521-2023 artfynd.xlsx", "A 23521-2023")</f>
        <v/>
      </c>
      <c r="T177">
        <f>HYPERLINK("https://klasma.github.io/Logging_2260/kartor/A 23521-2023 karta.png", "A 23521-2023")</f>
        <v/>
      </c>
      <c r="V177">
        <f>HYPERLINK("https://klasma.github.io/Logging_2260/klagomål/A 23521-2023 FSC-klagomål.docx", "A 23521-2023")</f>
        <v/>
      </c>
      <c r="W177">
        <f>HYPERLINK("https://klasma.github.io/Logging_2260/klagomålsmail/A 23521-2023 FSC-klagomål mail.docx", "A 23521-2023")</f>
        <v/>
      </c>
      <c r="X177">
        <f>HYPERLINK("https://klasma.github.io/Logging_2260/tillsyn/A 23521-2023 tillsynsbegäran.docx", "A 23521-2023")</f>
        <v/>
      </c>
      <c r="Y177">
        <f>HYPERLINK("https://klasma.github.io/Logging_2260/tillsynsmail/A 23521-2023 tillsynsbegäran mail.docx", "A 23521-2023")</f>
        <v/>
      </c>
    </row>
    <row r="178" ht="15" customHeight="1">
      <c r="A178" t="inlineStr">
        <is>
          <t>A 29325-2023</t>
        </is>
      </c>
      <c r="B178" s="1" t="n">
        <v>45105</v>
      </c>
      <c r="C178" s="1" t="n">
        <v>45574</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32494-2023</t>
        </is>
      </c>
      <c r="B179" s="1" t="n">
        <v>45121</v>
      </c>
      <c r="C179" s="1" t="n">
        <v>45574</v>
      </c>
      <c r="D179" t="inlineStr">
        <is>
          <t>VÄSTERNORRLANDS LÄN</t>
        </is>
      </c>
      <c r="E179" t="inlineStr">
        <is>
          <t>ÅNGE</t>
        </is>
      </c>
      <c r="F179" t="inlineStr">
        <is>
          <t>Sveaskog</t>
        </is>
      </c>
      <c r="G179" t="n">
        <v>4.4</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32494-2023 artfynd.xlsx", "A 32494-2023")</f>
        <v/>
      </c>
      <c r="T179">
        <f>HYPERLINK("https://klasma.github.io/Logging_2260/kartor/A 32494-2023 karta.png", "A 32494-2023")</f>
        <v/>
      </c>
      <c r="V179">
        <f>HYPERLINK("https://klasma.github.io/Logging_2260/klagomål/A 32494-2023 FSC-klagomål.docx", "A 32494-2023")</f>
        <v/>
      </c>
      <c r="W179">
        <f>HYPERLINK("https://klasma.github.io/Logging_2260/klagomålsmail/A 32494-2023 FSC-klagomål mail.docx", "A 32494-2023")</f>
        <v/>
      </c>
      <c r="X179">
        <f>HYPERLINK("https://klasma.github.io/Logging_2260/tillsyn/A 32494-2023 tillsynsbegäran.docx", "A 32494-2023")</f>
        <v/>
      </c>
      <c r="Y179">
        <f>HYPERLINK("https://klasma.github.io/Logging_2260/tillsynsmail/A 32494-2023 tillsynsbegäran mail.docx", "A 32494-2023")</f>
        <v/>
      </c>
    </row>
    <row r="180" ht="15" customHeight="1">
      <c r="A180" t="inlineStr">
        <is>
          <t>A 32559-2023</t>
        </is>
      </c>
      <c r="B180" s="1" t="n">
        <v>45121</v>
      </c>
      <c r="C180" s="1" t="n">
        <v>45574</v>
      </c>
      <c r="D180" t="inlineStr">
        <is>
          <t>VÄSTERNORRLANDS LÄN</t>
        </is>
      </c>
      <c r="E180" t="inlineStr">
        <is>
          <t>ÅNGE</t>
        </is>
      </c>
      <c r="F180" t="inlineStr">
        <is>
          <t>Kyrkan</t>
        </is>
      </c>
      <c r="G180" t="n">
        <v>88.90000000000001</v>
      </c>
      <c r="H180" t="n">
        <v>2</v>
      </c>
      <c r="I180" t="n">
        <v>1</v>
      </c>
      <c r="J180" t="n">
        <v>0</v>
      </c>
      <c r="K180" t="n">
        <v>0</v>
      </c>
      <c r="L180" t="n">
        <v>0</v>
      </c>
      <c r="M180" t="n">
        <v>0</v>
      </c>
      <c r="N180" t="n">
        <v>0</v>
      </c>
      <c r="O180" t="n">
        <v>0</v>
      </c>
      <c r="P180" t="n">
        <v>0</v>
      </c>
      <c r="Q180" t="n">
        <v>2</v>
      </c>
      <c r="R180" s="2" t="inlineStr">
        <is>
          <t>Korallrot
Fläcknycklar</t>
        </is>
      </c>
      <c r="S180">
        <f>HYPERLINK("https://klasma.github.io/Logging_2260/artfynd/A 32559-2023 artfynd.xlsx", "A 32559-2023")</f>
        <v/>
      </c>
      <c r="T180">
        <f>HYPERLINK("https://klasma.github.io/Logging_2260/kartor/A 32559-2023 karta.png", "A 32559-2023")</f>
        <v/>
      </c>
      <c r="V180">
        <f>HYPERLINK("https://klasma.github.io/Logging_2260/klagomål/A 32559-2023 FSC-klagomål.docx", "A 32559-2023")</f>
        <v/>
      </c>
      <c r="W180">
        <f>HYPERLINK("https://klasma.github.io/Logging_2260/klagomålsmail/A 32559-2023 FSC-klagomål mail.docx", "A 32559-2023")</f>
        <v/>
      </c>
      <c r="X180">
        <f>HYPERLINK("https://klasma.github.io/Logging_2260/tillsyn/A 32559-2023 tillsynsbegäran.docx", "A 32559-2023")</f>
        <v/>
      </c>
      <c r="Y180">
        <f>HYPERLINK("https://klasma.github.io/Logging_2260/tillsynsmail/A 32559-2023 tillsynsbegäran mail.docx", "A 32559-2023")</f>
        <v/>
      </c>
    </row>
    <row r="181" ht="15" customHeight="1">
      <c r="A181" t="inlineStr">
        <is>
          <t>A 46734-2023</t>
        </is>
      </c>
      <c r="B181" s="1" t="n">
        <v>45198</v>
      </c>
      <c r="C181" s="1" t="n">
        <v>45574</v>
      </c>
      <c r="D181" t="inlineStr">
        <is>
          <t>VÄSTERNORRLANDS LÄN</t>
        </is>
      </c>
      <c r="E181" t="inlineStr">
        <is>
          <t>ÅNGE</t>
        </is>
      </c>
      <c r="F181" t="inlineStr">
        <is>
          <t>Holmen skog AB</t>
        </is>
      </c>
      <c r="G181" t="n">
        <v>9.300000000000001</v>
      </c>
      <c r="H181" t="n">
        <v>0</v>
      </c>
      <c r="I181" t="n">
        <v>1</v>
      </c>
      <c r="J181" t="n">
        <v>1</v>
      </c>
      <c r="K181" t="n">
        <v>0</v>
      </c>
      <c r="L181" t="n">
        <v>0</v>
      </c>
      <c r="M181" t="n">
        <v>0</v>
      </c>
      <c r="N181" t="n">
        <v>0</v>
      </c>
      <c r="O181" t="n">
        <v>1</v>
      </c>
      <c r="P181" t="n">
        <v>0</v>
      </c>
      <c r="Q181" t="n">
        <v>2</v>
      </c>
      <c r="R181" s="2" t="inlineStr">
        <is>
          <t>Lunglav
Stor aspticka</t>
        </is>
      </c>
      <c r="S181">
        <f>HYPERLINK("https://klasma.github.io/Logging_2260/artfynd/A 46734-2023 artfynd.xlsx", "A 46734-2023")</f>
        <v/>
      </c>
      <c r="T181">
        <f>HYPERLINK("https://klasma.github.io/Logging_2260/kartor/A 46734-2023 karta.png", "A 46734-2023")</f>
        <v/>
      </c>
      <c r="V181">
        <f>HYPERLINK("https://klasma.github.io/Logging_2260/klagomål/A 46734-2023 FSC-klagomål.docx", "A 46734-2023")</f>
        <v/>
      </c>
      <c r="W181">
        <f>HYPERLINK("https://klasma.github.io/Logging_2260/klagomålsmail/A 46734-2023 FSC-klagomål mail.docx", "A 46734-2023")</f>
        <v/>
      </c>
      <c r="X181">
        <f>HYPERLINK("https://klasma.github.io/Logging_2260/tillsyn/A 46734-2023 tillsynsbegäran.docx", "A 46734-2023")</f>
        <v/>
      </c>
      <c r="Y181">
        <f>HYPERLINK("https://klasma.github.io/Logging_2260/tillsynsmail/A 46734-2023 tillsynsbegäran mail.docx", "A 46734-2023")</f>
        <v/>
      </c>
    </row>
    <row r="182" ht="15" customHeight="1">
      <c r="A182" t="inlineStr">
        <is>
          <t>A 54688-2023</t>
        </is>
      </c>
      <c r="B182" s="1" t="n">
        <v>45235</v>
      </c>
      <c r="C182" s="1" t="n">
        <v>45574</v>
      </c>
      <c r="D182" t="inlineStr">
        <is>
          <t>VÄSTERNORRLANDS LÄN</t>
        </is>
      </c>
      <c r="E182" t="inlineStr">
        <is>
          <t>ÅNGE</t>
        </is>
      </c>
      <c r="F182" t="inlineStr">
        <is>
          <t>SCA</t>
        </is>
      </c>
      <c r="G182" t="n">
        <v>1.3</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54688-2023 artfynd.xlsx", "A 54688-2023")</f>
        <v/>
      </c>
      <c r="T182">
        <f>HYPERLINK("https://klasma.github.io/Logging_2260/kartor/A 54688-2023 karta.png", "A 54688-2023")</f>
        <v/>
      </c>
      <c r="V182">
        <f>HYPERLINK("https://klasma.github.io/Logging_2260/klagomål/A 54688-2023 FSC-klagomål.docx", "A 54688-2023")</f>
        <v/>
      </c>
      <c r="W182">
        <f>HYPERLINK("https://klasma.github.io/Logging_2260/klagomålsmail/A 54688-2023 FSC-klagomål mail.docx", "A 54688-2023")</f>
        <v/>
      </c>
      <c r="X182">
        <f>HYPERLINK("https://klasma.github.io/Logging_2260/tillsyn/A 54688-2023 tillsynsbegäran.docx", "A 54688-2023")</f>
        <v/>
      </c>
      <c r="Y182">
        <f>HYPERLINK("https://klasma.github.io/Logging_2260/tillsynsmail/A 54688-2023 tillsynsbegäran mail.docx", "A 54688-2023")</f>
        <v/>
      </c>
    </row>
    <row r="183" ht="15" customHeight="1">
      <c r="A183" t="inlineStr">
        <is>
          <t>A 2430-2024</t>
        </is>
      </c>
      <c r="B183" s="1" t="n">
        <v>45310</v>
      </c>
      <c r="C183" s="1" t="n">
        <v>45574</v>
      </c>
      <c r="D183" t="inlineStr">
        <is>
          <t>VÄSTERNORRLANDS LÄN</t>
        </is>
      </c>
      <c r="E183" t="inlineStr">
        <is>
          <t>ÅNGE</t>
        </is>
      </c>
      <c r="F183" t="inlineStr">
        <is>
          <t>SCA</t>
        </is>
      </c>
      <c r="G183" t="n">
        <v>11.9</v>
      </c>
      <c r="H183" t="n">
        <v>1</v>
      </c>
      <c r="I183" t="n">
        <v>0</v>
      </c>
      <c r="J183" t="n">
        <v>2</v>
      </c>
      <c r="K183" t="n">
        <v>0</v>
      </c>
      <c r="L183" t="n">
        <v>0</v>
      </c>
      <c r="M183" t="n">
        <v>0</v>
      </c>
      <c r="N183" t="n">
        <v>0</v>
      </c>
      <c r="O183" t="n">
        <v>2</v>
      </c>
      <c r="P183" t="n">
        <v>0</v>
      </c>
      <c r="Q183" t="n">
        <v>2</v>
      </c>
      <c r="R183" s="2" t="inlineStr">
        <is>
          <t>Dvärgbägarlav
Talltita</t>
        </is>
      </c>
      <c r="S183">
        <f>HYPERLINK("https://klasma.github.io/Logging_2260/artfynd/A 2430-2024 artfynd.xlsx", "A 2430-2024")</f>
        <v/>
      </c>
      <c r="T183">
        <f>HYPERLINK("https://klasma.github.io/Logging_2260/kartor/A 2430-2024 karta.png", "A 2430-2024")</f>
        <v/>
      </c>
      <c r="V183">
        <f>HYPERLINK("https://klasma.github.io/Logging_2260/klagomål/A 2430-2024 FSC-klagomål.docx", "A 2430-2024")</f>
        <v/>
      </c>
      <c r="W183">
        <f>HYPERLINK("https://klasma.github.io/Logging_2260/klagomålsmail/A 2430-2024 FSC-klagomål mail.docx", "A 2430-2024")</f>
        <v/>
      </c>
      <c r="X183">
        <f>HYPERLINK("https://klasma.github.io/Logging_2260/tillsyn/A 2430-2024 tillsynsbegäran.docx", "A 2430-2024")</f>
        <v/>
      </c>
      <c r="Y183">
        <f>HYPERLINK("https://klasma.github.io/Logging_2260/tillsynsmail/A 2430-2024 tillsynsbegäran mail.docx", "A 2430-2024")</f>
        <v/>
      </c>
      <c r="Z183">
        <f>HYPERLINK("https://klasma.github.io/Logging_2260/fåglar/A 2430-2024 prioriterade fågelarter.docx", "A 2430-2024")</f>
        <v/>
      </c>
    </row>
    <row r="184" ht="15" customHeight="1">
      <c r="A184" t="inlineStr">
        <is>
          <t>A 4173-2024</t>
        </is>
      </c>
      <c r="B184" s="1" t="n">
        <v>45323</v>
      </c>
      <c r="C184" s="1" t="n">
        <v>45574</v>
      </c>
      <c r="D184" t="inlineStr">
        <is>
          <t>VÄSTERNORRLANDS LÄN</t>
        </is>
      </c>
      <c r="E184" t="inlineStr">
        <is>
          <t>ÅNGE</t>
        </is>
      </c>
      <c r="F184" t="inlineStr">
        <is>
          <t>SCA</t>
        </is>
      </c>
      <c r="G184" t="n">
        <v>3.4</v>
      </c>
      <c r="H184" t="n">
        <v>0</v>
      </c>
      <c r="I184" t="n">
        <v>0</v>
      </c>
      <c r="J184" t="n">
        <v>2</v>
      </c>
      <c r="K184" t="n">
        <v>0</v>
      </c>
      <c r="L184" t="n">
        <v>0</v>
      </c>
      <c r="M184" t="n">
        <v>0</v>
      </c>
      <c r="N184" t="n">
        <v>0</v>
      </c>
      <c r="O184" t="n">
        <v>2</v>
      </c>
      <c r="P184" t="n">
        <v>0</v>
      </c>
      <c r="Q184" t="n">
        <v>2</v>
      </c>
      <c r="R184" s="2" t="inlineStr">
        <is>
          <t>Garnlav
Tallticka</t>
        </is>
      </c>
      <c r="S184">
        <f>HYPERLINK("https://klasma.github.io/Logging_2260/artfynd/A 4173-2024 artfynd.xlsx", "A 4173-2024")</f>
        <v/>
      </c>
      <c r="T184">
        <f>HYPERLINK("https://klasma.github.io/Logging_2260/kartor/A 4173-2024 karta.png", "A 4173-2024")</f>
        <v/>
      </c>
      <c r="V184">
        <f>HYPERLINK("https://klasma.github.io/Logging_2260/klagomål/A 4173-2024 FSC-klagomål.docx", "A 4173-2024")</f>
        <v/>
      </c>
      <c r="W184">
        <f>HYPERLINK("https://klasma.github.io/Logging_2260/klagomålsmail/A 4173-2024 FSC-klagomål mail.docx", "A 4173-2024")</f>
        <v/>
      </c>
      <c r="X184">
        <f>HYPERLINK("https://klasma.github.io/Logging_2260/tillsyn/A 4173-2024 tillsynsbegäran.docx", "A 4173-2024")</f>
        <v/>
      </c>
      <c r="Y184">
        <f>HYPERLINK("https://klasma.github.io/Logging_2260/tillsynsmail/A 4173-2024 tillsynsbegäran mail.docx", "A 4173-2024")</f>
        <v/>
      </c>
    </row>
    <row r="185" ht="15" customHeight="1">
      <c r="A185" t="inlineStr">
        <is>
          <t>A 5442-2024</t>
        </is>
      </c>
      <c r="B185" s="1" t="n">
        <v>45331</v>
      </c>
      <c r="C185" s="1" t="n">
        <v>45574</v>
      </c>
      <c r="D185" t="inlineStr">
        <is>
          <t>VÄSTERNORRLANDS LÄN</t>
        </is>
      </c>
      <c r="E185" t="inlineStr">
        <is>
          <t>ÅNGE</t>
        </is>
      </c>
      <c r="F185" t="inlineStr">
        <is>
          <t>SCA</t>
        </is>
      </c>
      <c r="G185" t="n">
        <v>14.6</v>
      </c>
      <c r="H185" t="n">
        <v>2</v>
      </c>
      <c r="I185" t="n">
        <v>0</v>
      </c>
      <c r="J185" t="n">
        <v>0</v>
      </c>
      <c r="K185" t="n">
        <v>0</v>
      </c>
      <c r="L185" t="n">
        <v>0</v>
      </c>
      <c r="M185" t="n">
        <v>0</v>
      </c>
      <c r="N185" t="n">
        <v>0</v>
      </c>
      <c r="O185" t="n">
        <v>0</v>
      </c>
      <c r="P185" t="n">
        <v>0</v>
      </c>
      <c r="Q185" t="n">
        <v>2</v>
      </c>
      <c r="R185" s="2" t="inlineStr">
        <is>
          <t>Tjäder
Revlummer</t>
        </is>
      </c>
      <c r="S185">
        <f>HYPERLINK("https://klasma.github.io/Logging_2260/artfynd/A 5442-2024 artfynd.xlsx", "A 5442-2024")</f>
        <v/>
      </c>
      <c r="T185">
        <f>HYPERLINK("https://klasma.github.io/Logging_2260/kartor/A 5442-2024 karta.png", "A 5442-2024")</f>
        <v/>
      </c>
      <c r="V185">
        <f>HYPERLINK("https://klasma.github.io/Logging_2260/klagomål/A 5442-2024 FSC-klagomål.docx", "A 5442-2024")</f>
        <v/>
      </c>
      <c r="W185">
        <f>HYPERLINK("https://klasma.github.io/Logging_2260/klagomålsmail/A 5442-2024 FSC-klagomål mail.docx", "A 5442-2024")</f>
        <v/>
      </c>
      <c r="X185">
        <f>HYPERLINK("https://klasma.github.io/Logging_2260/tillsyn/A 5442-2024 tillsynsbegäran.docx", "A 5442-2024")</f>
        <v/>
      </c>
      <c r="Y185">
        <f>HYPERLINK("https://klasma.github.io/Logging_2260/tillsynsmail/A 5442-2024 tillsynsbegäran mail.docx", "A 5442-2024")</f>
        <v/>
      </c>
      <c r="Z185">
        <f>HYPERLINK("https://klasma.github.io/Logging_2260/fåglar/A 5442-2024 prioriterade fågelarter.docx", "A 5442-2024")</f>
        <v/>
      </c>
    </row>
    <row r="186" ht="15" customHeight="1">
      <c r="A186" t="inlineStr">
        <is>
          <t>A 16704-2024</t>
        </is>
      </c>
      <c r="B186" s="1" t="n">
        <v>45409</v>
      </c>
      <c r="C186" s="1" t="n">
        <v>45574</v>
      </c>
      <c r="D186" t="inlineStr">
        <is>
          <t>VÄSTERNORRLANDS LÄN</t>
        </is>
      </c>
      <c r="E186" t="inlineStr">
        <is>
          <t>ÅNGE</t>
        </is>
      </c>
      <c r="F186" t="inlineStr">
        <is>
          <t>SCA</t>
        </is>
      </c>
      <c r="G186" t="n">
        <v>12.5</v>
      </c>
      <c r="H186" t="n">
        <v>2</v>
      </c>
      <c r="I186" t="n">
        <v>0</v>
      </c>
      <c r="J186" t="n">
        <v>1</v>
      </c>
      <c r="K186" t="n">
        <v>0</v>
      </c>
      <c r="L186" t="n">
        <v>0</v>
      </c>
      <c r="M186" t="n">
        <v>0</v>
      </c>
      <c r="N186" t="n">
        <v>0</v>
      </c>
      <c r="O186" t="n">
        <v>1</v>
      </c>
      <c r="P186" t="n">
        <v>0</v>
      </c>
      <c r="Q186" t="n">
        <v>2</v>
      </c>
      <c r="R186" s="2" t="inlineStr">
        <is>
          <t>Spillkråka
Revlummer</t>
        </is>
      </c>
      <c r="S186">
        <f>HYPERLINK("https://klasma.github.io/Logging_2260/artfynd/A 16704-2024 artfynd.xlsx", "A 16704-2024")</f>
        <v/>
      </c>
      <c r="T186">
        <f>HYPERLINK("https://klasma.github.io/Logging_2260/kartor/A 16704-2024 karta.png", "A 16704-2024")</f>
        <v/>
      </c>
      <c r="V186">
        <f>HYPERLINK("https://klasma.github.io/Logging_2260/klagomål/A 16704-2024 FSC-klagomål.docx", "A 16704-2024")</f>
        <v/>
      </c>
      <c r="W186">
        <f>HYPERLINK("https://klasma.github.io/Logging_2260/klagomålsmail/A 16704-2024 FSC-klagomål mail.docx", "A 16704-2024")</f>
        <v/>
      </c>
      <c r="X186">
        <f>HYPERLINK("https://klasma.github.io/Logging_2260/tillsyn/A 16704-2024 tillsynsbegäran.docx", "A 16704-2024")</f>
        <v/>
      </c>
      <c r="Y186">
        <f>HYPERLINK("https://klasma.github.io/Logging_2260/tillsynsmail/A 16704-2024 tillsynsbegäran mail.docx", "A 16704-2024")</f>
        <v/>
      </c>
      <c r="Z186">
        <f>HYPERLINK("https://klasma.github.io/Logging_2260/fåglar/A 16704-2024 prioriterade fågelarter.docx", "A 16704-2024")</f>
        <v/>
      </c>
    </row>
    <row r="187" ht="15" customHeight="1">
      <c r="A187" t="inlineStr">
        <is>
          <t>A 18654-2024</t>
        </is>
      </c>
      <c r="B187" s="1" t="n">
        <v>45425</v>
      </c>
      <c r="C187" s="1" t="n">
        <v>45574</v>
      </c>
      <c r="D187" t="inlineStr">
        <is>
          <t>VÄSTERNORRLANDS LÄN</t>
        </is>
      </c>
      <c r="E187" t="inlineStr">
        <is>
          <t>ÅNGE</t>
        </is>
      </c>
      <c r="F187" t="inlineStr">
        <is>
          <t>SCA</t>
        </is>
      </c>
      <c r="G187" t="n">
        <v>26.3</v>
      </c>
      <c r="H187" t="n">
        <v>1</v>
      </c>
      <c r="I187" t="n">
        <v>0</v>
      </c>
      <c r="J187" t="n">
        <v>0</v>
      </c>
      <c r="K187" t="n">
        <v>2</v>
      </c>
      <c r="L187" t="n">
        <v>0</v>
      </c>
      <c r="M187" t="n">
        <v>0</v>
      </c>
      <c r="N187" t="n">
        <v>0</v>
      </c>
      <c r="O187" t="n">
        <v>2</v>
      </c>
      <c r="P187" t="n">
        <v>2</v>
      </c>
      <c r="Q187" t="n">
        <v>2</v>
      </c>
      <c r="R187" s="2" t="inlineStr">
        <is>
          <t>Fläckporing
Knärot</t>
        </is>
      </c>
      <c r="S187">
        <f>HYPERLINK("https://klasma.github.io/Logging_2260/artfynd/A 18654-2024 artfynd.xlsx", "A 18654-2024")</f>
        <v/>
      </c>
      <c r="T187">
        <f>HYPERLINK("https://klasma.github.io/Logging_2260/kartor/A 18654-2024 karta.png", "A 18654-2024")</f>
        <v/>
      </c>
      <c r="U187">
        <f>HYPERLINK("https://klasma.github.io/Logging_2260/knärot/A 18654-2024 karta knärot.png", "A 18654-2024")</f>
        <v/>
      </c>
      <c r="V187">
        <f>HYPERLINK("https://klasma.github.io/Logging_2260/klagomål/A 18654-2024 FSC-klagomål.docx", "A 18654-2024")</f>
        <v/>
      </c>
      <c r="W187">
        <f>HYPERLINK("https://klasma.github.io/Logging_2260/klagomålsmail/A 18654-2024 FSC-klagomål mail.docx", "A 18654-2024")</f>
        <v/>
      </c>
      <c r="X187">
        <f>HYPERLINK("https://klasma.github.io/Logging_2260/tillsyn/A 18654-2024 tillsynsbegäran.docx", "A 18654-2024")</f>
        <v/>
      </c>
      <c r="Y187">
        <f>HYPERLINK("https://klasma.github.io/Logging_2260/tillsynsmail/A 18654-2024 tillsynsbegäran mail.docx", "A 18654-2024")</f>
        <v/>
      </c>
    </row>
    <row r="188" ht="15" customHeight="1">
      <c r="A188" t="inlineStr">
        <is>
          <t>A 19341-2024</t>
        </is>
      </c>
      <c r="B188" s="1" t="n">
        <v>45428</v>
      </c>
      <c r="C188" s="1" t="n">
        <v>45574</v>
      </c>
      <c r="D188" t="inlineStr">
        <is>
          <t>VÄSTERNORRLANDS LÄN</t>
        </is>
      </c>
      <c r="E188" t="inlineStr">
        <is>
          <t>ÅNGE</t>
        </is>
      </c>
      <c r="F188" t="inlineStr">
        <is>
          <t>SCA</t>
        </is>
      </c>
      <c r="G188" t="n">
        <v>2.5</v>
      </c>
      <c r="H188" t="n">
        <v>0</v>
      </c>
      <c r="I188" t="n">
        <v>0</v>
      </c>
      <c r="J188" t="n">
        <v>2</v>
      </c>
      <c r="K188" t="n">
        <v>0</v>
      </c>
      <c r="L188" t="n">
        <v>0</v>
      </c>
      <c r="M188" t="n">
        <v>0</v>
      </c>
      <c r="N188" t="n">
        <v>0</v>
      </c>
      <c r="O188" t="n">
        <v>2</v>
      </c>
      <c r="P188" t="n">
        <v>0</v>
      </c>
      <c r="Q188" t="n">
        <v>2</v>
      </c>
      <c r="R188" s="2" t="inlineStr">
        <is>
          <t>Granticka
Skrovellav</t>
        </is>
      </c>
      <c r="S188">
        <f>HYPERLINK("https://klasma.github.io/Logging_2260/artfynd/A 19341-2024 artfynd.xlsx", "A 19341-2024")</f>
        <v/>
      </c>
      <c r="T188">
        <f>HYPERLINK("https://klasma.github.io/Logging_2260/kartor/A 19341-2024 karta.png", "A 19341-2024")</f>
        <v/>
      </c>
      <c r="V188">
        <f>HYPERLINK("https://klasma.github.io/Logging_2260/klagomål/A 19341-2024 FSC-klagomål.docx", "A 19341-2024")</f>
        <v/>
      </c>
      <c r="W188">
        <f>HYPERLINK("https://klasma.github.io/Logging_2260/klagomålsmail/A 19341-2024 FSC-klagomål mail.docx", "A 19341-2024")</f>
        <v/>
      </c>
      <c r="X188">
        <f>HYPERLINK("https://klasma.github.io/Logging_2260/tillsyn/A 19341-2024 tillsynsbegäran.docx", "A 19341-2024")</f>
        <v/>
      </c>
      <c r="Y188">
        <f>HYPERLINK("https://klasma.github.io/Logging_2260/tillsynsmail/A 19341-2024 tillsynsbegäran mail.docx", "A 19341-2024")</f>
        <v/>
      </c>
    </row>
    <row r="189" ht="15" customHeight="1">
      <c r="A189" t="inlineStr">
        <is>
          <t>A 21091-2024</t>
        </is>
      </c>
      <c r="B189" s="1" t="n">
        <v>45439</v>
      </c>
      <c r="C189" s="1" t="n">
        <v>45574</v>
      </c>
      <c r="D189" t="inlineStr">
        <is>
          <t>VÄSTERNORRLANDS LÄN</t>
        </is>
      </c>
      <c r="E189" t="inlineStr">
        <is>
          <t>ÅNGE</t>
        </is>
      </c>
      <c r="F189" t="inlineStr">
        <is>
          <t>SCA</t>
        </is>
      </c>
      <c r="G189" t="n">
        <v>1.4</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21091-2024 artfynd.xlsx", "A 21091-2024")</f>
        <v/>
      </c>
      <c r="T189">
        <f>HYPERLINK("https://klasma.github.io/Logging_2260/kartor/A 21091-2024 karta.png", "A 21091-2024")</f>
        <v/>
      </c>
      <c r="V189">
        <f>HYPERLINK("https://klasma.github.io/Logging_2260/klagomål/A 21091-2024 FSC-klagomål.docx", "A 21091-2024")</f>
        <v/>
      </c>
      <c r="W189">
        <f>HYPERLINK("https://klasma.github.io/Logging_2260/klagomålsmail/A 21091-2024 FSC-klagomål mail.docx", "A 21091-2024")</f>
        <v/>
      </c>
      <c r="X189">
        <f>HYPERLINK("https://klasma.github.io/Logging_2260/tillsyn/A 21091-2024 tillsynsbegäran.docx", "A 21091-2024")</f>
        <v/>
      </c>
      <c r="Y189">
        <f>HYPERLINK("https://klasma.github.io/Logging_2260/tillsynsmail/A 21091-2024 tillsynsbegäran mail.docx", "A 21091-2024")</f>
        <v/>
      </c>
    </row>
    <row r="190" ht="15" customHeight="1">
      <c r="A190" t="inlineStr">
        <is>
          <t>A 22992-2024</t>
        </is>
      </c>
      <c r="B190" s="1" t="n">
        <v>45450</v>
      </c>
      <c r="C190" s="1" t="n">
        <v>45574</v>
      </c>
      <c r="D190" t="inlineStr">
        <is>
          <t>VÄSTERNORRLANDS LÄN</t>
        </is>
      </c>
      <c r="E190" t="inlineStr">
        <is>
          <t>ÅNGE</t>
        </is>
      </c>
      <c r="F190" t="inlineStr">
        <is>
          <t>SCA</t>
        </is>
      </c>
      <c r="G190" t="n">
        <v>2.4</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HYPERLINK("https://klasma.github.io/Logging_2260/artfynd/A 22992-2024 artfynd.xlsx", "A 22992-2024")</f>
        <v/>
      </c>
      <c r="T190">
        <f>HYPERLINK("https://klasma.github.io/Logging_2260/kartor/A 22992-2024 karta.png", "A 22992-2024")</f>
        <v/>
      </c>
      <c r="V190">
        <f>HYPERLINK("https://klasma.github.io/Logging_2260/klagomål/A 22992-2024 FSC-klagomål.docx", "A 22992-2024")</f>
        <v/>
      </c>
      <c r="W190">
        <f>HYPERLINK("https://klasma.github.io/Logging_2260/klagomålsmail/A 22992-2024 FSC-klagomål mail.docx", "A 22992-2024")</f>
        <v/>
      </c>
      <c r="X190">
        <f>HYPERLINK("https://klasma.github.io/Logging_2260/tillsyn/A 22992-2024 tillsynsbegäran.docx", "A 22992-2024")</f>
        <v/>
      </c>
      <c r="Y190">
        <f>HYPERLINK("https://klasma.github.io/Logging_2260/tillsynsmail/A 22992-2024 tillsynsbegäran mail.docx", "A 22992-2024")</f>
        <v/>
      </c>
    </row>
    <row r="191" ht="15" customHeight="1">
      <c r="A191" t="inlineStr">
        <is>
          <t>A 24795-2024</t>
        </is>
      </c>
      <c r="B191" s="1" t="n">
        <v>45461</v>
      </c>
      <c r="C191" s="1" t="n">
        <v>45574</v>
      </c>
      <c r="D191" t="inlineStr">
        <is>
          <t>VÄSTERNORRLANDS LÄN</t>
        </is>
      </c>
      <c r="E191" t="inlineStr">
        <is>
          <t>ÅNGE</t>
        </is>
      </c>
      <c r="F191" t="inlineStr">
        <is>
          <t>SCA</t>
        </is>
      </c>
      <c r="G191" t="n">
        <v>2.2</v>
      </c>
      <c r="H191" t="n">
        <v>0</v>
      </c>
      <c r="I191" t="n">
        <v>1</v>
      </c>
      <c r="J191" t="n">
        <v>1</v>
      </c>
      <c r="K191" t="n">
        <v>0</v>
      </c>
      <c r="L191" t="n">
        <v>0</v>
      </c>
      <c r="M191" t="n">
        <v>0</v>
      </c>
      <c r="N191" t="n">
        <v>0</v>
      </c>
      <c r="O191" t="n">
        <v>1</v>
      </c>
      <c r="P191" t="n">
        <v>0</v>
      </c>
      <c r="Q191" t="n">
        <v>2</v>
      </c>
      <c r="R191" s="2" t="inlineStr">
        <is>
          <t>Lunglav
Skinnlav</t>
        </is>
      </c>
      <c r="S191">
        <f>HYPERLINK("https://klasma.github.io/Logging_2260/artfynd/A 24795-2024 artfynd.xlsx", "A 24795-2024")</f>
        <v/>
      </c>
      <c r="T191">
        <f>HYPERLINK("https://klasma.github.io/Logging_2260/kartor/A 24795-2024 karta.png", "A 24795-2024")</f>
        <v/>
      </c>
      <c r="V191">
        <f>HYPERLINK("https://klasma.github.io/Logging_2260/klagomål/A 24795-2024 FSC-klagomål.docx", "A 24795-2024")</f>
        <v/>
      </c>
      <c r="W191">
        <f>HYPERLINK("https://klasma.github.io/Logging_2260/klagomålsmail/A 24795-2024 FSC-klagomål mail.docx", "A 24795-2024")</f>
        <v/>
      </c>
      <c r="X191">
        <f>HYPERLINK("https://klasma.github.io/Logging_2260/tillsyn/A 24795-2024 tillsynsbegäran.docx", "A 24795-2024")</f>
        <v/>
      </c>
      <c r="Y191">
        <f>HYPERLINK("https://klasma.github.io/Logging_2260/tillsynsmail/A 24795-2024 tillsynsbegäran mail.docx", "A 24795-2024")</f>
        <v/>
      </c>
    </row>
    <row r="192" ht="15" customHeight="1">
      <c r="A192" t="inlineStr">
        <is>
          <t>A 25034-2024</t>
        </is>
      </c>
      <c r="B192" s="1" t="n">
        <v>45462</v>
      </c>
      <c r="C192" s="1" t="n">
        <v>45574</v>
      </c>
      <c r="D192" t="inlineStr">
        <is>
          <t>VÄSTERNORRLANDS LÄN</t>
        </is>
      </c>
      <c r="E192" t="inlineStr">
        <is>
          <t>ÅNGE</t>
        </is>
      </c>
      <c r="F192" t="inlineStr">
        <is>
          <t>SCA</t>
        </is>
      </c>
      <c r="G192" t="n">
        <v>3.3</v>
      </c>
      <c r="H192" t="n">
        <v>0</v>
      </c>
      <c r="I192" t="n">
        <v>0</v>
      </c>
      <c r="J192" t="n">
        <v>2</v>
      </c>
      <c r="K192" t="n">
        <v>0</v>
      </c>
      <c r="L192" t="n">
        <v>0</v>
      </c>
      <c r="M192" t="n">
        <v>0</v>
      </c>
      <c r="N192" t="n">
        <v>0</v>
      </c>
      <c r="O192" t="n">
        <v>2</v>
      </c>
      <c r="P192" t="n">
        <v>0</v>
      </c>
      <c r="Q192" t="n">
        <v>2</v>
      </c>
      <c r="R192" s="2" t="inlineStr">
        <is>
          <t>Rosenticka
Ullticka</t>
        </is>
      </c>
      <c r="S192">
        <f>HYPERLINK("https://klasma.github.io/Logging_2260/artfynd/A 25034-2024 artfynd.xlsx", "A 25034-2024")</f>
        <v/>
      </c>
      <c r="T192">
        <f>HYPERLINK("https://klasma.github.io/Logging_2260/kartor/A 25034-2024 karta.png", "A 25034-2024")</f>
        <v/>
      </c>
      <c r="V192">
        <f>HYPERLINK("https://klasma.github.io/Logging_2260/klagomål/A 25034-2024 FSC-klagomål.docx", "A 25034-2024")</f>
        <v/>
      </c>
      <c r="W192">
        <f>HYPERLINK("https://klasma.github.io/Logging_2260/klagomålsmail/A 25034-2024 FSC-klagomål mail.docx", "A 25034-2024")</f>
        <v/>
      </c>
      <c r="X192">
        <f>HYPERLINK("https://klasma.github.io/Logging_2260/tillsyn/A 25034-2024 tillsynsbegäran.docx", "A 25034-2024")</f>
        <v/>
      </c>
      <c r="Y192">
        <f>HYPERLINK("https://klasma.github.io/Logging_2260/tillsynsmail/A 25034-2024 tillsynsbegäran mail.docx", "A 25034-2024")</f>
        <v/>
      </c>
    </row>
    <row r="193" ht="15" customHeight="1">
      <c r="A193" t="inlineStr">
        <is>
          <t>A 26020-2024</t>
        </is>
      </c>
      <c r="B193" s="1" t="n">
        <v>45468</v>
      </c>
      <c r="C193" s="1" t="n">
        <v>45574</v>
      </c>
      <c r="D193" t="inlineStr">
        <is>
          <t>VÄSTERNORRLANDS LÄN</t>
        </is>
      </c>
      <c r="E193" t="inlineStr">
        <is>
          <t>ÅNGE</t>
        </is>
      </c>
      <c r="F193" t="inlineStr">
        <is>
          <t>SCA</t>
        </is>
      </c>
      <c r="G193" t="n">
        <v>4.8</v>
      </c>
      <c r="H193" t="n">
        <v>0</v>
      </c>
      <c r="I193" t="n">
        <v>1</v>
      </c>
      <c r="J193" t="n">
        <v>1</v>
      </c>
      <c r="K193" t="n">
        <v>0</v>
      </c>
      <c r="L193" t="n">
        <v>0</v>
      </c>
      <c r="M193" t="n">
        <v>0</v>
      </c>
      <c r="N193" t="n">
        <v>0</v>
      </c>
      <c r="O193" t="n">
        <v>1</v>
      </c>
      <c r="P193" t="n">
        <v>0</v>
      </c>
      <c r="Q193" t="n">
        <v>2</v>
      </c>
      <c r="R193" s="2" t="inlineStr">
        <is>
          <t>Lunglav
Stuplav</t>
        </is>
      </c>
      <c r="S193">
        <f>HYPERLINK("https://klasma.github.io/Logging_2260/artfynd/A 26020-2024 artfynd.xlsx", "A 26020-2024")</f>
        <v/>
      </c>
      <c r="T193">
        <f>HYPERLINK("https://klasma.github.io/Logging_2260/kartor/A 26020-2024 karta.png", "A 26020-2024")</f>
        <v/>
      </c>
      <c r="V193">
        <f>HYPERLINK("https://klasma.github.io/Logging_2260/klagomål/A 26020-2024 FSC-klagomål.docx", "A 26020-2024")</f>
        <v/>
      </c>
      <c r="W193">
        <f>HYPERLINK("https://klasma.github.io/Logging_2260/klagomålsmail/A 26020-2024 FSC-klagomål mail.docx", "A 26020-2024")</f>
        <v/>
      </c>
      <c r="X193">
        <f>HYPERLINK("https://klasma.github.io/Logging_2260/tillsyn/A 26020-2024 tillsynsbegäran.docx", "A 26020-2024")</f>
        <v/>
      </c>
      <c r="Y193">
        <f>HYPERLINK("https://klasma.github.io/Logging_2260/tillsynsmail/A 26020-2024 tillsynsbegäran mail.docx", "A 26020-2024")</f>
        <v/>
      </c>
    </row>
    <row r="194" ht="15" customHeight="1">
      <c r="A194" t="inlineStr">
        <is>
          <t>A 31493-2024</t>
        </is>
      </c>
      <c r="B194" s="1" t="n">
        <v>45505</v>
      </c>
      <c r="C194" s="1" t="n">
        <v>45574</v>
      </c>
      <c r="D194" t="inlineStr">
        <is>
          <t>VÄSTERNORRLANDS LÄN</t>
        </is>
      </c>
      <c r="E194" t="inlineStr">
        <is>
          <t>ÅNGE</t>
        </is>
      </c>
      <c r="F194" t="inlineStr">
        <is>
          <t>SCA</t>
        </is>
      </c>
      <c r="G194" t="n">
        <v>4.4</v>
      </c>
      <c r="H194" t="n">
        <v>1</v>
      </c>
      <c r="I194" t="n">
        <v>1</v>
      </c>
      <c r="J194" t="n">
        <v>0</v>
      </c>
      <c r="K194" t="n">
        <v>1</v>
      </c>
      <c r="L194" t="n">
        <v>0</v>
      </c>
      <c r="M194" t="n">
        <v>0</v>
      </c>
      <c r="N194" t="n">
        <v>0</v>
      </c>
      <c r="O194" t="n">
        <v>1</v>
      </c>
      <c r="P194" t="n">
        <v>1</v>
      </c>
      <c r="Q194" t="n">
        <v>2</v>
      </c>
      <c r="R194" s="2" t="inlineStr">
        <is>
          <t>Knärot
Korallblylav</t>
        </is>
      </c>
      <c r="S194">
        <f>HYPERLINK("https://klasma.github.io/Logging_2260/artfynd/A 31493-2024 artfynd.xlsx", "A 31493-2024")</f>
        <v/>
      </c>
      <c r="T194">
        <f>HYPERLINK("https://klasma.github.io/Logging_2260/kartor/A 31493-2024 karta.png", "A 31493-2024")</f>
        <v/>
      </c>
      <c r="U194">
        <f>HYPERLINK("https://klasma.github.io/Logging_2260/knärot/A 31493-2024 karta knärot.png", "A 31493-2024")</f>
        <v/>
      </c>
      <c r="V194">
        <f>HYPERLINK("https://klasma.github.io/Logging_2260/klagomål/A 31493-2024 FSC-klagomål.docx", "A 31493-2024")</f>
        <v/>
      </c>
      <c r="W194">
        <f>HYPERLINK("https://klasma.github.io/Logging_2260/klagomålsmail/A 31493-2024 FSC-klagomål mail.docx", "A 31493-2024")</f>
        <v/>
      </c>
      <c r="X194">
        <f>HYPERLINK("https://klasma.github.io/Logging_2260/tillsyn/A 31493-2024 tillsynsbegäran.docx", "A 31493-2024")</f>
        <v/>
      </c>
      <c r="Y194">
        <f>HYPERLINK("https://klasma.github.io/Logging_2260/tillsynsmail/A 31493-2024 tillsynsbegäran mail.docx", "A 31493-2024")</f>
        <v/>
      </c>
    </row>
    <row r="195" ht="15" customHeight="1">
      <c r="A195" t="inlineStr">
        <is>
          <t>A 32648-2024</t>
        </is>
      </c>
      <c r="B195" s="1" t="n">
        <v>45513</v>
      </c>
      <c r="C195" s="1" t="n">
        <v>45574</v>
      </c>
      <c r="D195" t="inlineStr">
        <is>
          <t>VÄSTERNORRLANDS LÄN</t>
        </is>
      </c>
      <c r="E195" t="inlineStr">
        <is>
          <t>ÅNGE</t>
        </is>
      </c>
      <c r="F195" t="inlineStr">
        <is>
          <t>SCA</t>
        </is>
      </c>
      <c r="G195" t="n">
        <v>4.1</v>
      </c>
      <c r="H195" t="n">
        <v>0</v>
      </c>
      <c r="I195" t="n">
        <v>0</v>
      </c>
      <c r="J195" t="n">
        <v>2</v>
      </c>
      <c r="K195" t="n">
        <v>0</v>
      </c>
      <c r="L195" t="n">
        <v>0</v>
      </c>
      <c r="M195" t="n">
        <v>0</v>
      </c>
      <c r="N195" t="n">
        <v>0</v>
      </c>
      <c r="O195" t="n">
        <v>2</v>
      </c>
      <c r="P195" t="n">
        <v>0</v>
      </c>
      <c r="Q195" t="n">
        <v>2</v>
      </c>
      <c r="R195" s="2" t="inlineStr">
        <is>
          <t>Lunglav
Rosenticka</t>
        </is>
      </c>
      <c r="S195">
        <f>HYPERLINK("https://klasma.github.io/Logging_2260/artfynd/A 32648-2024 artfynd.xlsx", "A 32648-2024")</f>
        <v/>
      </c>
      <c r="T195">
        <f>HYPERLINK("https://klasma.github.io/Logging_2260/kartor/A 32648-2024 karta.png", "A 32648-2024")</f>
        <v/>
      </c>
      <c r="V195">
        <f>HYPERLINK("https://klasma.github.io/Logging_2260/klagomål/A 32648-2024 FSC-klagomål.docx", "A 32648-2024")</f>
        <v/>
      </c>
      <c r="W195">
        <f>HYPERLINK("https://klasma.github.io/Logging_2260/klagomålsmail/A 32648-2024 FSC-klagomål mail.docx", "A 32648-2024")</f>
        <v/>
      </c>
      <c r="X195">
        <f>HYPERLINK("https://klasma.github.io/Logging_2260/tillsyn/A 32648-2024 tillsynsbegäran.docx", "A 32648-2024")</f>
        <v/>
      </c>
      <c r="Y195">
        <f>HYPERLINK("https://klasma.github.io/Logging_2260/tillsynsmail/A 32648-2024 tillsynsbegäran mail.docx", "A 32648-2024")</f>
        <v/>
      </c>
    </row>
    <row r="196" ht="15" customHeight="1">
      <c r="A196" t="inlineStr">
        <is>
          <t>A 32659-2024</t>
        </is>
      </c>
      <c r="B196" s="1" t="n">
        <v>45513</v>
      </c>
      <c r="C196" s="1" t="n">
        <v>45574</v>
      </c>
      <c r="D196" t="inlineStr">
        <is>
          <t>VÄSTERNORRLANDS LÄN</t>
        </is>
      </c>
      <c r="E196" t="inlineStr">
        <is>
          <t>ÅNGE</t>
        </is>
      </c>
      <c r="F196" t="inlineStr">
        <is>
          <t>SCA</t>
        </is>
      </c>
      <c r="G196" t="n">
        <v>6.9</v>
      </c>
      <c r="H196" t="n">
        <v>0</v>
      </c>
      <c r="I196" t="n">
        <v>0</v>
      </c>
      <c r="J196" t="n">
        <v>2</v>
      </c>
      <c r="K196" t="n">
        <v>0</v>
      </c>
      <c r="L196" t="n">
        <v>0</v>
      </c>
      <c r="M196" t="n">
        <v>0</v>
      </c>
      <c r="N196" t="n">
        <v>0</v>
      </c>
      <c r="O196" t="n">
        <v>2</v>
      </c>
      <c r="P196" t="n">
        <v>0</v>
      </c>
      <c r="Q196" t="n">
        <v>2</v>
      </c>
      <c r="R196" s="2" t="inlineStr">
        <is>
          <t>Lunglav
Stjärntagging</t>
        </is>
      </c>
      <c r="S196">
        <f>HYPERLINK("https://klasma.github.io/Logging_2260/artfynd/A 32659-2024 artfynd.xlsx", "A 32659-2024")</f>
        <v/>
      </c>
      <c r="T196">
        <f>HYPERLINK("https://klasma.github.io/Logging_2260/kartor/A 32659-2024 karta.png", "A 32659-2024")</f>
        <v/>
      </c>
      <c r="V196">
        <f>HYPERLINK("https://klasma.github.io/Logging_2260/klagomål/A 32659-2024 FSC-klagomål.docx", "A 32659-2024")</f>
        <v/>
      </c>
      <c r="W196">
        <f>HYPERLINK("https://klasma.github.io/Logging_2260/klagomålsmail/A 32659-2024 FSC-klagomål mail.docx", "A 32659-2024")</f>
        <v/>
      </c>
      <c r="X196">
        <f>HYPERLINK("https://klasma.github.io/Logging_2260/tillsyn/A 32659-2024 tillsynsbegäran.docx", "A 32659-2024")</f>
        <v/>
      </c>
      <c r="Y196">
        <f>HYPERLINK("https://klasma.github.io/Logging_2260/tillsynsmail/A 32659-2024 tillsynsbegäran mail.docx", "A 32659-2024")</f>
        <v/>
      </c>
    </row>
    <row r="197" ht="15" customHeight="1">
      <c r="A197" t="inlineStr">
        <is>
          <t>A 6564-2020</t>
        </is>
      </c>
      <c r="B197" s="1" t="n">
        <v>43867</v>
      </c>
      <c r="C197" s="1" t="n">
        <v>45574</v>
      </c>
      <c r="D197" t="inlineStr">
        <is>
          <t>VÄSTERNORRLANDS LÄN</t>
        </is>
      </c>
      <c r="E197" t="inlineStr">
        <is>
          <t>ÅNGE</t>
        </is>
      </c>
      <c r="G197" t="n">
        <v>4.2</v>
      </c>
      <c r="H197" t="n">
        <v>1</v>
      </c>
      <c r="I197" t="n">
        <v>0</v>
      </c>
      <c r="J197" t="n">
        <v>0</v>
      </c>
      <c r="K197" t="n">
        <v>0</v>
      </c>
      <c r="L197" t="n">
        <v>0</v>
      </c>
      <c r="M197" t="n">
        <v>0</v>
      </c>
      <c r="N197" t="n">
        <v>0</v>
      </c>
      <c r="O197" t="n">
        <v>0</v>
      </c>
      <c r="P197" t="n">
        <v>0</v>
      </c>
      <c r="Q197" t="n">
        <v>1</v>
      </c>
      <c r="R197" s="2" t="inlineStr">
        <is>
          <t>Huggorm</t>
        </is>
      </c>
      <c r="S197">
        <f>HYPERLINK("https://klasma.github.io/Logging_2260/artfynd/A 6564-2020 artfynd.xlsx", "A 6564-2020")</f>
        <v/>
      </c>
      <c r="T197">
        <f>HYPERLINK("https://klasma.github.io/Logging_2260/kartor/A 6564-2020 karta.png", "A 6564-2020")</f>
        <v/>
      </c>
      <c r="V197">
        <f>HYPERLINK("https://klasma.github.io/Logging_2260/klagomål/A 6564-2020 FSC-klagomål.docx", "A 6564-2020")</f>
        <v/>
      </c>
      <c r="W197">
        <f>HYPERLINK("https://klasma.github.io/Logging_2260/klagomålsmail/A 6564-2020 FSC-klagomål mail.docx", "A 6564-2020")</f>
        <v/>
      </c>
      <c r="X197">
        <f>HYPERLINK("https://klasma.github.io/Logging_2260/tillsyn/A 6564-2020 tillsynsbegäran.docx", "A 6564-2020")</f>
        <v/>
      </c>
      <c r="Y197">
        <f>HYPERLINK("https://klasma.github.io/Logging_2260/tillsynsmail/A 6564-2020 tillsynsbegäran mail.docx", "A 6564-2020")</f>
        <v/>
      </c>
    </row>
    <row r="198" ht="15" customHeight="1">
      <c r="A198" t="inlineStr">
        <is>
          <t>A 19275-2020</t>
        </is>
      </c>
      <c r="B198" s="1" t="n">
        <v>43937</v>
      </c>
      <c r="C198" s="1" t="n">
        <v>45574</v>
      </c>
      <c r="D198" t="inlineStr">
        <is>
          <t>VÄSTERNORRLANDS LÄN</t>
        </is>
      </c>
      <c r="E198" t="inlineStr">
        <is>
          <t>ÅNGE</t>
        </is>
      </c>
      <c r="G198" t="n">
        <v>1.8</v>
      </c>
      <c r="H198" t="n">
        <v>1</v>
      </c>
      <c r="I198" t="n">
        <v>0</v>
      </c>
      <c r="J198" t="n">
        <v>0</v>
      </c>
      <c r="K198" t="n">
        <v>0</v>
      </c>
      <c r="L198" t="n">
        <v>0</v>
      </c>
      <c r="M198" t="n">
        <v>0</v>
      </c>
      <c r="N198" t="n">
        <v>0</v>
      </c>
      <c r="O198" t="n">
        <v>0</v>
      </c>
      <c r="P198" t="n">
        <v>0</v>
      </c>
      <c r="Q198" t="n">
        <v>1</v>
      </c>
      <c r="R198" s="2" t="inlineStr">
        <is>
          <t>Käppkrokmossa</t>
        </is>
      </c>
      <c r="S198">
        <f>HYPERLINK("https://klasma.github.io/Logging_2260/artfynd/A 19275-2020 artfynd.xlsx", "A 19275-2020")</f>
        <v/>
      </c>
      <c r="T198">
        <f>HYPERLINK("https://klasma.github.io/Logging_2260/kartor/A 19275-2020 karta.png", "A 19275-2020")</f>
        <v/>
      </c>
      <c r="V198">
        <f>HYPERLINK("https://klasma.github.io/Logging_2260/klagomål/A 19275-2020 FSC-klagomål.docx", "A 19275-2020")</f>
        <v/>
      </c>
      <c r="W198">
        <f>HYPERLINK("https://klasma.github.io/Logging_2260/klagomålsmail/A 19275-2020 FSC-klagomål mail.docx", "A 19275-2020")</f>
        <v/>
      </c>
      <c r="X198">
        <f>HYPERLINK("https://klasma.github.io/Logging_2260/tillsyn/A 19275-2020 tillsynsbegäran.docx", "A 19275-2020")</f>
        <v/>
      </c>
      <c r="Y198">
        <f>HYPERLINK("https://klasma.github.io/Logging_2260/tillsynsmail/A 19275-2020 tillsynsbegäran mail.docx", "A 19275-2020")</f>
        <v/>
      </c>
    </row>
    <row r="199" ht="15" customHeight="1">
      <c r="A199" t="inlineStr">
        <is>
          <t>A 22692-2020</t>
        </is>
      </c>
      <c r="B199" s="1" t="n">
        <v>43963</v>
      </c>
      <c r="C199" s="1" t="n">
        <v>45574</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22692-2020 artfynd.xlsx", "A 22692-2020")</f>
        <v/>
      </c>
      <c r="T199">
        <f>HYPERLINK("https://klasma.github.io/Logging_2260/kartor/A 22692-2020 karta.png", "A 22692-2020")</f>
        <v/>
      </c>
      <c r="V199">
        <f>HYPERLINK("https://klasma.github.io/Logging_2260/klagomål/A 22692-2020 FSC-klagomål.docx", "A 22692-2020")</f>
        <v/>
      </c>
      <c r="W199">
        <f>HYPERLINK("https://klasma.github.io/Logging_2260/klagomålsmail/A 22692-2020 FSC-klagomål mail.docx", "A 22692-2020")</f>
        <v/>
      </c>
      <c r="X199">
        <f>HYPERLINK("https://klasma.github.io/Logging_2260/tillsyn/A 22692-2020 tillsynsbegäran.docx", "A 22692-2020")</f>
        <v/>
      </c>
      <c r="Y199">
        <f>HYPERLINK("https://klasma.github.io/Logging_2260/tillsynsmail/A 22692-2020 tillsynsbegäran mail.docx", "A 22692-2020")</f>
        <v/>
      </c>
    </row>
    <row r="200" ht="15" customHeight="1">
      <c r="A200" t="inlineStr">
        <is>
          <t>A 32755-2020</t>
        </is>
      </c>
      <c r="B200" s="1" t="n">
        <v>44019</v>
      </c>
      <c r="C200" s="1" t="n">
        <v>45574</v>
      </c>
      <c r="D200" t="inlineStr">
        <is>
          <t>VÄSTERNORRLANDS LÄN</t>
        </is>
      </c>
      <c r="E200" t="inlineStr">
        <is>
          <t>ÅNGE</t>
        </is>
      </c>
      <c r="F200" t="inlineStr">
        <is>
          <t>SCA</t>
        </is>
      </c>
      <c r="G200" t="n">
        <v>6.1</v>
      </c>
      <c r="H200" t="n">
        <v>0</v>
      </c>
      <c r="I200" t="n">
        <v>0</v>
      </c>
      <c r="J200" t="n">
        <v>1</v>
      </c>
      <c r="K200" t="n">
        <v>0</v>
      </c>
      <c r="L200" t="n">
        <v>0</v>
      </c>
      <c r="M200" t="n">
        <v>0</v>
      </c>
      <c r="N200" t="n">
        <v>0</v>
      </c>
      <c r="O200" t="n">
        <v>1</v>
      </c>
      <c r="P200" t="n">
        <v>0</v>
      </c>
      <c r="Q200" t="n">
        <v>1</v>
      </c>
      <c r="R200" s="2" t="inlineStr">
        <is>
          <t>Ullticka</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40416-2020</t>
        </is>
      </c>
      <c r="B201" s="1" t="n">
        <v>44068</v>
      </c>
      <c r="C201" s="1" t="n">
        <v>45574</v>
      </c>
      <c r="D201" t="inlineStr">
        <is>
          <t>VÄSTERNORRLANDS LÄN</t>
        </is>
      </c>
      <c r="E201" t="inlineStr">
        <is>
          <t>ÅNGE</t>
        </is>
      </c>
      <c r="F201" t="inlineStr">
        <is>
          <t>SCA</t>
        </is>
      </c>
      <c r="G201" t="n">
        <v>7.7</v>
      </c>
      <c r="H201" t="n">
        <v>1</v>
      </c>
      <c r="I201" t="n">
        <v>0</v>
      </c>
      <c r="J201" t="n">
        <v>0</v>
      </c>
      <c r="K201" t="n">
        <v>1</v>
      </c>
      <c r="L201" t="n">
        <v>0</v>
      </c>
      <c r="M201" t="n">
        <v>0</v>
      </c>
      <c r="N201" t="n">
        <v>0</v>
      </c>
      <c r="O201" t="n">
        <v>1</v>
      </c>
      <c r="P201" t="n">
        <v>1</v>
      </c>
      <c r="Q201" t="n">
        <v>1</v>
      </c>
      <c r="R201" s="2" t="inlineStr">
        <is>
          <t>Knärot</t>
        </is>
      </c>
      <c r="S201">
        <f>HYPERLINK("https://klasma.github.io/Logging_2260/artfynd/A 40416-2020 artfynd.xlsx", "A 40416-2020")</f>
        <v/>
      </c>
      <c r="T201">
        <f>HYPERLINK("https://klasma.github.io/Logging_2260/kartor/A 40416-2020 karta.png", "A 40416-2020")</f>
        <v/>
      </c>
      <c r="U201">
        <f>HYPERLINK("https://klasma.github.io/Logging_2260/knärot/A 40416-2020 karta knärot.png", "A 40416-2020")</f>
        <v/>
      </c>
      <c r="V201">
        <f>HYPERLINK("https://klasma.github.io/Logging_2260/klagomål/A 40416-2020 FSC-klagomål.docx", "A 40416-2020")</f>
        <v/>
      </c>
      <c r="W201">
        <f>HYPERLINK("https://klasma.github.io/Logging_2260/klagomålsmail/A 40416-2020 FSC-klagomål mail.docx", "A 40416-2020")</f>
        <v/>
      </c>
      <c r="X201">
        <f>HYPERLINK("https://klasma.github.io/Logging_2260/tillsyn/A 40416-2020 tillsynsbegäran.docx", "A 40416-2020")</f>
        <v/>
      </c>
      <c r="Y201">
        <f>HYPERLINK("https://klasma.github.io/Logging_2260/tillsynsmail/A 40416-2020 tillsynsbegäran mail.docx", "A 40416-2020")</f>
        <v/>
      </c>
    </row>
    <row r="202" ht="15" customHeight="1">
      <c r="A202" t="inlineStr">
        <is>
          <t>A 63983-2020</t>
        </is>
      </c>
      <c r="B202" s="1" t="n">
        <v>44167</v>
      </c>
      <c r="C202" s="1" t="n">
        <v>45574</v>
      </c>
      <c r="D202" t="inlineStr">
        <is>
          <t>VÄSTERNORRLANDS LÄN</t>
        </is>
      </c>
      <c r="E202" t="inlineStr">
        <is>
          <t>ÅNGE</t>
        </is>
      </c>
      <c r="F202" t="inlineStr">
        <is>
          <t>Kommuner</t>
        </is>
      </c>
      <c r="G202" t="n">
        <v>27.1</v>
      </c>
      <c r="H202" t="n">
        <v>1</v>
      </c>
      <c r="I202" t="n">
        <v>0</v>
      </c>
      <c r="J202" t="n">
        <v>0</v>
      </c>
      <c r="K202" t="n">
        <v>1</v>
      </c>
      <c r="L202" t="n">
        <v>0</v>
      </c>
      <c r="M202" t="n">
        <v>0</v>
      </c>
      <c r="N202" t="n">
        <v>0</v>
      </c>
      <c r="O202" t="n">
        <v>1</v>
      </c>
      <c r="P202" t="n">
        <v>1</v>
      </c>
      <c r="Q202" t="n">
        <v>1</v>
      </c>
      <c r="R202" s="2" t="inlineStr">
        <is>
          <t>Knärot</t>
        </is>
      </c>
      <c r="S202">
        <f>HYPERLINK("https://klasma.github.io/Logging_2260/artfynd/A 63983-2020 artfynd.xlsx", "A 63983-2020")</f>
        <v/>
      </c>
      <c r="T202">
        <f>HYPERLINK("https://klasma.github.io/Logging_2260/kartor/A 63983-2020 karta.png", "A 63983-2020")</f>
        <v/>
      </c>
      <c r="U202">
        <f>HYPERLINK("https://klasma.github.io/Logging_2260/knärot/A 63983-2020 karta knärot.png", "A 63983-2020")</f>
        <v/>
      </c>
      <c r="V202">
        <f>HYPERLINK("https://klasma.github.io/Logging_2260/klagomål/A 63983-2020 FSC-klagomål.docx", "A 63983-2020")</f>
        <v/>
      </c>
      <c r="W202">
        <f>HYPERLINK("https://klasma.github.io/Logging_2260/klagomålsmail/A 63983-2020 FSC-klagomål mail.docx", "A 63983-2020")</f>
        <v/>
      </c>
      <c r="X202">
        <f>HYPERLINK("https://klasma.github.io/Logging_2260/tillsyn/A 63983-2020 tillsynsbegäran.docx", "A 63983-2020")</f>
        <v/>
      </c>
      <c r="Y202">
        <f>HYPERLINK("https://klasma.github.io/Logging_2260/tillsynsmail/A 63983-2020 tillsynsbegäran mail.docx", "A 63983-2020")</f>
        <v/>
      </c>
    </row>
    <row r="203" ht="15" customHeight="1">
      <c r="A203" t="inlineStr">
        <is>
          <t>A 5558-2021</t>
        </is>
      </c>
      <c r="B203" s="1" t="n">
        <v>44230</v>
      </c>
      <c r="C203" s="1" t="n">
        <v>45574</v>
      </c>
      <c r="D203" t="inlineStr">
        <is>
          <t>VÄSTERNORRLANDS LÄN</t>
        </is>
      </c>
      <c r="E203" t="inlineStr">
        <is>
          <t>ÅNGE</t>
        </is>
      </c>
      <c r="G203" t="n">
        <v>60.6</v>
      </c>
      <c r="H203" t="n">
        <v>0</v>
      </c>
      <c r="I203" t="n">
        <v>0</v>
      </c>
      <c r="J203" t="n">
        <v>1</v>
      </c>
      <c r="K203" t="n">
        <v>0</v>
      </c>
      <c r="L203" t="n">
        <v>0</v>
      </c>
      <c r="M203" t="n">
        <v>0</v>
      </c>
      <c r="N203" t="n">
        <v>0</v>
      </c>
      <c r="O203" t="n">
        <v>1</v>
      </c>
      <c r="P203" t="n">
        <v>0</v>
      </c>
      <c r="Q203" t="n">
        <v>1</v>
      </c>
      <c r="R203" s="2" t="inlineStr">
        <is>
          <t>Garnlav</t>
        </is>
      </c>
      <c r="S203">
        <f>HYPERLINK("https://klasma.github.io/Logging_2260/artfynd/A 5558-2021 artfynd.xlsx", "A 5558-2021")</f>
        <v/>
      </c>
      <c r="T203">
        <f>HYPERLINK("https://klasma.github.io/Logging_2260/kartor/A 5558-2021 karta.png", "A 5558-2021")</f>
        <v/>
      </c>
      <c r="V203">
        <f>HYPERLINK("https://klasma.github.io/Logging_2260/klagomål/A 5558-2021 FSC-klagomål.docx", "A 5558-2021")</f>
        <v/>
      </c>
      <c r="W203">
        <f>HYPERLINK("https://klasma.github.io/Logging_2260/klagomålsmail/A 5558-2021 FSC-klagomål mail.docx", "A 5558-2021")</f>
        <v/>
      </c>
      <c r="X203">
        <f>HYPERLINK("https://klasma.github.io/Logging_2260/tillsyn/A 5558-2021 tillsynsbegäran.docx", "A 5558-2021")</f>
        <v/>
      </c>
      <c r="Y203">
        <f>HYPERLINK("https://klasma.github.io/Logging_2260/tillsynsmail/A 5558-2021 tillsynsbegäran mail.docx", "A 5558-2021")</f>
        <v/>
      </c>
    </row>
    <row r="204" ht="15" customHeight="1">
      <c r="A204" t="inlineStr">
        <is>
          <t>A 31578-2021</t>
        </is>
      </c>
      <c r="B204" s="1" t="n">
        <v>44369</v>
      </c>
      <c r="C204" s="1" t="n">
        <v>45574</v>
      </c>
      <c r="D204" t="inlineStr">
        <is>
          <t>VÄSTERNORRLANDS LÄN</t>
        </is>
      </c>
      <c r="E204" t="inlineStr">
        <is>
          <t>ÅNGE</t>
        </is>
      </c>
      <c r="G204" t="n">
        <v>25.8</v>
      </c>
      <c r="H204" t="n">
        <v>1</v>
      </c>
      <c r="I204" t="n">
        <v>0</v>
      </c>
      <c r="J204" t="n">
        <v>0</v>
      </c>
      <c r="K204" t="n">
        <v>1</v>
      </c>
      <c r="L204" t="n">
        <v>0</v>
      </c>
      <c r="M204" t="n">
        <v>0</v>
      </c>
      <c r="N204" t="n">
        <v>0</v>
      </c>
      <c r="O204" t="n">
        <v>1</v>
      </c>
      <c r="P204" t="n">
        <v>1</v>
      </c>
      <c r="Q204" t="n">
        <v>1</v>
      </c>
      <c r="R204" s="2" t="inlineStr">
        <is>
          <t>Knärot</t>
        </is>
      </c>
      <c r="S204">
        <f>HYPERLINK("https://klasma.github.io/Logging_2260/artfynd/A 31578-2021 artfynd.xlsx", "A 31578-2021")</f>
        <v/>
      </c>
      <c r="T204">
        <f>HYPERLINK("https://klasma.github.io/Logging_2260/kartor/A 31578-2021 karta.png", "A 31578-2021")</f>
        <v/>
      </c>
      <c r="U204">
        <f>HYPERLINK("https://klasma.github.io/Logging_2260/knärot/A 31578-2021 karta knärot.png", "A 31578-2021")</f>
        <v/>
      </c>
      <c r="V204">
        <f>HYPERLINK("https://klasma.github.io/Logging_2260/klagomål/A 31578-2021 FSC-klagomål.docx", "A 31578-2021")</f>
        <v/>
      </c>
      <c r="W204">
        <f>HYPERLINK("https://klasma.github.io/Logging_2260/klagomålsmail/A 31578-2021 FSC-klagomål mail.docx", "A 31578-2021")</f>
        <v/>
      </c>
      <c r="X204">
        <f>HYPERLINK("https://klasma.github.io/Logging_2260/tillsyn/A 31578-2021 tillsynsbegäran.docx", "A 31578-2021")</f>
        <v/>
      </c>
      <c r="Y204">
        <f>HYPERLINK("https://klasma.github.io/Logging_2260/tillsynsmail/A 31578-2021 tillsynsbegäran mail.docx", "A 31578-2021")</f>
        <v/>
      </c>
    </row>
    <row r="205" ht="15" customHeight="1">
      <c r="A205" t="inlineStr">
        <is>
          <t>A 35018-2021</t>
        </is>
      </c>
      <c r="B205" s="1" t="n">
        <v>44383</v>
      </c>
      <c r="C205" s="1" t="n">
        <v>45574</v>
      </c>
      <c r="D205" t="inlineStr">
        <is>
          <t>VÄSTERNORRLANDS LÄN</t>
        </is>
      </c>
      <c r="E205" t="inlineStr">
        <is>
          <t>ÅNGE</t>
        </is>
      </c>
      <c r="F205" t="inlineStr">
        <is>
          <t>Sveaskog</t>
        </is>
      </c>
      <c r="G205" t="n">
        <v>9.5</v>
      </c>
      <c r="H205" t="n">
        <v>1</v>
      </c>
      <c r="I205" t="n">
        <v>0</v>
      </c>
      <c r="J205" t="n">
        <v>1</v>
      </c>
      <c r="K205" t="n">
        <v>0</v>
      </c>
      <c r="L205" t="n">
        <v>0</v>
      </c>
      <c r="M205" t="n">
        <v>0</v>
      </c>
      <c r="N205" t="n">
        <v>0</v>
      </c>
      <c r="O205" t="n">
        <v>1</v>
      </c>
      <c r="P205" t="n">
        <v>0</v>
      </c>
      <c r="Q205" t="n">
        <v>1</v>
      </c>
      <c r="R205" s="2" t="inlineStr">
        <is>
          <t>Utter</t>
        </is>
      </c>
      <c r="S205">
        <f>HYPERLINK("https://klasma.github.io/Logging_2260/artfynd/A 35018-2021 artfynd.xlsx", "A 35018-2021")</f>
        <v/>
      </c>
      <c r="T205">
        <f>HYPERLINK("https://klasma.github.io/Logging_2260/kartor/A 35018-2021 karta.png", "A 35018-2021")</f>
        <v/>
      </c>
      <c r="V205">
        <f>HYPERLINK("https://klasma.github.io/Logging_2260/klagomål/A 35018-2021 FSC-klagomål.docx", "A 35018-2021")</f>
        <v/>
      </c>
      <c r="W205">
        <f>HYPERLINK("https://klasma.github.io/Logging_2260/klagomålsmail/A 35018-2021 FSC-klagomål mail.docx", "A 35018-2021")</f>
        <v/>
      </c>
      <c r="X205">
        <f>HYPERLINK("https://klasma.github.io/Logging_2260/tillsyn/A 35018-2021 tillsynsbegäran.docx", "A 35018-2021")</f>
        <v/>
      </c>
      <c r="Y205">
        <f>HYPERLINK("https://klasma.github.io/Logging_2260/tillsynsmail/A 35018-2021 tillsynsbegäran mail.docx", "A 35018-2021")</f>
        <v/>
      </c>
    </row>
    <row r="206" ht="15" customHeight="1">
      <c r="A206" t="inlineStr">
        <is>
          <t>A 41493-2021</t>
        </is>
      </c>
      <c r="B206" s="1" t="n">
        <v>44424</v>
      </c>
      <c r="C206" s="1" t="n">
        <v>45574</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45355-2021</t>
        </is>
      </c>
      <c r="B207" s="1" t="n">
        <v>44439</v>
      </c>
      <c r="C207" s="1" t="n">
        <v>45574</v>
      </c>
      <c r="D207" t="inlineStr">
        <is>
          <t>VÄSTERNORRLANDS LÄN</t>
        </is>
      </c>
      <c r="E207" t="inlineStr">
        <is>
          <t>ÅNGE</t>
        </is>
      </c>
      <c r="F207" t="inlineStr">
        <is>
          <t>SCA</t>
        </is>
      </c>
      <c r="G207" t="n">
        <v>1.7</v>
      </c>
      <c r="H207" t="n">
        <v>0</v>
      </c>
      <c r="I207" t="n">
        <v>0</v>
      </c>
      <c r="J207" t="n">
        <v>1</v>
      </c>
      <c r="K207" t="n">
        <v>0</v>
      </c>
      <c r="L207" t="n">
        <v>0</v>
      </c>
      <c r="M207" t="n">
        <v>0</v>
      </c>
      <c r="N207" t="n">
        <v>0</v>
      </c>
      <c r="O207" t="n">
        <v>1</v>
      </c>
      <c r="P207" t="n">
        <v>0</v>
      </c>
      <c r="Q207" t="n">
        <v>1</v>
      </c>
      <c r="R207" s="2" t="inlineStr">
        <is>
          <t>Stiftgelélav</t>
        </is>
      </c>
      <c r="S207">
        <f>HYPERLINK("https://klasma.github.io/Logging_2260/artfynd/A 45355-2021 artfynd.xlsx", "A 45355-2021")</f>
        <v/>
      </c>
      <c r="T207">
        <f>HYPERLINK("https://klasma.github.io/Logging_2260/kartor/A 45355-2021 karta.png", "A 45355-2021")</f>
        <v/>
      </c>
      <c r="V207">
        <f>HYPERLINK("https://klasma.github.io/Logging_2260/klagomål/A 45355-2021 FSC-klagomål.docx", "A 45355-2021")</f>
        <v/>
      </c>
      <c r="W207">
        <f>HYPERLINK("https://klasma.github.io/Logging_2260/klagomålsmail/A 45355-2021 FSC-klagomål mail.docx", "A 45355-2021")</f>
        <v/>
      </c>
      <c r="X207">
        <f>HYPERLINK("https://klasma.github.io/Logging_2260/tillsyn/A 45355-2021 tillsynsbegäran.docx", "A 45355-2021")</f>
        <v/>
      </c>
      <c r="Y207">
        <f>HYPERLINK("https://klasma.github.io/Logging_2260/tillsynsmail/A 45355-2021 tillsynsbegäran mail.docx", "A 45355-2021")</f>
        <v/>
      </c>
    </row>
    <row r="208" ht="15" customHeight="1">
      <c r="A208" t="inlineStr">
        <is>
          <t>A 54751-2021</t>
        </is>
      </c>
      <c r="B208" s="1" t="n">
        <v>44473</v>
      </c>
      <c r="C208" s="1" t="n">
        <v>45574</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57562-2021</t>
        </is>
      </c>
      <c r="B209" s="1" t="n">
        <v>44483</v>
      </c>
      <c r="C209" s="1" t="n">
        <v>45574</v>
      </c>
      <c r="D209" t="inlineStr">
        <is>
          <t>VÄSTERNORRLANDS LÄN</t>
        </is>
      </c>
      <c r="E209" t="inlineStr">
        <is>
          <t>ÅNGE</t>
        </is>
      </c>
      <c r="F209" t="inlineStr">
        <is>
          <t>SCA</t>
        </is>
      </c>
      <c r="G209" t="n">
        <v>10.7</v>
      </c>
      <c r="H209" t="n">
        <v>0</v>
      </c>
      <c r="I209" t="n">
        <v>1</v>
      </c>
      <c r="J209" t="n">
        <v>0</v>
      </c>
      <c r="K209" t="n">
        <v>0</v>
      </c>
      <c r="L209" t="n">
        <v>0</v>
      </c>
      <c r="M209" t="n">
        <v>0</v>
      </c>
      <c r="N209" t="n">
        <v>0</v>
      </c>
      <c r="O209" t="n">
        <v>0</v>
      </c>
      <c r="P209" t="n">
        <v>0</v>
      </c>
      <c r="Q209" t="n">
        <v>1</v>
      </c>
      <c r="R209" s="2" t="inlineStr">
        <is>
          <t>Ögonpyrola</t>
        </is>
      </c>
      <c r="S209">
        <f>HYPERLINK("https://klasma.github.io/Logging_2260/artfynd/A 57562-2021 artfynd.xlsx", "A 57562-2021")</f>
        <v/>
      </c>
      <c r="T209">
        <f>HYPERLINK("https://klasma.github.io/Logging_2260/kartor/A 57562-2021 karta.png", "A 57562-2021")</f>
        <v/>
      </c>
      <c r="V209">
        <f>HYPERLINK("https://klasma.github.io/Logging_2260/klagomål/A 57562-2021 FSC-klagomål.docx", "A 57562-2021")</f>
        <v/>
      </c>
      <c r="W209">
        <f>HYPERLINK("https://klasma.github.io/Logging_2260/klagomålsmail/A 57562-2021 FSC-klagomål mail.docx", "A 57562-2021")</f>
        <v/>
      </c>
      <c r="X209">
        <f>HYPERLINK("https://klasma.github.io/Logging_2260/tillsyn/A 57562-2021 tillsynsbegäran.docx", "A 57562-2021")</f>
        <v/>
      </c>
      <c r="Y209">
        <f>HYPERLINK("https://klasma.github.io/Logging_2260/tillsynsmail/A 57562-2021 tillsynsbegäran mail.docx", "A 57562-2021")</f>
        <v/>
      </c>
    </row>
    <row r="210" ht="15" customHeight="1">
      <c r="A210" t="inlineStr">
        <is>
          <t>A 60767-2021</t>
        </is>
      </c>
      <c r="B210" s="1" t="n">
        <v>44496</v>
      </c>
      <c r="C210" s="1" t="n">
        <v>45574</v>
      </c>
      <c r="D210" t="inlineStr">
        <is>
          <t>VÄSTERNORRLANDS LÄN</t>
        </is>
      </c>
      <c r="E210" t="inlineStr">
        <is>
          <t>ÅNGE</t>
        </is>
      </c>
      <c r="F210" t="inlineStr">
        <is>
          <t>SCA</t>
        </is>
      </c>
      <c r="G210" t="n">
        <v>4.5</v>
      </c>
      <c r="H210" t="n">
        <v>1</v>
      </c>
      <c r="I210" t="n">
        <v>0</v>
      </c>
      <c r="J210" t="n">
        <v>0</v>
      </c>
      <c r="K210" t="n">
        <v>1</v>
      </c>
      <c r="L210" t="n">
        <v>0</v>
      </c>
      <c r="M210" t="n">
        <v>0</v>
      </c>
      <c r="N210" t="n">
        <v>0</v>
      </c>
      <c r="O210" t="n">
        <v>1</v>
      </c>
      <c r="P210" t="n">
        <v>1</v>
      </c>
      <c r="Q210" t="n">
        <v>1</v>
      </c>
      <c r="R210" s="2" t="inlineStr">
        <is>
          <t>Knärot</t>
        </is>
      </c>
      <c r="S210">
        <f>HYPERLINK("https://klasma.github.io/Logging_2260/artfynd/A 60767-2021 artfynd.xlsx", "A 60767-2021")</f>
        <v/>
      </c>
      <c r="T210">
        <f>HYPERLINK("https://klasma.github.io/Logging_2260/kartor/A 60767-2021 karta.png", "A 60767-2021")</f>
        <v/>
      </c>
      <c r="U210">
        <f>HYPERLINK("https://klasma.github.io/Logging_2260/knärot/A 60767-2021 karta knärot.png", "A 60767-2021")</f>
        <v/>
      </c>
      <c r="V210">
        <f>HYPERLINK("https://klasma.github.io/Logging_2260/klagomål/A 60767-2021 FSC-klagomål.docx", "A 60767-2021")</f>
        <v/>
      </c>
      <c r="W210">
        <f>HYPERLINK("https://klasma.github.io/Logging_2260/klagomålsmail/A 60767-2021 FSC-klagomål mail.docx", "A 60767-2021")</f>
        <v/>
      </c>
      <c r="X210">
        <f>HYPERLINK("https://klasma.github.io/Logging_2260/tillsyn/A 60767-2021 tillsynsbegäran.docx", "A 60767-2021")</f>
        <v/>
      </c>
      <c r="Y210">
        <f>HYPERLINK("https://klasma.github.io/Logging_2260/tillsynsmail/A 60767-2021 tillsynsbegäran mail.docx", "A 60767-2021")</f>
        <v/>
      </c>
    </row>
    <row r="211" ht="15" customHeight="1">
      <c r="A211" t="inlineStr">
        <is>
          <t>A 61458-2021</t>
        </is>
      </c>
      <c r="B211" s="1" t="n">
        <v>44500</v>
      </c>
      <c r="C211" s="1" t="n">
        <v>45574</v>
      </c>
      <c r="D211" t="inlineStr">
        <is>
          <t>VÄSTERNORRLANDS LÄN</t>
        </is>
      </c>
      <c r="E211" t="inlineStr">
        <is>
          <t>ÅNGE</t>
        </is>
      </c>
      <c r="F211" t="inlineStr">
        <is>
          <t>SCA</t>
        </is>
      </c>
      <c r="G211" t="n">
        <v>11.1</v>
      </c>
      <c r="H211" t="n">
        <v>1</v>
      </c>
      <c r="I211" t="n">
        <v>0</v>
      </c>
      <c r="J211" t="n">
        <v>0</v>
      </c>
      <c r="K211" t="n">
        <v>1</v>
      </c>
      <c r="L211" t="n">
        <v>0</v>
      </c>
      <c r="M211" t="n">
        <v>0</v>
      </c>
      <c r="N211" t="n">
        <v>0</v>
      </c>
      <c r="O211" t="n">
        <v>1</v>
      </c>
      <c r="P211" t="n">
        <v>1</v>
      </c>
      <c r="Q211" t="n">
        <v>1</v>
      </c>
      <c r="R211" s="2" t="inlineStr">
        <is>
          <t>Knärot</t>
        </is>
      </c>
      <c r="S211">
        <f>HYPERLINK("https://klasma.github.io/Logging_2260/artfynd/A 61458-2021 artfynd.xlsx", "A 61458-2021")</f>
        <v/>
      </c>
      <c r="T211">
        <f>HYPERLINK("https://klasma.github.io/Logging_2260/kartor/A 61458-2021 karta.png", "A 61458-2021")</f>
        <v/>
      </c>
      <c r="U211">
        <f>HYPERLINK("https://klasma.github.io/Logging_2260/knärot/A 61458-2021 karta knärot.png", "A 61458-2021")</f>
        <v/>
      </c>
      <c r="V211">
        <f>HYPERLINK("https://klasma.github.io/Logging_2260/klagomål/A 61458-2021 FSC-klagomål.docx", "A 61458-2021")</f>
        <v/>
      </c>
      <c r="W211">
        <f>HYPERLINK("https://klasma.github.io/Logging_2260/klagomålsmail/A 61458-2021 FSC-klagomål mail.docx", "A 61458-2021")</f>
        <v/>
      </c>
      <c r="X211">
        <f>HYPERLINK("https://klasma.github.io/Logging_2260/tillsyn/A 61458-2021 tillsynsbegäran.docx", "A 61458-2021")</f>
        <v/>
      </c>
      <c r="Y211">
        <f>HYPERLINK("https://klasma.github.io/Logging_2260/tillsynsmail/A 61458-2021 tillsynsbegäran mail.docx", "A 61458-2021")</f>
        <v/>
      </c>
    </row>
    <row r="212" ht="15" customHeight="1">
      <c r="A212" t="inlineStr">
        <is>
          <t>A 61479-2021</t>
        </is>
      </c>
      <c r="B212" s="1" t="n">
        <v>44500</v>
      </c>
      <c r="C212" s="1" t="n">
        <v>45574</v>
      </c>
      <c r="D212" t="inlineStr">
        <is>
          <t>VÄSTERNORRLANDS LÄN</t>
        </is>
      </c>
      <c r="E212" t="inlineStr">
        <is>
          <t>ÅNGE</t>
        </is>
      </c>
      <c r="F212" t="inlineStr">
        <is>
          <t>SCA</t>
        </is>
      </c>
      <c r="G212" t="n">
        <v>7.2</v>
      </c>
      <c r="H212" t="n">
        <v>1</v>
      </c>
      <c r="I212" t="n">
        <v>0</v>
      </c>
      <c r="J212" t="n">
        <v>0</v>
      </c>
      <c r="K212" t="n">
        <v>1</v>
      </c>
      <c r="L212" t="n">
        <v>0</v>
      </c>
      <c r="M212" t="n">
        <v>0</v>
      </c>
      <c r="N212" t="n">
        <v>0</v>
      </c>
      <c r="O212" t="n">
        <v>1</v>
      </c>
      <c r="P212" t="n">
        <v>1</v>
      </c>
      <c r="Q212" t="n">
        <v>1</v>
      </c>
      <c r="R212" s="2" t="inlineStr">
        <is>
          <t>Knärot</t>
        </is>
      </c>
      <c r="S212">
        <f>HYPERLINK("https://klasma.github.io/Logging_2260/artfynd/A 61479-2021 artfynd.xlsx", "A 61479-2021")</f>
        <v/>
      </c>
      <c r="T212">
        <f>HYPERLINK("https://klasma.github.io/Logging_2260/kartor/A 61479-2021 karta.png", "A 61479-2021")</f>
        <v/>
      </c>
      <c r="U212">
        <f>HYPERLINK("https://klasma.github.io/Logging_2260/knärot/A 61479-2021 karta knärot.png", "A 61479-2021")</f>
        <v/>
      </c>
      <c r="V212">
        <f>HYPERLINK("https://klasma.github.io/Logging_2260/klagomål/A 61479-2021 FSC-klagomål.docx", "A 61479-2021")</f>
        <v/>
      </c>
      <c r="W212">
        <f>HYPERLINK("https://klasma.github.io/Logging_2260/klagomålsmail/A 61479-2021 FSC-klagomål mail.docx", "A 61479-2021")</f>
        <v/>
      </c>
      <c r="X212">
        <f>HYPERLINK("https://klasma.github.io/Logging_2260/tillsyn/A 61479-2021 tillsynsbegäran.docx", "A 61479-2021")</f>
        <v/>
      </c>
      <c r="Y212">
        <f>HYPERLINK("https://klasma.github.io/Logging_2260/tillsynsmail/A 61479-2021 tillsynsbegäran mail.docx", "A 61479-2021")</f>
        <v/>
      </c>
    </row>
    <row r="213" ht="15" customHeight="1">
      <c r="A213" t="inlineStr">
        <is>
          <t>A 71366-2021</t>
        </is>
      </c>
      <c r="B213" s="1" t="n">
        <v>44539</v>
      </c>
      <c r="C213" s="1" t="n">
        <v>45574</v>
      </c>
      <c r="D213" t="inlineStr">
        <is>
          <t>VÄSTERNORRLANDS LÄN</t>
        </is>
      </c>
      <c r="E213" t="inlineStr">
        <is>
          <t>ÅNGE</t>
        </is>
      </c>
      <c r="F213" t="inlineStr">
        <is>
          <t>SCA</t>
        </is>
      </c>
      <c r="G213" t="n">
        <v>2.3</v>
      </c>
      <c r="H213" t="n">
        <v>1</v>
      </c>
      <c r="I213" t="n">
        <v>0</v>
      </c>
      <c r="J213" t="n">
        <v>0</v>
      </c>
      <c r="K213" t="n">
        <v>1</v>
      </c>
      <c r="L213" t="n">
        <v>0</v>
      </c>
      <c r="M213" t="n">
        <v>0</v>
      </c>
      <c r="N213" t="n">
        <v>0</v>
      </c>
      <c r="O213" t="n">
        <v>1</v>
      </c>
      <c r="P213" t="n">
        <v>1</v>
      </c>
      <c r="Q213" t="n">
        <v>1</v>
      </c>
      <c r="R213" s="2" t="inlineStr">
        <is>
          <t>Knärot</t>
        </is>
      </c>
      <c r="S213">
        <f>HYPERLINK("https://klasma.github.io/Logging_2260/artfynd/A 71366-2021 artfynd.xlsx", "A 71366-2021")</f>
        <v/>
      </c>
      <c r="T213">
        <f>HYPERLINK("https://klasma.github.io/Logging_2260/kartor/A 71366-2021 karta.png", "A 71366-2021")</f>
        <v/>
      </c>
      <c r="U213">
        <f>HYPERLINK("https://klasma.github.io/Logging_2260/knärot/A 71366-2021 karta knärot.png", "A 71366-2021")</f>
        <v/>
      </c>
      <c r="V213">
        <f>HYPERLINK("https://klasma.github.io/Logging_2260/klagomål/A 71366-2021 FSC-klagomål.docx", "A 71366-2021")</f>
        <v/>
      </c>
      <c r="W213">
        <f>HYPERLINK("https://klasma.github.io/Logging_2260/klagomålsmail/A 71366-2021 FSC-klagomål mail.docx", "A 71366-2021")</f>
        <v/>
      </c>
      <c r="X213">
        <f>HYPERLINK("https://klasma.github.io/Logging_2260/tillsyn/A 71366-2021 tillsynsbegäran.docx", "A 71366-2021")</f>
        <v/>
      </c>
      <c r="Y213">
        <f>HYPERLINK("https://klasma.github.io/Logging_2260/tillsynsmail/A 71366-2021 tillsynsbegäran mail.docx", "A 71366-2021")</f>
        <v/>
      </c>
    </row>
    <row r="214" ht="15" customHeight="1">
      <c r="A214" t="inlineStr">
        <is>
          <t>A 14834-2022</t>
        </is>
      </c>
      <c r="B214" s="1" t="n">
        <v>44656</v>
      </c>
      <c r="C214" s="1" t="n">
        <v>45574</v>
      </c>
      <c r="D214" t="inlineStr">
        <is>
          <t>VÄSTERNORRLANDS LÄN</t>
        </is>
      </c>
      <c r="E214" t="inlineStr">
        <is>
          <t>ÅNGE</t>
        </is>
      </c>
      <c r="G214" t="n">
        <v>3.3</v>
      </c>
      <c r="H214" t="n">
        <v>1</v>
      </c>
      <c r="I214" t="n">
        <v>0</v>
      </c>
      <c r="J214" t="n">
        <v>0</v>
      </c>
      <c r="K214" t="n">
        <v>0</v>
      </c>
      <c r="L214" t="n">
        <v>0</v>
      </c>
      <c r="M214" t="n">
        <v>0</v>
      </c>
      <c r="N214" t="n">
        <v>0</v>
      </c>
      <c r="O214" t="n">
        <v>0</v>
      </c>
      <c r="P214" t="n">
        <v>0</v>
      </c>
      <c r="Q214" t="n">
        <v>1</v>
      </c>
      <c r="R214" s="2" t="inlineStr">
        <is>
          <t>Orre</t>
        </is>
      </c>
      <c r="S214">
        <f>HYPERLINK("https://klasma.github.io/Logging_2260/artfynd/A 14834-2022 artfynd.xlsx", "A 14834-2022")</f>
        <v/>
      </c>
      <c r="T214">
        <f>HYPERLINK("https://klasma.github.io/Logging_2260/kartor/A 14834-2022 karta.png", "A 14834-2022")</f>
        <v/>
      </c>
      <c r="V214">
        <f>HYPERLINK("https://klasma.github.io/Logging_2260/klagomål/A 14834-2022 FSC-klagomål.docx", "A 14834-2022")</f>
        <v/>
      </c>
      <c r="W214">
        <f>HYPERLINK("https://klasma.github.io/Logging_2260/klagomålsmail/A 14834-2022 FSC-klagomål mail.docx", "A 14834-2022")</f>
        <v/>
      </c>
      <c r="X214">
        <f>HYPERLINK("https://klasma.github.io/Logging_2260/tillsyn/A 14834-2022 tillsynsbegäran.docx", "A 14834-2022")</f>
        <v/>
      </c>
      <c r="Y214">
        <f>HYPERLINK("https://klasma.github.io/Logging_2260/tillsynsmail/A 14834-2022 tillsynsbegäran mail.docx", "A 14834-2022")</f>
        <v/>
      </c>
      <c r="Z214">
        <f>HYPERLINK("https://klasma.github.io/Logging_2260/fåglar/A 14834-2022 prioriterade fågelarter.docx", "A 14834-2022")</f>
        <v/>
      </c>
    </row>
    <row r="215" ht="15" customHeight="1">
      <c r="A215" t="inlineStr">
        <is>
          <t>A 16053-2022</t>
        </is>
      </c>
      <c r="B215" s="1" t="n">
        <v>44665</v>
      </c>
      <c r="C215" s="1" t="n">
        <v>45574</v>
      </c>
      <c r="D215" t="inlineStr">
        <is>
          <t>VÄSTERNORRLANDS LÄN</t>
        </is>
      </c>
      <c r="E215" t="inlineStr">
        <is>
          <t>ÅNGE</t>
        </is>
      </c>
      <c r="G215" t="n">
        <v>3.8</v>
      </c>
      <c r="H215" t="n">
        <v>1</v>
      </c>
      <c r="I215" t="n">
        <v>0</v>
      </c>
      <c r="J215" t="n">
        <v>1</v>
      </c>
      <c r="K215" t="n">
        <v>0</v>
      </c>
      <c r="L215" t="n">
        <v>0</v>
      </c>
      <c r="M215" t="n">
        <v>0</v>
      </c>
      <c r="N215" t="n">
        <v>0</v>
      </c>
      <c r="O215" t="n">
        <v>1</v>
      </c>
      <c r="P215" t="n">
        <v>0</v>
      </c>
      <c r="Q215" t="n">
        <v>1</v>
      </c>
      <c r="R215" s="2" t="inlineStr">
        <is>
          <t>Järpe</t>
        </is>
      </c>
      <c r="S215">
        <f>HYPERLINK("https://klasma.github.io/Logging_2260/artfynd/A 16053-2022 artfynd.xlsx", "A 16053-2022")</f>
        <v/>
      </c>
      <c r="T215">
        <f>HYPERLINK("https://klasma.github.io/Logging_2260/kartor/A 16053-2022 karta.png", "A 16053-2022")</f>
        <v/>
      </c>
      <c r="V215">
        <f>HYPERLINK("https://klasma.github.io/Logging_2260/klagomål/A 16053-2022 FSC-klagomål.docx", "A 16053-2022")</f>
        <v/>
      </c>
      <c r="W215">
        <f>HYPERLINK("https://klasma.github.io/Logging_2260/klagomålsmail/A 16053-2022 FSC-klagomål mail.docx", "A 16053-2022")</f>
        <v/>
      </c>
      <c r="X215">
        <f>HYPERLINK("https://klasma.github.io/Logging_2260/tillsyn/A 16053-2022 tillsynsbegäran.docx", "A 16053-2022")</f>
        <v/>
      </c>
      <c r="Y215">
        <f>HYPERLINK("https://klasma.github.io/Logging_2260/tillsynsmail/A 16053-2022 tillsynsbegäran mail.docx", "A 16053-2022")</f>
        <v/>
      </c>
      <c r="Z215">
        <f>HYPERLINK("https://klasma.github.io/Logging_2260/fåglar/A 16053-2022 prioriterade fågelarter.docx", "A 16053-2022")</f>
        <v/>
      </c>
    </row>
    <row r="216" ht="15" customHeight="1">
      <c r="A216" t="inlineStr">
        <is>
          <t>A 20367-2022</t>
        </is>
      </c>
      <c r="B216" s="1" t="n">
        <v>44699</v>
      </c>
      <c r="C216" s="1" t="n">
        <v>45574</v>
      </c>
      <c r="D216" t="inlineStr">
        <is>
          <t>VÄSTERNORRLANDS LÄN</t>
        </is>
      </c>
      <c r="E216" t="inlineStr">
        <is>
          <t>ÅNGE</t>
        </is>
      </c>
      <c r="G216" t="n">
        <v>9.6</v>
      </c>
      <c r="H216" t="n">
        <v>1</v>
      </c>
      <c r="I216" t="n">
        <v>0</v>
      </c>
      <c r="J216" t="n">
        <v>0</v>
      </c>
      <c r="K216" t="n">
        <v>0</v>
      </c>
      <c r="L216" t="n">
        <v>0</v>
      </c>
      <c r="M216" t="n">
        <v>0</v>
      </c>
      <c r="N216" t="n">
        <v>0</v>
      </c>
      <c r="O216" t="n">
        <v>0</v>
      </c>
      <c r="P216" t="n">
        <v>0</v>
      </c>
      <c r="Q216" t="n">
        <v>1</v>
      </c>
      <c r="R216" s="2" t="inlineStr">
        <is>
          <t>Fläcknycklar</t>
        </is>
      </c>
      <c r="S216">
        <f>HYPERLINK("https://klasma.github.io/Logging_2260/artfynd/A 20367-2022 artfynd.xlsx", "A 20367-2022")</f>
        <v/>
      </c>
      <c r="T216">
        <f>HYPERLINK("https://klasma.github.io/Logging_2260/kartor/A 20367-2022 karta.png", "A 20367-2022")</f>
        <v/>
      </c>
      <c r="V216">
        <f>HYPERLINK("https://klasma.github.io/Logging_2260/klagomål/A 20367-2022 FSC-klagomål.docx", "A 20367-2022")</f>
        <v/>
      </c>
      <c r="W216">
        <f>HYPERLINK("https://klasma.github.io/Logging_2260/klagomålsmail/A 20367-2022 FSC-klagomål mail.docx", "A 20367-2022")</f>
        <v/>
      </c>
      <c r="X216">
        <f>HYPERLINK("https://klasma.github.io/Logging_2260/tillsyn/A 20367-2022 tillsynsbegäran.docx", "A 20367-2022")</f>
        <v/>
      </c>
      <c r="Y216">
        <f>HYPERLINK("https://klasma.github.io/Logging_2260/tillsynsmail/A 20367-2022 tillsynsbegäran mail.docx", "A 20367-2022")</f>
        <v/>
      </c>
    </row>
    <row r="217" ht="15" customHeight="1">
      <c r="A217" t="inlineStr">
        <is>
          <t>A 39933-2022</t>
        </is>
      </c>
      <c r="B217" s="1" t="n">
        <v>44819</v>
      </c>
      <c r="C217" s="1" t="n">
        <v>45574</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47784-2022</t>
        </is>
      </c>
      <c r="B218" s="1" t="n">
        <v>44854</v>
      </c>
      <c r="C218" s="1" t="n">
        <v>45574</v>
      </c>
      <c r="D218" t="inlineStr">
        <is>
          <t>VÄSTERNORRLANDS LÄN</t>
        </is>
      </c>
      <c r="E218" t="inlineStr">
        <is>
          <t>ÅNGE</t>
        </is>
      </c>
      <c r="F218" t="inlineStr">
        <is>
          <t>SCA</t>
        </is>
      </c>
      <c r="G218" t="n">
        <v>14.8</v>
      </c>
      <c r="H218" t="n">
        <v>0</v>
      </c>
      <c r="I218" t="n">
        <v>0</v>
      </c>
      <c r="J218" t="n">
        <v>1</v>
      </c>
      <c r="K218" t="n">
        <v>0</v>
      </c>
      <c r="L218" t="n">
        <v>0</v>
      </c>
      <c r="M218" t="n">
        <v>0</v>
      </c>
      <c r="N218" t="n">
        <v>0</v>
      </c>
      <c r="O218" t="n">
        <v>1</v>
      </c>
      <c r="P218" t="n">
        <v>0</v>
      </c>
      <c r="Q218" t="n">
        <v>1</v>
      </c>
      <c r="R218" s="2" t="inlineStr">
        <is>
          <t>Reliktbock</t>
        </is>
      </c>
      <c r="S218">
        <f>HYPERLINK("https://klasma.github.io/Logging_2260/artfynd/A 47784-2022 artfynd.xlsx", "A 47784-2022")</f>
        <v/>
      </c>
      <c r="T218">
        <f>HYPERLINK("https://klasma.github.io/Logging_2260/kartor/A 47784-2022 karta.png", "A 47784-2022")</f>
        <v/>
      </c>
      <c r="V218">
        <f>HYPERLINK("https://klasma.github.io/Logging_2260/klagomål/A 47784-2022 FSC-klagomål.docx", "A 47784-2022")</f>
        <v/>
      </c>
      <c r="W218">
        <f>HYPERLINK("https://klasma.github.io/Logging_2260/klagomålsmail/A 47784-2022 FSC-klagomål mail.docx", "A 47784-2022")</f>
        <v/>
      </c>
      <c r="X218">
        <f>HYPERLINK("https://klasma.github.io/Logging_2260/tillsyn/A 47784-2022 tillsynsbegäran.docx", "A 47784-2022")</f>
        <v/>
      </c>
      <c r="Y218">
        <f>HYPERLINK("https://klasma.github.io/Logging_2260/tillsynsmail/A 47784-2022 tillsynsbegäran mail.docx", "A 47784-2022")</f>
        <v/>
      </c>
    </row>
    <row r="219" ht="15" customHeight="1">
      <c r="A219" t="inlineStr">
        <is>
          <t>A 7485-2023</t>
        </is>
      </c>
      <c r="B219" s="1" t="n">
        <v>44964</v>
      </c>
      <c r="C219" s="1" t="n">
        <v>45574</v>
      </c>
      <c r="D219" t="inlineStr">
        <is>
          <t>VÄSTERNORRLANDS LÄN</t>
        </is>
      </c>
      <c r="E219" t="inlineStr">
        <is>
          <t>ÅNGE</t>
        </is>
      </c>
      <c r="G219" t="n">
        <v>2.9</v>
      </c>
      <c r="H219" t="n">
        <v>0</v>
      </c>
      <c r="I219" t="n">
        <v>0</v>
      </c>
      <c r="J219" t="n">
        <v>1</v>
      </c>
      <c r="K219" t="n">
        <v>0</v>
      </c>
      <c r="L219" t="n">
        <v>0</v>
      </c>
      <c r="M219" t="n">
        <v>0</v>
      </c>
      <c r="N219" t="n">
        <v>0</v>
      </c>
      <c r="O219" t="n">
        <v>1</v>
      </c>
      <c r="P219" t="n">
        <v>0</v>
      </c>
      <c r="Q219" t="n">
        <v>1</v>
      </c>
      <c r="R219" s="2" t="inlineStr">
        <is>
          <t>Rosenticka</t>
        </is>
      </c>
      <c r="S219">
        <f>HYPERLINK("https://klasma.github.io/Logging_2260/artfynd/A 7485-2023 artfynd.xlsx", "A 7485-2023")</f>
        <v/>
      </c>
      <c r="T219">
        <f>HYPERLINK("https://klasma.github.io/Logging_2260/kartor/A 7485-2023 karta.png", "A 7485-2023")</f>
        <v/>
      </c>
      <c r="V219">
        <f>HYPERLINK("https://klasma.github.io/Logging_2260/klagomål/A 7485-2023 FSC-klagomål.docx", "A 7485-2023")</f>
        <v/>
      </c>
      <c r="W219">
        <f>HYPERLINK("https://klasma.github.io/Logging_2260/klagomålsmail/A 7485-2023 FSC-klagomål mail.docx", "A 7485-2023")</f>
        <v/>
      </c>
      <c r="X219">
        <f>HYPERLINK("https://klasma.github.io/Logging_2260/tillsyn/A 7485-2023 tillsynsbegäran.docx", "A 7485-2023")</f>
        <v/>
      </c>
      <c r="Y219">
        <f>HYPERLINK("https://klasma.github.io/Logging_2260/tillsynsmail/A 7485-2023 tillsynsbegäran mail.docx", "A 7485-2023")</f>
        <v/>
      </c>
    </row>
    <row r="220" ht="15" customHeight="1">
      <c r="A220" t="inlineStr">
        <is>
          <t>A 22998-2023</t>
        </is>
      </c>
      <c r="B220" s="1" t="n">
        <v>45072</v>
      </c>
      <c r="C220" s="1" t="n">
        <v>45574</v>
      </c>
      <c r="D220" t="inlineStr">
        <is>
          <t>VÄSTERNORRLANDS LÄN</t>
        </is>
      </c>
      <c r="E220" t="inlineStr">
        <is>
          <t>ÅNGE</t>
        </is>
      </c>
      <c r="F220" t="inlineStr">
        <is>
          <t>SCA</t>
        </is>
      </c>
      <c r="G220" t="n">
        <v>3.8</v>
      </c>
      <c r="H220" t="n">
        <v>0</v>
      </c>
      <c r="I220" t="n">
        <v>0</v>
      </c>
      <c r="J220" t="n">
        <v>1</v>
      </c>
      <c r="K220" t="n">
        <v>0</v>
      </c>
      <c r="L220" t="n">
        <v>0</v>
      </c>
      <c r="M220" t="n">
        <v>0</v>
      </c>
      <c r="N220" t="n">
        <v>0</v>
      </c>
      <c r="O220" t="n">
        <v>1</v>
      </c>
      <c r="P220" t="n">
        <v>0</v>
      </c>
      <c r="Q220" t="n">
        <v>1</v>
      </c>
      <c r="R220" s="2" t="inlineStr">
        <is>
          <t>Blågrå svartspik</t>
        </is>
      </c>
      <c r="S220">
        <f>HYPERLINK("https://klasma.github.io/Logging_2260/artfynd/A 22998-2023 artfynd.xlsx", "A 22998-2023")</f>
        <v/>
      </c>
      <c r="T220">
        <f>HYPERLINK("https://klasma.github.io/Logging_2260/kartor/A 22998-2023 karta.png", "A 22998-2023")</f>
        <v/>
      </c>
      <c r="V220">
        <f>HYPERLINK("https://klasma.github.io/Logging_2260/klagomål/A 22998-2023 FSC-klagomål.docx", "A 22998-2023")</f>
        <v/>
      </c>
      <c r="W220">
        <f>HYPERLINK("https://klasma.github.io/Logging_2260/klagomålsmail/A 22998-2023 FSC-klagomål mail.docx", "A 22998-2023")</f>
        <v/>
      </c>
      <c r="X220">
        <f>HYPERLINK("https://klasma.github.io/Logging_2260/tillsyn/A 22998-2023 tillsynsbegäran.docx", "A 22998-2023")</f>
        <v/>
      </c>
      <c r="Y220">
        <f>HYPERLINK("https://klasma.github.io/Logging_2260/tillsynsmail/A 22998-2023 tillsynsbegäran mail.docx", "A 22998-2023")</f>
        <v/>
      </c>
    </row>
    <row r="221" ht="15" customHeight="1">
      <c r="A221" t="inlineStr">
        <is>
          <t>A 25322-2023</t>
        </is>
      </c>
      <c r="B221" s="1" t="n">
        <v>45086</v>
      </c>
      <c r="C221" s="1" t="n">
        <v>45574</v>
      </c>
      <c r="D221" t="inlineStr">
        <is>
          <t>VÄSTERNORRLANDS LÄN</t>
        </is>
      </c>
      <c r="E221" t="inlineStr">
        <is>
          <t>ÅNGE</t>
        </is>
      </c>
      <c r="F221" t="inlineStr">
        <is>
          <t>SCA</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HYPERLINK("https://klasma.github.io/Logging_2260/artfynd/A 25322-2023 artfynd.xlsx", "A 25322-2023")</f>
        <v/>
      </c>
      <c r="T221">
        <f>HYPERLINK("https://klasma.github.io/Logging_2260/kartor/A 25322-2023 karta.png", "A 25322-2023")</f>
        <v/>
      </c>
      <c r="V221">
        <f>HYPERLINK("https://klasma.github.io/Logging_2260/klagomål/A 25322-2023 FSC-klagomål.docx", "A 25322-2023")</f>
        <v/>
      </c>
      <c r="W221">
        <f>HYPERLINK("https://klasma.github.io/Logging_2260/klagomålsmail/A 25322-2023 FSC-klagomål mail.docx", "A 25322-2023")</f>
        <v/>
      </c>
      <c r="X221">
        <f>HYPERLINK("https://klasma.github.io/Logging_2260/tillsyn/A 25322-2023 tillsynsbegäran.docx", "A 25322-2023")</f>
        <v/>
      </c>
      <c r="Y221">
        <f>HYPERLINK("https://klasma.github.io/Logging_2260/tillsynsmail/A 25322-2023 tillsynsbegäran mail.docx", "A 25322-2023")</f>
        <v/>
      </c>
    </row>
    <row r="222" ht="15" customHeight="1">
      <c r="A222" t="inlineStr">
        <is>
          <t>A 26514-2023</t>
        </is>
      </c>
      <c r="B222" s="1" t="n">
        <v>45092</v>
      </c>
      <c r="C222" s="1" t="n">
        <v>45574</v>
      </c>
      <c r="D222" t="inlineStr">
        <is>
          <t>VÄSTERNORRLANDS LÄN</t>
        </is>
      </c>
      <c r="E222" t="inlineStr">
        <is>
          <t>ÅNGE</t>
        </is>
      </c>
      <c r="F222" t="inlineStr">
        <is>
          <t>Sveaskog</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26514-2023 artfynd.xlsx", "A 26514-2023")</f>
        <v/>
      </c>
      <c r="T222">
        <f>HYPERLINK("https://klasma.github.io/Logging_2260/kartor/A 26514-2023 karta.png", "A 26514-2023")</f>
        <v/>
      </c>
      <c r="V222">
        <f>HYPERLINK("https://klasma.github.io/Logging_2260/klagomål/A 26514-2023 FSC-klagomål.docx", "A 26514-2023")</f>
        <v/>
      </c>
      <c r="W222">
        <f>HYPERLINK("https://klasma.github.io/Logging_2260/klagomålsmail/A 26514-2023 FSC-klagomål mail.docx", "A 26514-2023")</f>
        <v/>
      </c>
      <c r="X222">
        <f>HYPERLINK("https://klasma.github.io/Logging_2260/tillsyn/A 26514-2023 tillsynsbegäran.docx", "A 26514-2023")</f>
        <v/>
      </c>
      <c r="Y222">
        <f>HYPERLINK("https://klasma.github.io/Logging_2260/tillsynsmail/A 26514-2023 tillsynsbegäran mail.docx", "A 26514-2023")</f>
        <v/>
      </c>
    </row>
    <row r="223" ht="15" customHeight="1">
      <c r="A223" t="inlineStr">
        <is>
          <t>A 29327-2023</t>
        </is>
      </c>
      <c r="B223" s="1" t="n">
        <v>45106</v>
      </c>
      <c r="C223" s="1" t="n">
        <v>45574</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30838-2023</t>
        </is>
      </c>
      <c r="B224" s="1" t="n">
        <v>45112</v>
      </c>
      <c r="C224" s="1" t="n">
        <v>45574</v>
      </c>
      <c r="D224" t="inlineStr">
        <is>
          <t>VÄSTERNORRLANDS LÄN</t>
        </is>
      </c>
      <c r="E224" t="inlineStr">
        <is>
          <t>ÅNGE</t>
        </is>
      </c>
      <c r="F224" t="inlineStr">
        <is>
          <t>SCA</t>
        </is>
      </c>
      <c r="G224" t="n">
        <v>5.6</v>
      </c>
      <c r="H224" t="n">
        <v>0</v>
      </c>
      <c r="I224" t="n">
        <v>0</v>
      </c>
      <c r="J224" t="n">
        <v>1</v>
      </c>
      <c r="K224" t="n">
        <v>0</v>
      </c>
      <c r="L224" t="n">
        <v>0</v>
      </c>
      <c r="M224" t="n">
        <v>0</v>
      </c>
      <c r="N224" t="n">
        <v>0</v>
      </c>
      <c r="O224" t="n">
        <v>1</v>
      </c>
      <c r="P224" t="n">
        <v>0</v>
      </c>
      <c r="Q224" t="n">
        <v>1</v>
      </c>
      <c r="R224" s="2" t="inlineStr">
        <is>
          <t>Kortskaftad ärgspik</t>
        </is>
      </c>
      <c r="S224">
        <f>HYPERLINK("https://klasma.github.io/Logging_2260/artfynd/A 30838-2023 artfynd.xlsx", "A 30838-2023")</f>
        <v/>
      </c>
      <c r="T224">
        <f>HYPERLINK("https://klasma.github.io/Logging_2260/kartor/A 30838-2023 karta.png", "A 30838-2023")</f>
        <v/>
      </c>
      <c r="U224">
        <f>HYPERLINK("https://klasma.github.io/Logging_2260/knärot/A 30838-2023 karta knärot.png", "A 30838-2023")</f>
        <v/>
      </c>
      <c r="V224">
        <f>HYPERLINK("https://klasma.github.io/Logging_2260/klagomål/A 30838-2023 FSC-klagomål.docx", "A 30838-2023")</f>
        <v/>
      </c>
      <c r="W224">
        <f>HYPERLINK("https://klasma.github.io/Logging_2260/klagomålsmail/A 30838-2023 FSC-klagomål mail.docx", "A 30838-2023")</f>
        <v/>
      </c>
      <c r="X224">
        <f>HYPERLINK("https://klasma.github.io/Logging_2260/tillsyn/A 30838-2023 tillsynsbegäran.docx", "A 30838-2023")</f>
        <v/>
      </c>
      <c r="Y224">
        <f>HYPERLINK("https://klasma.github.io/Logging_2260/tillsynsmail/A 30838-2023 tillsynsbegäran mail.docx", "A 30838-2023")</f>
        <v/>
      </c>
    </row>
    <row r="225" ht="15" customHeight="1">
      <c r="A225" t="inlineStr">
        <is>
          <t>A 34489-2023</t>
        </is>
      </c>
      <c r="B225" s="1" t="n">
        <v>45139</v>
      </c>
      <c r="C225" s="1" t="n">
        <v>45574</v>
      </c>
      <c r="D225" t="inlineStr">
        <is>
          <t>VÄSTERNORRLANDS LÄN</t>
        </is>
      </c>
      <c r="E225" t="inlineStr">
        <is>
          <t>ÅNGE</t>
        </is>
      </c>
      <c r="F225" t="inlineStr">
        <is>
          <t>SCA</t>
        </is>
      </c>
      <c r="G225" t="n">
        <v>11.1</v>
      </c>
      <c r="H225" t="n">
        <v>1</v>
      </c>
      <c r="I225" t="n">
        <v>0</v>
      </c>
      <c r="J225" t="n">
        <v>0</v>
      </c>
      <c r="K225" t="n">
        <v>1</v>
      </c>
      <c r="L225" t="n">
        <v>0</v>
      </c>
      <c r="M225" t="n">
        <v>0</v>
      </c>
      <c r="N225" t="n">
        <v>0</v>
      </c>
      <c r="O225" t="n">
        <v>1</v>
      </c>
      <c r="P225" t="n">
        <v>1</v>
      </c>
      <c r="Q225" t="n">
        <v>1</v>
      </c>
      <c r="R225" s="2" t="inlineStr">
        <is>
          <t>Knärot</t>
        </is>
      </c>
      <c r="S225">
        <f>HYPERLINK("https://klasma.github.io/Logging_2260/artfynd/A 34489-2023 artfynd.xlsx", "A 34489-2023")</f>
        <v/>
      </c>
      <c r="T225">
        <f>HYPERLINK("https://klasma.github.io/Logging_2260/kartor/A 34489-2023 karta.png", "A 34489-2023")</f>
        <v/>
      </c>
      <c r="U225">
        <f>HYPERLINK("https://klasma.github.io/Logging_2260/knärot/A 34489-2023 karta knärot.png", "A 34489-2023")</f>
        <v/>
      </c>
      <c r="V225">
        <f>HYPERLINK("https://klasma.github.io/Logging_2260/klagomål/A 34489-2023 FSC-klagomål.docx", "A 34489-2023")</f>
        <v/>
      </c>
      <c r="W225">
        <f>HYPERLINK("https://klasma.github.io/Logging_2260/klagomålsmail/A 34489-2023 FSC-klagomål mail.docx", "A 34489-2023")</f>
        <v/>
      </c>
      <c r="X225">
        <f>HYPERLINK("https://klasma.github.io/Logging_2260/tillsyn/A 34489-2023 tillsynsbegäran.docx", "A 34489-2023")</f>
        <v/>
      </c>
      <c r="Y225">
        <f>HYPERLINK("https://klasma.github.io/Logging_2260/tillsynsmail/A 34489-2023 tillsynsbegäran mail.docx", "A 34489-2023")</f>
        <v/>
      </c>
    </row>
    <row r="226" ht="15" customHeight="1">
      <c r="A226" t="inlineStr">
        <is>
          <t>A 35973-2023</t>
        </is>
      </c>
      <c r="B226" s="1" t="n">
        <v>45148</v>
      </c>
      <c r="C226" s="1" t="n">
        <v>45574</v>
      </c>
      <c r="D226" t="inlineStr">
        <is>
          <t>VÄSTERNORRLANDS LÄN</t>
        </is>
      </c>
      <c r="E226" t="inlineStr">
        <is>
          <t>ÅNGE</t>
        </is>
      </c>
      <c r="F226" t="inlineStr">
        <is>
          <t>SCA</t>
        </is>
      </c>
      <c r="G226" t="n">
        <v>1.3</v>
      </c>
      <c r="H226" t="n">
        <v>1</v>
      </c>
      <c r="I226" t="n">
        <v>1</v>
      </c>
      <c r="J226" t="n">
        <v>0</v>
      </c>
      <c r="K226" t="n">
        <v>0</v>
      </c>
      <c r="L226" t="n">
        <v>0</v>
      </c>
      <c r="M226" t="n">
        <v>0</v>
      </c>
      <c r="N226" t="n">
        <v>0</v>
      </c>
      <c r="O226" t="n">
        <v>0</v>
      </c>
      <c r="P226" t="n">
        <v>0</v>
      </c>
      <c r="Q226" t="n">
        <v>1</v>
      </c>
      <c r="R226" s="2" t="inlineStr">
        <is>
          <t>Korallrot</t>
        </is>
      </c>
      <c r="S226">
        <f>HYPERLINK("https://klasma.github.io/Logging_2260/artfynd/A 35973-2023 artfynd.xlsx", "A 35973-2023")</f>
        <v/>
      </c>
      <c r="T226">
        <f>HYPERLINK("https://klasma.github.io/Logging_2260/kartor/A 35973-2023 karta.png", "A 35973-2023")</f>
        <v/>
      </c>
      <c r="V226">
        <f>HYPERLINK("https://klasma.github.io/Logging_2260/klagomål/A 35973-2023 FSC-klagomål.docx", "A 35973-2023")</f>
        <v/>
      </c>
      <c r="W226">
        <f>HYPERLINK("https://klasma.github.io/Logging_2260/klagomålsmail/A 35973-2023 FSC-klagomål mail.docx", "A 35973-2023")</f>
        <v/>
      </c>
      <c r="X226">
        <f>HYPERLINK("https://klasma.github.io/Logging_2260/tillsyn/A 35973-2023 tillsynsbegäran.docx", "A 35973-2023")</f>
        <v/>
      </c>
      <c r="Y226">
        <f>HYPERLINK("https://klasma.github.io/Logging_2260/tillsynsmail/A 35973-2023 tillsynsbegäran mail.docx", "A 35973-2023")</f>
        <v/>
      </c>
    </row>
    <row r="227" ht="15" customHeight="1">
      <c r="A227" t="inlineStr">
        <is>
          <t>A 36230-2023</t>
        </is>
      </c>
      <c r="B227" s="1" t="n">
        <v>45150</v>
      </c>
      <c r="C227" s="1" t="n">
        <v>45574</v>
      </c>
      <c r="D227" t="inlineStr">
        <is>
          <t>VÄSTERNORRLANDS LÄN</t>
        </is>
      </c>
      <c r="E227" t="inlineStr">
        <is>
          <t>ÅNGE</t>
        </is>
      </c>
      <c r="F227" t="inlineStr">
        <is>
          <t>SCA</t>
        </is>
      </c>
      <c r="G227" t="n">
        <v>6.3</v>
      </c>
      <c r="H227" t="n">
        <v>1</v>
      </c>
      <c r="I227" t="n">
        <v>0</v>
      </c>
      <c r="J227" t="n">
        <v>0</v>
      </c>
      <c r="K227" t="n">
        <v>1</v>
      </c>
      <c r="L227" t="n">
        <v>0</v>
      </c>
      <c r="M227" t="n">
        <v>0</v>
      </c>
      <c r="N227" t="n">
        <v>0</v>
      </c>
      <c r="O227" t="n">
        <v>1</v>
      </c>
      <c r="P227" t="n">
        <v>1</v>
      </c>
      <c r="Q227" t="n">
        <v>1</v>
      </c>
      <c r="R227" s="2" t="inlineStr">
        <is>
          <t>Lappuggla</t>
        </is>
      </c>
      <c r="S227">
        <f>HYPERLINK("https://klasma.github.io/Logging_2260/artfynd/A 36230-2023 artfynd.xlsx", "A 36230-2023")</f>
        <v/>
      </c>
      <c r="T227">
        <f>HYPERLINK("https://klasma.github.io/Logging_2260/kartor/A 36230-2023 karta.png", "A 36230-2023")</f>
        <v/>
      </c>
      <c r="V227">
        <f>HYPERLINK("https://klasma.github.io/Logging_2260/klagomål/A 36230-2023 FSC-klagomål.docx", "A 36230-2023")</f>
        <v/>
      </c>
      <c r="W227">
        <f>HYPERLINK("https://klasma.github.io/Logging_2260/klagomålsmail/A 36230-2023 FSC-klagomål mail.docx", "A 36230-2023")</f>
        <v/>
      </c>
      <c r="X227">
        <f>HYPERLINK("https://klasma.github.io/Logging_2260/tillsyn/A 36230-2023 tillsynsbegäran.docx", "A 36230-2023")</f>
        <v/>
      </c>
      <c r="Y227">
        <f>HYPERLINK("https://klasma.github.io/Logging_2260/tillsynsmail/A 36230-2023 tillsynsbegäran mail.docx", "A 36230-2023")</f>
        <v/>
      </c>
      <c r="Z227">
        <f>HYPERLINK("https://klasma.github.io/Logging_2260/fåglar/A 36230-2023 prioriterade fågelarter.docx", "A 36230-2023")</f>
        <v/>
      </c>
    </row>
    <row r="228" ht="15" customHeight="1">
      <c r="A228" t="inlineStr">
        <is>
          <t>A 38774-2023</t>
        </is>
      </c>
      <c r="B228" s="1" t="n">
        <v>45163</v>
      </c>
      <c r="C228" s="1" t="n">
        <v>45574</v>
      </c>
      <c r="D228" t="inlineStr">
        <is>
          <t>VÄSTERNORRLANDS LÄN</t>
        </is>
      </c>
      <c r="E228" t="inlineStr">
        <is>
          <t>ÅNGE</t>
        </is>
      </c>
      <c r="G228" t="n">
        <v>7</v>
      </c>
      <c r="H228" t="n">
        <v>1</v>
      </c>
      <c r="I228" t="n">
        <v>0</v>
      </c>
      <c r="J228" t="n">
        <v>1</v>
      </c>
      <c r="K228" t="n">
        <v>0</v>
      </c>
      <c r="L228" t="n">
        <v>0</v>
      </c>
      <c r="M228" t="n">
        <v>0</v>
      </c>
      <c r="N228" t="n">
        <v>0</v>
      </c>
      <c r="O228" t="n">
        <v>1</v>
      </c>
      <c r="P228" t="n">
        <v>0</v>
      </c>
      <c r="Q228" t="n">
        <v>1</v>
      </c>
      <c r="R228" s="2" t="inlineStr">
        <is>
          <t>Tretåig hackspett</t>
        </is>
      </c>
      <c r="S228">
        <f>HYPERLINK("https://klasma.github.io/Logging_2260/artfynd/A 38774-2023 artfynd.xlsx", "A 38774-2023")</f>
        <v/>
      </c>
      <c r="T228">
        <f>HYPERLINK("https://klasma.github.io/Logging_2260/kartor/A 38774-2023 karta.png", "A 38774-2023")</f>
        <v/>
      </c>
      <c r="V228">
        <f>HYPERLINK("https://klasma.github.io/Logging_2260/klagomål/A 38774-2023 FSC-klagomål.docx", "A 38774-2023")</f>
        <v/>
      </c>
      <c r="W228">
        <f>HYPERLINK("https://klasma.github.io/Logging_2260/klagomålsmail/A 38774-2023 FSC-klagomål mail.docx", "A 38774-2023")</f>
        <v/>
      </c>
      <c r="X228">
        <f>HYPERLINK("https://klasma.github.io/Logging_2260/tillsyn/A 38774-2023 tillsynsbegäran.docx", "A 38774-2023")</f>
        <v/>
      </c>
      <c r="Y228">
        <f>HYPERLINK("https://klasma.github.io/Logging_2260/tillsynsmail/A 38774-2023 tillsynsbegäran mail.docx", "A 38774-2023")</f>
        <v/>
      </c>
      <c r="Z228">
        <f>HYPERLINK("https://klasma.github.io/Logging_2260/fåglar/A 38774-2023 prioriterade fågelarter.docx", "A 38774-2023")</f>
        <v/>
      </c>
    </row>
    <row r="229" ht="15" customHeight="1">
      <c r="A229" t="inlineStr">
        <is>
          <t>A 39499-2023</t>
        </is>
      </c>
      <c r="B229" s="1" t="n">
        <v>45166</v>
      </c>
      <c r="C229" s="1" t="n">
        <v>45574</v>
      </c>
      <c r="D229" t="inlineStr">
        <is>
          <t>VÄSTERNORRLANDS LÄN</t>
        </is>
      </c>
      <c r="E229" t="inlineStr">
        <is>
          <t>ÅNGE</t>
        </is>
      </c>
      <c r="F229" t="inlineStr">
        <is>
          <t>SCA</t>
        </is>
      </c>
      <c r="G229" t="n">
        <v>9</v>
      </c>
      <c r="H229" t="n">
        <v>1</v>
      </c>
      <c r="I229" t="n">
        <v>0</v>
      </c>
      <c r="J229" t="n">
        <v>1</v>
      </c>
      <c r="K229" t="n">
        <v>0</v>
      </c>
      <c r="L229" t="n">
        <v>0</v>
      </c>
      <c r="M229" t="n">
        <v>0</v>
      </c>
      <c r="N229" t="n">
        <v>0</v>
      </c>
      <c r="O229" t="n">
        <v>1</v>
      </c>
      <c r="P229" t="n">
        <v>0</v>
      </c>
      <c r="Q229" t="n">
        <v>1</v>
      </c>
      <c r="R229" s="2" t="inlineStr">
        <is>
          <t>Rödvingetrast</t>
        </is>
      </c>
      <c r="S229">
        <f>HYPERLINK("https://klasma.github.io/Logging_2260/artfynd/A 39499-2023 artfynd.xlsx", "A 39499-2023")</f>
        <v/>
      </c>
      <c r="T229">
        <f>HYPERLINK("https://klasma.github.io/Logging_2260/kartor/A 39499-2023 karta.png", "A 39499-2023")</f>
        <v/>
      </c>
      <c r="V229">
        <f>HYPERLINK("https://klasma.github.io/Logging_2260/klagomål/A 39499-2023 FSC-klagomål.docx", "A 39499-2023")</f>
        <v/>
      </c>
      <c r="W229">
        <f>HYPERLINK("https://klasma.github.io/Logging_2260/klagomålsmail/A 39499-2023 FSC-klagomål mail.docx", "A 39499-2023")</f>
        <v/>
      </c>
      <c r="X229">
        <f>HYPERLINK("https://klasma.github.io/Logging_2260/tillsyn/A 39499-2023 tillsynsbegäran.docx", "A 39499-2023")</f>
        <v/>
      </c>
      <c r="Y229">
        <f>HYPERLINK("https://klasma.github.io/Logging_2260/tillsynsmail/A 39499-2023 tillsynsbegäran mail.docx", "A 39499-2023")</f>
        <v/>
      </c>
      <c r="Z229">
        <f>HYPERLINK("https://klasma.github.io/Logging_2260/fåglar/A 39499-2023 prioriterade fågelarter.docx", "A 39499-2023")</f>
        <v/>
      </c>
    </row>
    <row r="230" ht="15" customHeight="1">
      <c r="A230" t="inlineStr">
        <is>
          <t>A 40776-2023</t>
        </is>
      </c>
      <c r="B230" s="1" t="n">
        <v>45170</v>
      </c>
      <c r="C230" s="1" t="n">
        <v>45574</v>
      </c>
      <c r="D230" t="inlineStr">
        <is>
          <t>VÄSTERNORRLANDS LÄN</t>
        </is>
      </c>
      <c r="E230" t="inlineStr">
        <is>
          <t>ÅNGE</t>
        </is>
      </c>
      <c r="F230" t="inlineStr">
        <is>
          <t>SCA</t>
        </is>
      </c>
      <c r="G230" t="n">
        <v>3</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40776-2023 artfynd.xlsx", "A 40776-2023")</f>
        <v/>
      </c>
      <c r="T230">
        <f>HYPERLINK("https://klasma.github.io/Logging_2260/kartor/A 40776-2023 karta.png", "A 40776-2023")</f>
        <v/>
      </c>
      <c r="V230">
        <f>HYPERLINK("https://klasma.github.io/Logging_2260/klagomål/A 40776-2023 FSC-klagomål.docx", "A 40776-2023")</f>
        <v/>
      </c>
      <c r="W230">
        <f>HYPERLINK("https://klasma.github.io/Logging_2260/klagomålsmail/A 40776-2023 FSC-klagomål mail.docx", "A 40776-2023")</f>
        <v/>
      </c>
      <c r="X230">
        <f>HYPERLINK("https://klasma.github.io/Logging_2260/tillsyn/A 40776-2023 tillsynsbegäran.docx", "A 40776-2023")</f>
        <v/>
      </c>
      <c r="Y230">
        <f>HYPERLINK("https://klasma.github.io/Logging_2260/tillsynsmail/A 40776-2023 tillsynsbegäran mail.docx", "A 40776-2023")</f>
        <v/>
      </c>
      <c r="Z230">
        <f>HYPERLINK("https://klasma.github.io/Logging_2260/fåglar/A 40776-2023 prioriterade fågelarter.docx", "A 40776-2023")</f>
        <v/>
      </c>
    </row>
    <row r="231" ht="15" customHeight="1">
      <c r="A231" t="inlineStr">
        <is>
          <t>A 45018-2023</t>
        </is>
      </c>
      <c r="B231" s="1" t="n">
        <v>45190</v>
      </c>
      <c r="C231" s="1" t="n">
        <v>45574</v>
      </c>
      <c r="D231" t="inlineStr">
        <is>
          <t>VÄSTERNORRLANDS LÄN</t>
        </is>
      </c>
      <c r="E231" t="inlineStr">
        <is>
          <t>ÅNGE</t>
        </is>
      </c>
      <c r="F231" t="inlineStr">
        <is>
          <t>SCA</t>
        </is>
      </c>
      <c r="G231" t="n">
        <v>4.8</v>
      </c>
      <c r="H231" t="n">
        <v>1</v>
      </c>
      <c r="I231" t="n">
        <v>0</v>
      </c>
      <c r="J231" t="n">
        <v>0</v>
      </c>
      <c r="K231" t="n">
        <v>1</v>
      </c>
      <c r="L231" t="n">
        <v>0</v>
      </c>
      <c r="M231" t="n">
        <v>0</v>
      </c>
      <c r="N231" t="n">
        <v>0</v>
      </c>
      <c r="O231" t="n">
        <v>1</v>
      </c>
      <c r="P231" t="n">
        <v>1</v>
      </c>
      <c r="Q231" t="n">
        <v>1</v>
      </c>
      <c r="R231" s="2" t="inlineStr">
        <is>
          <t>Knärot</t>
        </is>
      </c>
      <c r="S231">
        <f>HYPERLINK("https://klasma.github.io/Logging_2260/artfynd/A 45018-2023 artfynd.xlsx", "A 45018-2023")</f>
        <v/>
      </c>
      <c r="T231">
        <f>HYPERLINK("https://klasma.github.io/Logging_2260/kartor/A 45018-2023 karta.png", "A 45018-2023")</f>
        <v/>
      </c>
      <c r="U231">
        <f>HYPERLINK("https://klasma.github.io/Logging_2260/knärot/A 45018-2023 karta knärot.png", "A 45018-2023")</f>
        <v/>
      </c>
      <c r="V231">
        <f>HYPERLINK("https://klasma.github.io/Logging_2260/klagomål/A 45018-2023 FSC-klagomål.docx", "A 45018-2023")</f>
        <v/>
      </c>
      <c r="W231">
        <f>HYPERLINK("https://klasma.github.io/Logging_2260/klagomålsmail/A 45018-2023 FSC-klagomål mail.docx", "A 45018-2023")</f>
        <v/>
      </c>
      <c r="X231">
        <f>HYPERLINK("https://klasma.github.io/Logging_2260/tillsyn/A 45018-2023 tillsynsbegäran.docx", "A 45018-2023")</f>
        <v/>
      </c>
      <c r="Y231">
        <f>HYPERLINK("https://klasma.github.io/Logging_2260/tillsynsmail/A 45018-2023 tillsynsbegäran mail.docx", "A 45018-2023")</f>
        <v/>
      </c>
    </row>
    <row r="232" ht="15" customHeight="1">
      <c r="A232" t="inlineStr">
        <is>
          <t>A 52424-2023</t>
        </is>
      </c>
      <c r="B232" s="1" t="n">
        <v>45217</v>
      </c>
      <c r="C232" s="1" t="n">
        <v>45574</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54567-2023</t>
        </is>
      </c>
      <c r="B233" s="1" t="n">
        <v>45233</v>
      </c>
      <c r="C233" s="1" t="n">
        <v>45574</v>
      </c>
      <c r="D233" t="inlineStr">
        <is>
          <t>VÄSTERNORRLANDS LÄN</t>
        </is>
      </c>
      <c r="E233" t="inlineStr">
        <is>
          <t>ÅNGE</t>
        </is>
      </c>
      <c r="F233" t="inlineStr">
        <is>
          <t>Sveaskog</t>
        </is>
      </c>
      <c r="G233" t="n">
        <v>1.4</v>
      </c>
      <c r="H233" t="n">
        <v>0</v>
      </c>
      <c r="I233" t="n">
        <v>0</v>
      </c>
      <c r="J233" t="n">
        <v>1</v>
      </c>
      <c r="K233" t="n">
        <v>0</v>
      </c>
      <c r="L233" t="n">
        <v>0</v>
      </c>
      <c r="M233" t="n">
        <v>0</v>
      </c>
      <c r="N233" t="n">
        <v>0</v>
      </c>
      <c r="O233" t="n">
        <v>1</v>
      </c>
      <c r="P233" t="n">
        <v>0</v>
      </c>
      <c r="Q233" t="n">
        <v>1</v>
      </c>
      <c r="R233" s="2" t="inlineStr">
        <is>
          <t>Lunglav</t>
        </is>
      </c>
      <c r="S233">
        <f>HYPERLINK("https://klasma.github.io/Logging_2260/artfynd/A 54567-2023 artfynd.xlsx", "A 54567-2023")</f>
        <v/>
      </c>
      <c r="T233">
        <f>HYPERLINK("https://klasma.github.io/Logging_2260/kartor/A 54567-2023 karta.png", "A 54567-2023")</f>
        <v/>
      </c>
      <c r="V233">
        <f>HYPERLINK("https://klasma.github.io/Logging_2260/klagomål/A 54567-2023 FSC-klagomål.docx", "A 54567-2023")</f>
        <v/>
      </c>
      <c r="W233">
        <f>HYPERLINK("https://klasma.github.io/Logging_2260/klagomålsmail/A 54567-2023 FSC-klagomål mail.docx", "A 54567-2023")</f>
        <v/>
      </c>
      <c r="X233">
        <f>HYPERLINK("https://klasma.github.io/Logging_2260/tillsyn/A 54567-2023 tillsynsbegäran.docx", "A 54567-2023")</f>
        <v/>
      </c>
      <c r="Y233">
        <f>HYPERLINK("https://klasma.github.io/Logging_2260/tillsynsmail/A 54567-2023 tillsynsbegäran mail.docx", "A 54567-2023")</f>
        <v/>
      </c>
    </row>
    <row r="234" ht="15" customHeight="1">
      <c r="A234" t="inlineStr">
        <is>
          <t>A 54676-2023</t>
        </is>
      </c>
      <c r="B234" s="1" t="n">
        <v>45235</v>
      </c>
      <c r="C234" s="1" t="n">
        <v>45574</v>
      </c>
      <c r="D234" t="inlineStr">
        <is>
          <t>VÄSTERNORRLANDS LÄN</t>
        </is>
      </c>
      <c r="E234" t="inlineStr">
        <is>
          <t>ÅNGE</t>
        </is>
      </c>
      <c r="G234" t="n">
        <v>9</v>
      </c>
      <c r="H234" t="n">
        <v>0</v>
      </c>
      <c r="I234" t="n">
        <v>0</v>
      </c>
      <c r="J234" t="n">
        <v>0</v>
      </c>
      <c r="K234" t="n">
        <v>1</v>
      </c>
      <c r="L234" t="n">
        <v>0</v>
      </c>
      <c r="M234" t="n">
        <v>0</v>
      </c>
      <c r="N234" t="n">
        <v>0</v>
      </c>
      <c r="O234" t="n">
        <v>1</v>
      </c>
      <c r="P234" t="n">
        <v>1</v>
      </c>
      <c r="Q234" t="n">
        <v>1</v>
      </c>
      <c r="R234" s="2" t="inlineStr">
        <is>
          <t>Rynkskinn</t>
        </is>
      </c>
      <c r="S234">
        <f>HYPERLINK("https://klasma.github.io/Logging_2260/artfynd/A 54676-2023 artfynd.xlsx", "A 54676-2023")</f>
        <v/>
      </c>
      <c r="T234">
        <f>HYPERLINK("https://klasma.github.io/Logging_2260/kartor/A 54676-2023 karta.png", "A 54676-2023")</f>
        <v/>
      </c>
      <c r="U234">
        <f>HYPERLINK("https://klasma.github.io/Logging_2260/knärot/A 54676-2023 karta knärot.png", "A 54676-2023")</f>
        <v/>
      </c>
      <c r="V234">
        <f>HYPERLINK("https://klasma.github.io/Logging_2260/klagomål/A 54676-2023 FSC-klagomål.docx", "A 54676-2023")</f>
        <v/>
      </c>
      <c r="W234">
        <f>HYPERLINK("https://klasma.github.io/Logging_2260/klagomålsmail/A 54676-2023 FSC-klagomål mail.docx", "A 54676-2023")</f>
        <v/>
      </c>
      <c r="X234">
        <f>HYPERLINK("https://klasma.github.io/Logging_2260/tillsyn/A 54676-2023 tillsynsbegäran.docx", "A 54676-2023")</f>
        <v/>
      </c>
      <c r="Y234">
        <f>HYPERLINK("https://klasma.github.io/Logging_2260/tillsynsmail/A 54676-2023 tillsynsbegäran mail.docx", "A 54676-2023")</f>
        <v/>
      </c>
    </row>
    <row r="235" ht="15" customHeight="1">
      <c r="A235" t="inlineStr">
        <is>
          <t>A 55015-2023</t>
        </is>
      </c>
      <c r="B235" s="1" t="n">
        <v>45237</v>
      </c>
      <c r="C235" s="1" t="n">
        <v>45574</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58775-2023</t>
        </is>
      </c>
      <c r="B236" s="1" t="n">
        <v>45251</v>
      </c>
      <c r="C236" s="1" t="n">
        <v>45574</v>
      </c>
      <c r="D236" t="inlineStr">
        <is>
          <t>VÄSTERNORRLANDS LÄN</t>
        </is>
      </c>
      <c r="E236" t="inlineStr">
        <is>
          <t>ÅNGE</t>
        </is>
      </c>
      <c r="F236" t="inlineStr">
        <is>
          <t>SCA</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58775-2023 artfynd.xlsx", "A 58775-2023")</f>
        <v/>
      </c>
      <c r="T236">
        <f>HYPERLINK("https://klasma.github.io/Logging_2260/kartor/A 58775-2023 karta.png", "A 58775-2023")</f>
        <v/>
      </c>
      <c r="V236">
        <f>HYPERLINK("https://klasma.github.io/Logging_2260/klagomål/A 58775-2023 FSC-klagomål.docx", "A 58775-2023")</f>
        <v/>
      </c>
      <c r="W236">
        <f>HYPERLINK("https://klasma.github.io/Logging_2260/klagomålsmail/A 58775-2023 FSC-klagomål mail.docx", "A 58775-2023")</f>
        <v/>
      </c>
      <c r="X236">
        <f>HYPERLINK("https://klasma.github.io/Logging_2260/tillsyn/A 58775-2023 tillsynsbegäran.docx", "A 58775-2023")</f>
        <v/>
      </c>
      <c r="Y236">
        <f>HYPERLINK("https://klasma.github.io/Logging_2260/tillsynsmail/A 58775-2023 tillsynsbegäran mail.docx", "A 58775-2023")</f>
        <v/>
      </c>
    </row>
    <row r="237" ht="15" customHeight="1">
      <c r="A237" t="inlineStr">
        <is>
          <t>A 2431-2024</t>
        </is>
      </c>
      <c r="B237" s="1" t="n">
        <v>45310</v>
      </c>
      <c r="C237" s="1" t="n">
        <v>45574</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Lunglav</t>
        </is>
      </c>
      <c r="S237">
        <f>HYPERLINK("https://klasma.github.io/Logging_2260/artfynd/A 2431-2024 artfynd.xlsx", "A 2431-2024")</f>
        <v/>
      </c>
      <c r="T237">
        <f>HYPERLINK("https://klasma.github.io/Logging_2260/kartor/A 2431-2024 karta.png", "A 2431-2024")</f>
        <v/>
      </c>
      <c r="V237">
        <f>HYPERLINK("https://klasma.github.io/Logging_2260/klagomål/A 2431-2024 FSC-klagomål.docx", "A 2431-2024")</f>
        <v/>
      </c>
      <c r="W237">
        <f>HYPERLINK("https://klasma.github.io/Logging_2260/klagomålsmail/A 2431-2024 FSC-klagomål mail.docx", "A 2431-2024")</f>
        <v/>
      </c>
      <c r="X237">
        <f>HYPERLINK("https://klasma.github.io/Logging_2260/tillsyn/A 2431-2024 tillsynsbegäran.docx", "A 2431-2024")</f>
        <v/>
      </c>
      <c r="Y237">
        <f>HYPERLINK("https://klasma.github.io/Logging_2260/tillsynsmail/A 2431-2024 tillsynsbegäran mail.docx", "A 2431-2024")</f>
        <v/>
      </c>
    </row>
    <row r="238" ht="15" customHeight="1">
      <c r="A238" t="inlineStr">
        <is>
          <t>A 2429-2024</t>
        </is>
      </c>
      <c r="B238" s="1" t="n">
        <v>45310</v>
      </c>
      <c r="C238" s="1" t="n">
        <v>45574</v>
      </c>
      <c r="D238" t="inlineStr">
        <is>
          <t>VÄSTERNORRLANDS LÄN</t>
        </is>
      </c>
      <c r="E238" t="inlineStr">
        <is>
          <t>ÅNGE</t>
        </is>
      </c>
      <c r="F238" t="inlineStr">
        <is>
          <t>SCA</t>
        </is>
      </c>
      <c r="G238" t="n">
        <v>8.199999999999999</v>
      </c>
      <c r="H238" t="n">
        <v>0</v>
      </c>
      <c r="I238" t="n">
        <v>0</v>
      </c>
      <c r="J238" t="n">
        <v>1</v>
      </c>
      <c r="K238" t="n">
        <v>0</v>
      </c>
      <c r="L238" t="n">
        <v>0</v>
      </c>
      <c r="M238" t="n">
        <v>0</v>
      </c>
      <c r="N238" t="n">
        <v>0</v>
      </c>
      <c r="O238" t="n">
        <v>1</v>
      </c>
      <c r="P238" t="n">
        <v>0</v>
      </c>
      <c r="Q238" t="n">
        <v>1</v>
      </c>
      <c r="R238" s="2" t="inlineStr">
        <is>
          <t>Kolflarnlav</t>
        </is>
      </c>
      <c r="S238">
        <f>HYPERLINK("https://klasma.github.io/Logging_2260/artfynd/A 2429-2024 artfynd.xlsx", "A 2429-2024")</f>
        <v/>
      </c>
      <c r="T238">
        <f>HYPERLINK("https://klasma.github.io/Logging_2260/kartor/A 2429-2024 karta.png", "A 2429-2024")</f>
        <v/>
      </c>
      <c r="V238">
        <f>HYPERLINK("https://klasma.github.io/Logging_2260/klagomål/A 2429-2024 FSC-klagomål.docx", "A 2429-2024")</f>
        <v/>
      </c>
      <c r="W238">
        <f>HYPERLINK("https://klasma.github.io/Logging_2260/klagomålsmail/A 2429-2024 FSC-klagomål mail.docx", "A 2429-2024")</f>
        <v/>
      </c>
      <c r="X238">
        <f>HYPERLINK("https://klasma.github.io/Logging_2260/tillsyn/A 2429-2024 tillsynsbegäran.docx", "A 2429-2024")</f>
        <v/>
      </c>
      <c r="Y238">
        <f>HYPERLINK("https://klasma.github.io/Logging_2260/tillsynsmail/A 2429-2024 tillsynsbegäran mail.docx", "A 2429-2024")</f>
        <v/>
      </c>
    </row>
    <row r="239" ht="15" customHeight="1">
      <c r="A239" t="inlineStr">
        <is>
          <t>A 4351-2024</t>
        </is>
      </c>
      <c r="B239" s="1" t="n">
        <v>45324</v>
      </c>
      <c r="C239" s="1" t="n">
        <v>45574</v>
      </c>
      <c r="D239" t="inlineStr">
        <is>
          <t>VÄSTERNORRLANDS LÄN</t>
        </is>
      </c>
      <c r="E239" t="inlineStr">
        <is>
          <t>ÅNGE</t>
        </is>
      </c>
      <c r="F239" t="inlineStr">
        <is>
          <t>SCA</t>
        </is>
      </c>
      <c r="G239" t="n">
        <v>0.5</v>
      </c>
      <c r="H239" t="n">
        <v>0</v>
      </c>
      <c r="I239" t="n">
        <v>0</v>
      </c>
      <c r="J239" t="n">
        <v>1</v>
      </c>
      <c r="K239" t="n">
        <v>0</v>
      </c>
      <c r="L239" t="n">
        <v>0</v>
      </c>
      <c r="M239" t="n">
        <v>0</v>
      </c>
      <c r="N239" t="n">
        <v>0</v>
      </c>
      <c r="O239" t="n">
        <v>1</v>
      </c>
      <c r="P239" t="n">
        <v>0</v>
      </c>
      <c r="Q239" t="n">
        <v>1</v>
      </c>
      <c r="R239" s="2" t="inlineStr">
        <is>
          <t>Garnlav</t>
        </is>
      </c>
      <c r="S239">
        <f>HYPERLINK("https://klasma.github.io/Logging_2260/artfynd/A 4351-2024 artfynd.xlsx", "A 4351-2024")</f>
        <v/>
      </c>
      <c r="T239">
        <f>HYPERLINK("https://klasma.github.io/Logging_2260/kartor/A 4351-2024 karta.png", "A 4351-2024")</f>
        <v/>
      </c>
      <c r="V239">
        <f>HYPERLINK("https://klasma.github.io/Logging_2260/klagomål/A 4351-2024 FSC-klagomål.docx", "A 4351-2024")</f>
        <v/>
      </c>
      <c r="W239">
        <f>HYPERLINK("https://klasma.github.io/Logging_2260/klagomålsmail/A 4351-2024 FSC-klagomål mail.docx", "A 4351-2024")</f>
        <v/>
      </c>
      <c r="X239">
        <f>HYPERLINK("https://klasma.github.io/Logging_2260/tillsyn/A 4351-2024 tillsynsbegäran.docx", "A 4351-2024")</f>
        <v/>
      </c>
      <c r="Y239">
        <f>HYPERLINK("https://klasma.github.io/Logging_2260/tillsynsmail/A 4351-2024 tillsynsbegäran mail.docx", "A 4351-2024")</f>
        <v/>
      </c>
    </row>
    <row r="240" ht="15" customHeight="1">
      <c r="A240" t="inlineStr">
        <is>
          <t>A 4922-2024</t>
        </is>
      </c>
      <c r="B240" s="1" t="n">
        <v>45329</v>
      </c>
      <c r="C240" s="1" t="n">
        <v>45574</v>
      </c>
      <c r="D240" t="inlineStr">
        <is>
          <t>VÄSTERNORRLANDS LÄN</t>
        </is>
      </c>
      <c r="E240" t="inlineStr">
        <is>
          <t>ÅNGE</t>
        </is>
      </c>
      <c r="G240" t="n">
        <v>3.1</v>
      </c>
      <c r="H240" t="n">
        <v>1</v>
      </c>
      <c r="I240" t="n">
        <v>1</v>
      </c>
      <c r="J240" t="n">
        <v>0</v>
      </c>
      <c r="K240" t="n">
        <v>0</v>
      </c>
      <c r="L240" t="n">
        <v>0</v>
      </c>
      <c r="M240" t="n">
        <v>0</v>
      </c>
      <c r="N240" t="n">
        <v>0</v>
      </c>
      <c r="O240" t="n">
        <v>0</v>
      </c>
      <c r="P240" t="n">
        <v>0</v>
      </c>
      <c r="Q240" t="n">
        <v>1</v>
      </c>
      <c r="R240" s="2" t="inlineStr">
        <is>
          <t>Guckusko</t>
        </is>
      </c>
      <c r="S240">
        <f>HYPERLINK("https://klasma.github.io/Logging_2260/artfynd/A 4922-2024 artfynd.xlsx", "A 4922-2024")</f>
        <v/>
      </c>
      <c r="T240">
        <f>HYPERLINK("https://klasma.github.io/Logging_2260/kartor/A 4922-2024 karta.png", "A 4922-2024")</f>
        <v/>
      </c>
      <c r="V240">
        <f>HYPERLINK("https://klasma.github.io/Logging_2260/klagomål/A 4922-2024 FSC-klagomål.docx", "A 4922-2024")</f>
        <v/>
      </c>
      <c r="W240">
        <f>HYPERLINK("https://klasma.github.io/Logging_2260/klagomålsmail/A 4922-2024 FSC-klagomål mail.docx", "A 4922-2024")</f>
        <v/>
      </c>
      <c r="X240">
        <f>HYPERLINK("https://klasma.github.io/Logging_2260/tillsyn/A 4922-2024 tillsynsbegäran.docx", "A 4922-2024")</f>
        <v/>
      </c>
      <c r="Y240">
        <f>HYPERLINK("https://klasma.github.io/Logging_2260/tillsynsmail/A 4922-2024 tillsynsbegäran mail.docx", "A 4922-2024")</f>
        <v/>
      </c>
    </row>
    <row r="241" ht="15" customHeight="1">
      <c r="A241" t="inlineStr">
        <is>
          <t>A 6285-2024</t>
        </is>
      </c>
      <c r="B241" s="1" t="n">
        <v>45337</v>
      </c>
      <c r="C241" s="1" t="n">
        <v>45574</v>
      </c>
      <c r="D241" t="inlineStr">
        <is>
          <t>VÄSTERNORRLANDS LÄN</t>
        </is>
      </c>
      <c r="E241" t="inlineStr">
        <is>
          <t>ÅNGE</t>
        </is>
      </c>
      <c r="F241" t="inlineStr">
        <is>
          <t>SCA</t>
        </is>
      </c>
      <c r="G241" t="n">
        <v>56.2</v>
      </c>
      <c r="H241" t="n">
        <v>1</v>
      </c>
      <c r="I241" t="n">
        <v>0</v>
      </c>
      <c r="J241" t="n">
        <v>0</v>
      </c>
      <c r="K241" t="n">
        <v>1</v>
      </c>
      <c r="L241" t="n">
        <v>0</v>
      </c>
      <c r="M241" t="n">
        <v>0</v>
      </c>
      <c r="N241" t="n">
        <v>0</v>
      </c>
      <c r="O241" t="n">
        <v>1</v>
      </c>
      <c r="P241" t="n">
        <v>1</v>
      </c>
      <c r="Q241" t="n">
        <v>1</v>
      </c>
      <c r="R241" s="2" t="inlineStr">
        <is>
          <t>Knärot</t>
        </is>
      </c>
      <c r="S241">
        <f>HYPERLINK("https://klasma.github.io/Logging_2260/artfynd/A 6285-2024 artfynd.xlsx", "A 6285-2024")</f>
        <v/>
      </c>
      <c r="T241">
        <f>HYPERLINK("https://klasma.github.io/Logging_2260/kartor/A 6285-2024 karta.png", "A 6285-2024")</f>
        <v/>
      </c>
      <c r="U241">
        <f>HYPERLINK("https://klasma.github.io/Logging_2260/knärot/A 6285-2024 karta knärot.png", "A 6285-2024")</f>
        <v/>
      </c>
      <c r="V241">
        <f>HYPERLINK("https://klasma.github.io/Logging_2260/klagomål/A 6285-2024 FSC-klagomål.docx", "A 6285-2024")</f>
        <v/>
      </c>
      <c r="W241">
        <f>HYPERLINK("https://klasma.github.io/Logging_2260/klagomålsmail/A 6285-2024 FSC-klagomål mail.docx", "A 6285-2024")</f>
        <v/>
      </c>
      <c r="X241">
        <f>HYPERLINK("https://klasma.github.io/Logging_2260/tillsyn/A 6285-2024 tillsynsbegäran.docx", "A 6285-2024")</f>
        <v/>
      </c>
      <c r="Y241">
        <f>HYPERLINK("https://klasma.github.io/Logging_2260/tillsynsmail/A 6285-2024 tillsynsbegäran mail.docx", "A 6285-2024")</f>
        <v/>
      </c>
    </row>
    <row r="242" ht="15" customHeight="1">
      <c r="A242" t="inlineStr">
        <is>
          <t>A 8641-2024</t>
        </is>
      </c>
      <c r="B242" s="1" t="n">
        <v>45356</v>
      </c>
      <c r="C242" s="1" t="n">
        <v>45574</v>
      </c>
      <c r="D242" t="inlineStr">
        <is>
          <t>VÄSTERNORRLANDS LÄN</t>
        </is>
      </c>
      <c r="E242" t="inlineStr">
        <is>
          <t>ÅNGE</t>
        </is>
      </c>
      <c r="F242" t="inlineStr">
        <is>
          <t>SCA</t>
        </is>
      </c>
      <c r="G242" t="n">
        <v>14.8</v>
      </c>
      <c r="H242" t="n">
        <v>0</v>
      </c>
      <c r="I242" t="n">
        <v>0</v>
      </c>
      <c r="J242" t="n">
        <v>1</v>
      </c>
      <c r="K242" t="n">
        <v>0</v>
      </c>
      <c r="L242" t="n">
        <v>0</v>
      </c>
      <c r="M242" t="n">
        <v>0</v>
      </c>
      <c r="N242" t="n">
        <v>0</v>
      </c>
      <c r="O242" t="n">
        <v>1</v>
      </c>
      <c r="P242" t="n">
        <v>0</v>
      </c>
      <c r="Q242" t="n">
        <v>1</v>
      </c>
      <c r="R242" s="2" t="inlineStr">
        <is>
          <t>Dvärgbägarlav</t>
        </is>
      </c>
      <c r="S242">
        <f>HYPERLINK("https://klasma.github.io/Logging_2260/artfynd/A 8641-2024 artfynd.xlsx", "A 8641-2024")</f>
        <v/>
      </c>
      <c r="T242">
        <f>HYPERLINK("https://klasma.github.io/Logging_2260/kartor/A 8641-2024 karta.png", "A 8641-2024")</f>
        <v/>
      </c>
      <c r="V242">
        <f>HYPERLINK("https://klasma.github.io/Logging_2260/klagomål/A 8641-2024 FSC-klagomål.docx", "A 8641-2024")</f>
        <v/>
      </c>
      <c r="W242">
        <f>HYPERLINK("https://klasma.github.io/Logging_2260/klagomålsmail/A 8641-2024 FSC-klagomål mail.docx", "A 8641-2024")</f>
        <v/>
      </c>
      <c r="X242">
        <f>HYPERLINK("https://klasma.github.io/Logging_2260/tillsyn/A 8641-2024 tillsynsbegäran.docx", "A 8641-2024")</f>
        <v/>
      </c>
      <c r="Y242">
        <f>HYPERLINK("https://klasma.github.io/Logging_2260/tillsynsmail/A 8641-2024 tillsynsbegäran mail.docx", "A 8641-2024")</f>
        <v/>
      </c>
    </row>
    <row r="243" ht="15" customHeight="1">
      <c r="A243" t="inlineStr">
        <is>
          <t>A 13934-2024</t>
        </is>
      </c>
      <c r="B243" s="1" t="n">
        <v>45391</v>
      </c>
      <c r="C243" s="1" t="n">
        <v>45574</v>
      </c>
      <c r="D243" t="inlineStr">
        <is>
          <t>VÄSTERNORRLANDS LÄN</t>
        </is>
      </c>
      <c r="E243" t="inlineStr">
        <is>
          <t>ÅNGE</t>
        </is>
      </c>
      <c r="F243" t="inlineStr">
        <is>
          <t>SCA</t>
        </is>
      </c>
      <c r="G243" t="n">
        <v>5.8</v>
      </c>
      <c r="H243" t="n">
        <v>0</v>
      </c>
      <c r="I243" t="n">
        <v>0</v>
      </c>
      <c r="J243" t="n">
        <v>1</v>
      </c>
      <c r="K243" t="n">
        <v>0</v>
      </c>
      <c r="L243" t="n">
        <v>0</v>
      </c>
      <c r="M243" t="n">
        <v>0</v>
      </c>
      <c r="N243" t="n">
        <v>0</v>
      </c>
      <c r="O243" t="n">
        <v>1</v>
      </c>
      <c r="P243" t="n">
        <v>0</v>
      </c>
      <c r="Q243" t="n">
        <v>1</v>
      </c>
      <c r="R243" s="2" t="inlineStr">
        <is>
          <t>Ullticka</t>
        </is>
      </c>
      <c r="S243">
        <f>HYPERLINK("https://klasma.github.io/Logging_2260/artfynd/A 13934-2024 artfynd.xlsx", "A 13934-2024")</f>
        <v/>
      </c>
      <c r="T243">
        <f>HYPERLINK("https://klasma.github.io/Logging_2260/kartor/A 13934-2024 karta.png", "A 13934-2024")</f>
        <v/>
      </c>
      <c r="V243">
        <f>HYPERLINK("https://klasma.github.io/Logging_2260/klagomål/A 13934-2024 FSC-klagomål.docx", "A 13934-2024")</f>
        <v/>
      </c>
      <c r="W243">
        <f>HYPERLINK("https://klasma.github.io/Logging_2260/klagomålsmail/A 13934-2024 FSC-klagomål mail.docx", "A 13934-2024")</f>
        <v/>
      </c>
      <c r="X243">
        <f>HYPERLINK("https://klasma.github.io/Logging_2260/tillsyn/A 13934-2024 tillsynsbegäran.docx", "A 13934-2024")</f>
        <v/>
      </c>
      <c r="Y243">
        <f>HYPERLINK("https://klasma.github.io/Logging_2260/tillsynsmail/A 13934-2024 tillsynsbegäran mail.docx", "A 13934-2024")</f>
        <v/>
      </c>
    </row>
    <row r="244" ht="15" customHeight="1">
      <c r="A244" t="inlineStr">
        <is>
          <t>A 18006-2024</t>
        </is>
      </c>
      <c r="B244" s="1" t="n">
        <v>45419</v>
      </c>
      <c r="C244" s="1" t="n">
        <v>45574</v>
      </c>
      <c r="D244" t="inlineStr">
        <is>
          <t>VÄSTERNORRLANDS LÄN</t>
        </is>
      </c>
      <c r="E244" t="inlineStr">
        <is>
          <t>ÅNGE</t>
        </is>
      </c>
      <c r="F244" t="inlineStr">
        <is>
          <t>SCA</t>
        </is>
      </c>
      <c r="G244" t="n">
        <v>14.7</v>
      </c>
      <c r="H244" t="n">
        <v>0</v>
      </c>
      <c r="I244" t="n">
        <v>0</v>
      </c>
      <c r="J244" t="n">
        <v>1</v>
      </c>
      <c r="K244" t="n">
        <v>0</v>
      </c>
      <c r="L244" t="n">
        <v>0</v>
      </c>
      <c r="M244" t="n">
        <v>0</v>
      </c>
      <c r="N244" t="n">
        <v>0</v>
      </c>
      <c r="O244" t="n">
        <v>1</v>
      </c>
      <c r="P244" t="n">
        <v>0</v>
      </c>
      <c r="Q244" t="n">
        <v>1</v>
      </c>
      <c r="R244" s="2" t="inlineStr">
        <is>
          <t>Skrovlig flatbagge</t>
        </is>
      </c>
      <c r="S244">
        <f>HYPERLINK("https://klasma.github.io/Logging_2260/artfynd/A 18006-2024 artfynd.xlsx", "A 18006-2024")</f>
        <v/>
      </c>
      <c r="T244">
        <f>HYPERLINK("https://klasma.github.io/Logging_2260/kartor/A 18006-2024 karta.png", "A 18006-2024")</f>
        <v/>
      </c>
      <c r="V244">
        <f>HYPERLINK("https://klasma.github.io/Logging_2260/klagomål/A 18006-2024 FSC-klagomål.docx", "A 18006-2024")</f>
        <v/>
      </c>
      <c r="W244">
        <f>HYPERLINK("https://klasma.github.io/Logging_2260/klagomålsmail/A 18006-2024 FSC-klagomål mail.docx", "A 18006-2024")</f>
        <v/>
      </c>
      <c r="X244">
        <f>HYPERLINK("https://klasma.github.io/Logging_2260/tillsyn/A 18006-2024 tillsynsbegäran.docx", "A 18006-2024")</f>
        <v/>
      </c>
      <c r="Y244">
        <f>HYPERLINK("https://klasma.github.io/Logging_2260/tillsynsmail/A 18006-2024 tillsynsbegäran mail.docx", "A 18006-2024")</f>
        <v/>
      </c>
    </row>
    <row r="245" ht="15" customHeight="1">
      <c r="A245" t="inlineStr">
        <is>
          <t>A 18625-2024</t>
        </is>
      </c>
      <c r="B245" s="1" t="n">
        <v>45425</v>
      </c>
      <c r="C245" s="1" t="n">
        <v>45574</v>
      </c>
      <c r="D245" t="inlineStr">
        <is>
          <t>VÄSTERNORRLANDS LÄN</t>
        </is>
      </c>
      <c r="E245" t="inlineStr">
        <is>
          <t>ÅNGE</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HYPERLINK("https://klasma.github.io/Logging_2260/artfynd/A 18625-2024 artfynd.xlsx", "A 18625-2024")</f>
        <v/>
      </c>
      <c r="T245">
        <f>HYPERLINK("https://klasma.github.io/Logging_2260/kartor/A 18625-2024 karta.png", "A 18625-2024")</f>
        <v/>
      </c>
      <c r="V245">
        <f>HYPERLINK("https://klasma.github.io/Logging_2260/klagomål/A 18625-2024 FSC-klagomål.docx", "A 18625-2024")</f>
        <v/>
      </c>
      <c r="W245">
        <f>HYPERLINK("https://klasma.github.io/Logging_2260/klagomålsmail/A 18625-2024 FSC-klagomål mail.docx", "A 18625-2024")</f>
        <v/>
      </c>
      <c r="X245">
        <f>HYPERLINK("https://klasma.github.io/Logging_2260/tillsyn/A 18625-2024 tillsynsbegäran.docx", "A 18625-2024")</f>
        <v/>
      </c>
      <c r="Y245">
        <f>HYPERLINK("https://klasma.github.io/Logging_2260/tillsynsmail/A 18625-2024 tillsynsbegäran mail.docx", "A 18625-2024")</f>
        <v/>
      </c>
    </row>
    <row r="246" ht="15" customHeight="1">
      <c r="A246" t="inlineStr">
        <is>
          <t>A 21090-2024</t>
        </is>
      </c>
      <c r="B246" s="1" t="n">
        <v>45439</v>
      </c>
      <c r="C246" s="1" t="n">
        <v>45574</v>
      </c>
      <c r="D246" t="inlineStr">
        <is>
          <t>VÄSTERNORRLANDS LÄN</t>
        </is>
      </c>
      <c r="E246" t="inlineStr">
        <is>
          <t>ÅNGE</t>
        </is>
      </c>
      <c r="F246" t="inlineStr">
        <is>
          <t>SCA</t>
        </is>
      </c>
      <c r="G246" t="n">
        <v>1.9</v>
      </c>
      <c r="H246" t="n">
        <v>0</v>
      </c>
      <c r="I246" t="n">
        <v>0</v>
      </c>
      <c r="J246" t="n">
        <v>1</v>
      </c>
      <c r="K246" t="n">
        <v>0</v>
      </c>
      <c r="L246" t="n">
        <v>0</v>
      </c>
      <c r="M246" t="n">
        <v>0</v>
      </c>
      <c r="N246" t="n">
        <v>0</v>
      </c>
      <c r="O246" t="n">
        <v>1</v>
      </c>
      <c r="P246" t="n">
        <v>0</v>
      </c>
      <c r="Q246" t="n">
        <v>1</v>
      </c>
      <c r="R246" s="2" t="inlineStr">
        <is>
          <t>Rosenticka</t>
        </is>
      </c>
      <c r="S246">
        <f>HYPERLINK("https://klasma.github.io/Logging_2260/artfynd/A 21090-2024 artfynd.xlsx", "A 21090-2024")</f>
        <v/>
      </c>
      <c r="T246">
        <f>HYPERLINK("https://klasma.github.io/Logging_2260/kartor/A 21090-2024 karta.png", "A 21090-2024")</f>
        <v/>
      </c>
      <c r="V246">
        <f>HYPERLINK("https://klasma.github.io/Logging_2260/klagomål/A 21090-2024 FSC-klagomål.docx", "A 21090-2024")</f>
        <v/>
      </c>
      <c r="W246">
        <f>HYPERLINK("https://klasma.github.io/Logging_2260/klagomålsmail/A 21090-2024 FSC-klagomål mail.docx", "A 21090-2024")</f>
        <v/>
      </c>
      <c r="X246">
        <f>HYPERLINK("https://klasma.github.io/Logging_2260/tillsyn/A 21090-2024 tillsynsbegäran.docx", "A 21090-2024")</f>
        <v/>
      </c>
      <c r="Y246">
        <f>HYPERLINK("https://klasma.github.io/Logging_2260/tillsynsmail/A 21090-2024 tillsynsbegäran mail.docx", "A 21090-2024")</f>
        <v/>
      </c>
    </row>
    <row r="247" ht="15" customHeight="1">
      <c r="A247" t="inlineStr">
        <is>
          <t>A 20914-2024</t>
        </is>
      </c>
      <c r="B247" s="1" t="n">
        <v>45439</v>
      </c>
      <c r="C247" s="1" t="n">
        <v>45574</v>
      </c>
      <c r="D247" t="inlineStr">
        <is>
          <t>VÄSTERNORRLANDS LÄN</t>
        </is>
      </c>
      <c r="E247" t="inlineStr">
        <is>
          <t>ÅNGE</t>
        </is>
      </c>
      <c r="F247" t="inlineStr">
        <is>
          <t>Sveaskog</t>
        </is>
      </c>
      <c r="G247" t="n">
        <v>4.6</v>
      </c>
      <c r="H247" t="n">
        <v>0</v>
      </c>
      <c r="I247" t="n">
        <v>0</v>
      </c>
      <c r="J247" t="n">
        <v>1</v>
      </c>
      <c r="K247" t="n">
        <v>0</v>
      </c>
      <c r="L247" t="n">
        <v>0</v>
      </c>
      <c r="M247" t="n">
        <v>0</v>
      </c>
      <c r="N247" t="n">
        <v>0</v>
      </c>
      <c r="O247" t="n">
        <v>1</v>
      </c>
      <c r="P247" t="n">
        <v>0</v>
      </c>
      <c r="Q247" t="n">
        <v>1</v>
      </c>
      <c r="R247" s="2" t="inlineStr">
        <is>
          <t>Garnlav</t>
        </is>
      </c>
      <c r="S247">
        <f>HYPERLINK("https://klasma.github.io/Logging_2260/artfynd/A 20914-2024 artfynd.xlsx", "A 20914-2024")</f>
        <v/>
      </c>
      <c r="T247">
        <f>HYPERLINK("https://klasma.github.io/Logging_2260/kartor/A 20914-2024 karta.png", "A 20914-2024")</f>
        <v/>
      </c>
      <c r="V247">
        <f>HYPERLINK("https://klasma.github.io/Logging_2260/klagomål/A 20914-2024 FSC-klagomål.docx", "A 20914-2024")</f>
        <v/>
      </c>
      <c r="W247">
        <f>HYPERLINK("https://klasma.github.io/Logging_2260/klagomålsmail/A 20914-2024 FSC-klagomål mail.docx", "A 20914-2024")</f>
        <v/>
      </c>
      <c r="X247">
        <f>HYPERLINK("https://klasma.github.io/Logging_2260/tillsyn/A 20914-2024 tillsynsbegäran.docx", "A 20914-2024")</f>
        <v/>
      </c>
      <c r="Y247">
        <f>HYPERLINK("https://klasma.github.io/Logging_2260/tillsynsmail/A 20914-2024 tillsynsbegäran mail.docx", "A 20914-2024")</f>
        <v/>
      </c>
    </row>
    <row r="248" ht="15" customHeight="1">
      <c r="A248" t="inlineStr">
        <is>
          <t>A 24799-2024</t>
        </is>
      </c>
      <c r="B248" s="1" t="n">
        <v>45460</v>
      </c>
      <c r="C248" s="1" t="n">
        <v>45574</v>
      </c>
      <c r="D248" t="inlineStr">
        <is>
          <t>VÄSTERNORRLANDS LÄN</t>
        </is>
      </c>
      <c r="E248" t="inlineStr">
        <is>
          <t>ÅNGE</t>
        </is>
      </c>
      <c r="F248" t="inlineStr">
        <is>
          <t>SCA</t>
        </is>
      </c>
      <c r="G248" t="n">
        <v>2.8</v>
      </c>
      <c r="H248" t="n">
        <v>1</v>
      </c>
      <c r="I248" t="n">
        <v>0</v>
      </c>
      <c r="J248" t="n">
        <v>0</v>
      </c>
      <c r="K248" t="n">
        <v>1</v>
      </c>
      <c r="L248" t="n">
        <v>0</v>
      </c>
      <c r="M248" t="n">
        <v>0</v>
      </c>
      <c r="N248" t="n">
        <v>0</v>
      </c>
      <c r="O248" t="n">
        <v>1</v>
      </c>
      <c r="P248" t="n">
        <v>1</v>
      </c>
      <c r="Q248" t="n">
        <v>1</v>
      </c>
      <c r="R248" s="2" t="inlineStr">
        <is>
          <t>Doftticka</t>
        </is>
      </c>
      <c r="S248">
        <f>HYPERLINK("https://klasma.github.io/Logging_2260/artfynd/A 24799-2024 artfynd.xlsx", "A 24799-2024")</f>
        <v/>
      </c>
      <c r="T248">
        <f>HYPERLINK("https://klasma.github.io/Logging_2260/kartor/A 24799-2024 karta.png", "A 24799-2024")</f>
        <v/>
      </c>
      <c r="V248">
        <f>HYPERLINK("https://klasma.github.io/Logging_2260/klagomål/A 24799-2024 FSC-klagomål.docx", "A 24799-2024")</f>
        <v/>
      </c>
      <c r="W248">
        <f>HYPERLINK("https://klasma.github.io/Logging_2260/klagomålsmail/A 24799-2024 FSC-klagomål mail.docx", "A 24799-2024")</f>
        <v/>
      </c>
      <c r="X248">
        <f>HYPERLINK("https://klasma.github.io/Logging_2260/tillsyn/A 24799-2024 tillsynsbegäran.docx", "A 24799-2024")</f>
        <v/>
      </c>
      <c r="Y248">
        <f>HYPERLINK("https://klasma.github.io/Logging_2260/tillsynsmail/A 24799-2024 tillsynsbegäran mail.docx", "A 24799-2024")</f>
        <v/>
      </c>
    </row>
    <row r="249" ht="15" customHeight="1">
      <c r="A249" t="inlineStr">
        <is>
          <t>A 25705-2024</t>
        </is>
      </c>
      <c r="B249" s="1" t="n">
        <v>45464</v>
      </c>
      <c r="C249" s="1" t="n">
        <v>45574</v>
      </c>
      <c r="D249" t="inlineStr">
        <is>
          <t>VÄSTERNORRLANDS LÄN</t>
        </is>
      </c>
      <c r="E249" t="inlineStr">
        <is>
          <t>ÅNGE</t>
        </is>
      </c>
      <c r="F249" t="inlineStr">
        <is>
          <t>SCA</t>
        </is>
      </c>
      <c r="G249" t="n">
        <v>10.6</v>
      </c>
      <c r="H249" t="n">
        <v>1</v>
      </c>
      <c r="I249" t="n">
        <v>1</v>
      </c>
      <c r="J249" t="n">
        <v>0</v>
      </c>
      <c r="K249" t="n">
        <v>0</v>
      </c>
      <c r="L249" t="n">
        <v>0</v>
      </c>
      <c r="M249" t="n">
        <v>0</v>
      </c>
      <c r="N249" t="n">
        <v>0</v>
      </c>
      <c r="O249" t="n">
        <v>0</v>
      </c>
      <c r="P249" t="n">
        <v>0</v>
      </c>
      <c r="Q249" t="n">
        <v>1</v>
      </c>
      <c r="R249" s="2" t="inlineStr">
        <is>
          <t>Korallrot</t>
        </is>
      </c>
      <c r="S249">
        <f>HYPERLINK("https://klasma.github.io/Logging_2260/artfynd/A 25705-2024 artfynd.xlsx", "A 25705-2024")</f>
        <v/>
      </c>
      <c r="T249">
        <f>HYPERLINK("https://klasma.github.io/Logging_2260/kartor/A 25705-2024 karta.png", "A 25705-2024")</f>
        <v/>
      </c>
      <c r="V249">
        <f>HYPERLINK("https://klasma.github.io/Logging_2260/klagomål/A 25705-2024 FSC-klagomål.docx", "A 25705-2024")</f>
        <v/>
      </c>
      <c r="W249">
        <f>HYPERLINK("https://klasma.github.io/Logging_2260/klagomålsmail/A 25705-2024 FSC-klagomål mail.docx", "A 25705-2024")</f>
        <v/>
      </c>
      <c r="X249">
        <f>HYPERLINK("https://klasma.github.io/Logging_2260/tillsyn/A 25705-2024 tillsynsbegäran.docx", "A 25705-2024")</f>
        <v/>
      </c>
      <c r="Y249">
        <f>HYPERLINK("https://klasma.github.io/Logging_2260/tillsynsmail/A 25705-2024 tillsynsbegäran mail.docx", "A 25705-2024")</f>
        <v/>
      </c>
    </row>
    <row r="250" ht="15" customHeight="1">
      <c r="A250" t="inlineStr">
        <is>
          <t>A 27308-2024</t>
        </is>
      </c>
      <c r="B250" s="1" t="n">
        <v>45471</v>
      </c>
      <c r="C250" s="1" t="n">
        <v>45574</v>
      </c>
      <c r="D250" t="inlineStr">
        <is>
          <t>VÄSTERNORRLANDS LÄN</t>
        </is>
      </c>
      <c r="E250" t="inlineStr">
        <is>
          <t>ÅNGE</t>
        </is>
      </c>
      <c r="F250" t="inlineStr">
        <is>
          <t>SCA</t>
        </is>
      </c>
      <c r="G250" t="n">
        <v>15.9</v>
      </c>
      <c r="H250" t="n">
        <v>0</v>
      </c>
      <c r="I250" t="n">
        <v>0</v>
      </c>
      <c r="J250" t="n">
        <v>1</v>
      </c>
      <c r="K250" t="n">
        <v>0</v>
      </c>
      <c r="L250" t="n">
        <v>0</v>
      </c>
      <c r="M250" t="n">
        <v>0</v>
      </c>
      <c r="N250" t="n">
        <v>0</v>
      </c>
      <c r="O250" t="n">
        <v>1</v>
      </c>
      <c r="P250" t="n">
        <v>0</v>
      </c>
      <c r="Q250" t="n">
        <v>1</v>
      </c>
      <c r="R250" s="2" t="inlineStr">
        <is>
          <t>Lunglav</t>
        </is>
      </c>
      <c r="S250">
        <f>HYPERLINK("https://klasma.github.io/Logging_2260/artfynd/A 27308-2024 artfynd.xlsx", "A 27308-2024")</f>
        <v/>
      </c>
      <c r="T250">
        <f>HYPERLINK("https://klasma.github.io/Logging_2260/kartor/A 27308-2024 karta.png", "A 27308-2024")</f>
        <v/>
      </c>
      <c r="V250">
        <f>HYPERLINK("https://klasma.github.io/Logging_2260/klagomål/A 27308-2024 FSC-klagomål.docx", "A 27308-2024")</f>
        <v/>
      </c>
      <c r="W250">
        <f>HYPERLINK("https://klasma.github.io/Logging_2260/klagomålsmail/A 27308-2024 FSC-klagomål mail.docx", "A 27308-2024")</f>
        <v/>
      </c>
      <c r="X250">
        <f>HYPERLINK("https://klasma.github.io/Logging_2260/tillsyn/A 27308-2024 tillsynsbegäran.docx", "A 27308-2024")</f>
        <v/>
      </c>
      <c r="Y250">
        <f>HYPERLINK("https://klasma.github.io/Logging_2260/tillsynsmail/A 27308-2024 tillsynsbegäran mail.docx", "A 27308-2024")</f>
        <v/>
      </c>
    </row>
    <row r="251" ht="15" customHeight="1">
      <c r="A251" t="inlineStr">
        <is>
          <t>A 30482-2024</t>
        </is>
      </c>
      <c r="B251" s="1" t="n">
        <v>45492</v>
      </c>
      <c r="C251" s="1" t="n">
        <v>45574</v>
      </c>
      <c r="D251" t="inlineStr">
        <is>
          <t>VÄSTERNORRLANDS LÄN</t>
        </is>
      </c>
      <c r="E251" t="inlineStr">
        <is>
          <t>ÅNGE</t>
        </is>
      </c>
      <c r="F251" t="inlineStr">
        <is>
          <t>SCA</t>
        </is>
      </c>
      <c r="G251" t="n">
        <v>4.3</v>
      </c>
      <c r="H251" t="n">
        <v>1</v>
      </c>
      <c r="I251" t="n">
        <v>1</v>
      </c>
      <c r="J251" t="n">
        <v>0</v>
      </c>
      <c r="K251" t="n">
        <v>0</v>
      </c>
      <c r="L251" t="n">
        <v>0</v>
      </c>
      <c r="M251" t="n">
        <v>0</v>
      </c>
      <c r="N251" t="n">
        <v>0</v>
      </c>
      <c r="O251" t="n">
        <v>0</v>
      </c>
      <c r="P251" t="n">
        <v>0</v>
      </c>
      <c r="Q251" t="n">
        <v>1</v>
      </c>
      <c r="R251" s="2" t="inlineStr">
        <is>
          <t>Plattlummer</t>
        </is>
      </c>
      <c r="S251">
        <f>HYPERLINK("https://klasma.github.io/Logging_2260/artfynd/A 30482-2024 artfynd.xlsx", "A 30482-2024")</f>
        <v/>
      </c>
      <c r="T251">
        <f>HYPERLINK("https://klasma.github.io/Logging_2260/kartor/A 30482-2024 karta.png", "A 30482-2024")</f>
        <v/>
      </c>
      <c r="U251">
        <f>HYPERLINK("https://klasma.github.io/Logging_2260/knärot/A 30482-2024 karta knärot.png", "A 30482-2024")</f>
        <v/>
      </c>
      <c r="V251">
        <f>HYPERLINK("https://klasma.github.io/Logging_2260/klagomål/A 30482-2024 FSC-klagomål.docx", "A 30482-2024")</f>
        <v/>
      </c>
      <c r="W251">
        <f>HYPERLINK("https://klasma.github.io/Logging_2260/klagomålsmail/A 30482-2024 FSC-klagomål mail.docx", "A 30482-2024")</f>
        <v/>
      </c>
      <c r="X251">
        <f>HYPERLINK("https://klasma.github.io/Logging_2260/tillsyn/A 30482-2024 tillsynsbegäran.docx", "A 30482-2024")</f>
        <v/>
      </c>
      <c r="Y251">
        <f>HYPERLINK("https://klasma.github.io/Logging_2260/tillsynsmail/A 30482-2024 tillsynsbegäran mail.docx", "A 30482-2024")</f>
        <v/>
      </c>
    </row>
    <row r="252" ht="15" customHeight="1">
      <c r="A252" t="inlineStr">
        <is>
          <t>A 31544-2024</t>
        </is>
      </c>
      <c r="B252" s="1" t="n">
        <v>45505</v>
      </c>
      <c r="C252" s="1" t="n">
        <v>45574</v>
      </c>
      <c r="D252" t="inlineStr">
        <is>
          <t>VÄSTERNORRLANDS LÄN</t>
        </is>
      </c>
      <c r="E252" t="inlineStr">
        <is>
          <t>ÅNGE</t>
        </is>
      </c>
      <c r="F252" t="inlineStr">
        <is>
          <t>SCA</t>
        </is>
      </c>
      <c r="G252" t="n">
        <v>3.5</v>
      </c>
      <c r="H252" t="n">
        <v>0</v>
      </c>
      <c r="I252" t="n">
        <v>0</v>
      </c>
      <c r="J252" t="n">
        <v>1</v>
      </c>
      <c r="K252" t="n">
        <v>0</v>
      </c>
      <c r="L252" t="n">
        <v>0</v>
      </c>
      <c r="M252" t="n">
        <v>0</v>
      </c>
      <c r="N252" t="n">
        <v>0</v>
      </c>
      <c r="O252" t="n">
        <v>1</v>
      </c>
      <c r="P252" t="n">
        <v>0</v>
      </c>
      <c r="Q252" t="n">
        <v>1</v>
      </c>
      <c r="R252" s="2" t="inlineStr">
        <is>
          <t>Granticka</t>
        </is>
      </c>
      <c r="S252">
        <f>HYPERLINK("https://klasma.github.io/Logging_2260/artfynd/A 31544-2024 artfynd.xlsx", "A 31544-2024")</f>
        <v/>
      </c>
      <c r="T252">
        <f>HYPERLINK("https://klasma.github.io/Logging_2260/kartor/A 31544-2024 karta.png", "A 31544-2024")</f>
        <v/>
      </c>
      <c r="V252">
        <f>HYPERLINK("https://klasma.github.io/Logging_2260/klagomål/A 31544-2024 FSC-klagomål.docx", "A 31544-2024")</f>
        <v/>
      </c>
      <c r="W252">
        <f>HYPERLINK("https://klasma.github.io/Logging_2260/klagomålsmail/A 31544-2024 FSC-klagomål mail.docx", "A 31544-2024")</f>
        <v/>
      </c>
      <c r="X252">
        <f>HYPERLINK("https://klasma.github.io/Logging_2260/tillsyn/A 31544-2024 tillsynsbegäran.docx", "A 31544-2024")</f>
        <v/>
      </c>
      <c r="Y252">
        <f>HYPERLINK("https://klasma.github.io/Logging_2260/tillsynsmail/A 31544-2024 tillsynsbegäran mail.docx", "A 31544-2024")</f>
        <v/>
      </c>
    </row>
    <row r="253" ht="15" customHeight="1">
      <c r="A253" t="inlineStr">
        <is>
          <t>A 31510-2024</t>
        </is>
      </c>
      <c r="B253" s="1" t="n">
        <v>45505</v>
      </c>
      <c r="C253" s="1" t="n">
        <v>45574</v>
      </c>
      <c r="D253" t="inlineStr">
        <is>
          <t>VÄSTERNORRLANDS LÄN</t>
        </is>
      </c>
      <c r="E253" t="inlineStr">
        <is>
          <t>ÅNGE</t>
        </is>
      </c>
      <c r="F253" t="inlineStr">
        <is>
          <t>SCA</t>
        </is>
      </c>
      <c r="G253" t="n">
        <v>6</v>
      </c>
      <c r="H253" t="n">
        <v>1</v>
      </c>
      <c r="I253" t="n">
        <v>0</v>
      </c>
      <c r="J253" t="n">
        <v>0</v>
      </c>
      <c r="K253" t="n">
        <v>1</v>
      </c>
      <c r="L253" t="n">
        <v>0</v>
      </c>
      <c r="M253" t="n">
        <v>0</v>
      </c>
      <c r="N253" t="n">
        <v>0</v>
      </c>
      <c r="O253" t="n">
        <v>1</v>
      </c>
      <c r="P253" t="n">
        <v>1</v>
      </c>
      <c r="Q253" t="n">
        <v>1</v>
      </c>
      <c r="R253" s="2" t="inlineStr">
        <is>
          <t>Doftticka</t>
        </is>
      </c>
      <c r="S253">
        <f>HYPERLINK("https://klasma.github.io/Logging_2260/artfynd/A 31510-2024 artfynd.xlsx", "A 31510-2024")</f>
        <v/>
      </c>
      <c r="T253">
        <f>HYPERLINK("https://klasma.github.io/Logging_2260/kartor/A 31510-2024 karta.png", "A 31510-2024")</f>
        <v/>
      </c>
      <c r="V253">
        <f>HYPERLINK("https://klasma.github.io/Logging_2260/klagomål/A 31510-2024 FSC-klagomål.docx", "A 31510-2024")</f>
        <v/>
      </c>
      <c r="W253">
        <f>HYPERLINK("https://klasma.github.io/Logging_2260/klagomålsmail/A 31510-2024 FSC-klagomål mail.docx", "A 31510-2024")</f>
        <v/>
      </c>
      <c r="X253">
        <f>HYPERLINK("https://klasma.github.io/Logging_2260/tillsyn/A 31510-2024 tillsynsbegäran.docx", "A 31510-2024")</f>
        <v/>
      </c>
      <c r="Y253">
        <f>HYPERLINK("https://klasma.github.io/Logging_2260/tillsynsmail/A 31510-2024 tillsynsbegäran mail.docx", "A 31510-2024")</f>
        <v/>
      </c>
    </row>
    <row r="254" ht="15" customHeight="1">
      <c r="A254" t="inlineStr">
        <is>
          <t>A 31878-2024</t>
        </is>
      </c>
      <c r="B254" s="1" t="n">
        <v>45509</v>
      </c>
      <c r="C254" s="1" t="n">
        <v>45574</v>
      </c>
      <c r="D254" t="inlineStr">
        <is>
          <t>VÄSTERNORRLANDS LÄN</t>
        </is>
      </c>
      <c r="E254" t="inlineStr">
        <is>
          <t>ÅNGE</t>
        </is>
      </c>
      <c r="F254" t="inlineStr">
        <is>
          <t>SCA</t>
        </is>
      </c>
      <c r="G254" t="n">
        <v>5.1</v>
      </c>
      <c r="H254" t="n">
        <v>0</v>
      </c>
      <c r="I254" t="n">
        <v>1</v>
      </c>
      <c r="J254" t="n">
        <v>0</v>
      </c>
      <c r="K254" t="n">
        <v>0</v>
      </c>
      <c r="L254" t="n">
        <v>0</v>
      </c>
      <c r="M254" t="n">
        <v>0</v>
      </c>
      <c r="N254" t="n">
        <v>0</v>
      </c>
      <c r="O254" t="n">
        <v>0</v>
      </c>
      <c r="P254" t="n">
        <v>0</v>
      </c>
      <c r="Q254" t="n">
        <v>1</v>
      </c>
      <c r="R254" s="2" t="inlineStr">
        <is>
          <t>Grönpyrola</t>
        </is>
      </c>
      <c r="S254">
        <f>HYPERLINK("https://klasma.github.io/Logging_2260/artfynd/A 31878-2024 artfynd.xlsx", "A 31878-2024")</f>
        <v/>
      </c>
      <c r="T254">
        <f>HYPERLINK("https://klasma.github.io/Logging_2260/kartor/A 31878-2024 karta.png", "A 31878-2024")</f>
        <v/>
      </c>
      <c r="V254">
        <f>HYPERLINK("https://klasma.github.io/Logging_2260/klagomål/A 31878-2024 FSC-klagomål.docx", "A 31878-2024")</f>
        <v/>
      </c>
      <c r="W254">
        <f>HYPERLINK("https://klasma.github.io/Logging_2260/klagomålsmail/A 31878-2024 FSC-klagomål mail.docx", "A 31878-2024")</f>
        <v/>
      </c>
      <c r="X254">
        <f>HYPERLINK("https://klasma.github.io/Logging_2260/tillsyn/A 31878-2024 tillsynsbegäran.docx", "A 31878-2024")</f>
        <v/>
      </c>
      <c r="Y254">
        <f>HYPERLINK("https://klasma.github.io/Logging_2260/tillsynsmail/A 31878-2024 tillsynsbegäran mail.docx", "A 31878-2024")</f>
        <v/>
      </c>
    </row>
    <row r="255" ht="15" customHeight="1">
      <c r="A255" t="inlineStr">
        <is>
          <t>A 31877-2024</t>
        </is>
      </c>
      <c r="B255" s="1" t="n">
        <v>45509</v>
      </c>
      <c r="C255" s="1" t="n">
        <v>45574</v>
      </c>
      <c r="D255" t="inlineStr">
        <is>
          <t>VÄSTERNORRLANDS LÄN</t>
        </is>
      </c>
      <c r="E255" t="inlineStr">
        <is>
          <t>ÅNGE</t>
        </is>
      </c>
      <c r="F255" t="inlineStr">
        <is>
          <t>SCA</t>
        </is>
      </c>
      <c r="G255" t="n">
        <v>8</v>
      </c>
      <c r="H255" t="n">
        <v>1</v>
      </c>
      <c r="I255" t="n">
        <v>0</v>
      </c>
      <c r="J255" t="n">
        <v>0</v>
      </c>
      <c r="K255" t="n">
        <v>1</v>
      </c>
      <c r="L255" t="n">
        <v>0</v>
      </c>
      <c r="M255" t="n">
        <v>0</v>
      </c>
      <c r="N255" t="n">
        <v>0</v>
      </c>
      <c r="O255" t="n">
        <v>1</v>
      </c>
      <c r="P255" t="n">
        <v>1</v>
      </c>
      <c r="Q255" t="n">
        <v>1</v>
      </c>
      <c r="R255" s="2" t="inlineStr">
        <is>
          <t>Knärot</t>
        </is>
      </c>
      <c r="S255">
        <f>HYPERLINK("https://klasma.github.io/Logging_2260/artfynd/A 31877-2024 artfynd.xlsx", "A 31877-2024")</f>
        <v/>
      </c>
      <c r="T255">
        <f>HYPERLINK("https://klasma.github.io/Logging_2260/kartor/A 31877-2024 karta.png", "A 31877-2024")</f>
        <v/>
      </c>
      <c r="U255">
        <f>HYPERLINK("https://klasma.github.io/Logging_2260/knärot/A 31877-2024 karta knärot.png", "A 31877-2024")</f>
        <v/>
      </c>
      <c r="V255">
        <f>HYPERLINK("https://klasma.github.io/Logging_2260/klagomål/A 31877-2024 FSC-klagomål.docx", "A 31877-2024")</f>
        <v/>
      </c>
      <c r="W255">
        <f>HYPERLINK("https://klasma.github.io/Logging_2260/klagomålsmail/A 31877-2024 FSC-klagomål mail.docx", "A 31877-2024")</f>
        <v/>
      </c>
      <c r="X255">
        <f>HYPERLINK("https://klasma.github.io/Logging_2260/tillsyn/A 31877-2024 tillsynsbegäran.docx", "A 31877-2024")</f>
        <v/>
      </c>
      <c r="Y255">
        <f>HYPERLINK("https://klasma.github.io/Logging_2260/tillsynsmail/A 31877-2024 tillsynsbegäran mail.docx", "A 31877-2024")</f>
        <v/>
      </c>
    </row>
    <row r="256" ht="15" customHeight="1">
      <c r="A256" t="inlineStr">
        <is>
          <t>A 32457-2024</t>
        </is>
      </c>
      <c r="B256" s="1" t="n">
        <v>45512</v>
      </c>
      <c r="C256" s="1" t="n">
        <v>45574</v>
      </c>
      <c r="D256" t="inlineStr">
        <is>
          <t>VÄSTERNORRLANDS LÄN</t>
        </is>
      </c>
      <c r="E256" t="inlineStr">
        <is>
          <t>ÅNGE</t>
        </is>
      </c>
      <c r="F256" t="inlineStr">
        <is>
          <t>SCA</t>
        </is>
      </c>
      <c r="G256" t="n">
        <v>1.3</v>
      </c>
      <c r="H256" t="n">
        <v>0</v>
      </c>
      <c r="I256" t="n">
        <v>0</v>
      </c>
      <c r="J256" t="n">
        <v>1</v>
      </c>
      <c r="K256" t="n">
        <v>0</v>
      </c>
      <c r="L256" t="n">
        <v>0</v>
      </c>
      <c r="M256" t="n">
        <v>0</v>
      </c>
      <c r="N256" t="n">
        <v>0</v>
      </c>
      <c r="O256" t="n">
        <v>1</v>
      </c>
      <c r="P256" t="n">
        <v>0</v>
      </c>
      <c r="Q256" t="n">
        <v>1</v>
      </c>
      <c r="R256" s="2" t="inlineStr">
        <is>
          <t>Ullticka</t>
        </is>
      </c>
      <c r="S256">
        <f>HYPERLINK("https://klasma.github.io/Logging_2260/artfynd/A 32457-2024 artfynd.xlsx", "A 32457-2024")</f>
        <v/>
      </c>
      <c r="T256">
        <f>HYPERLINK("https://klasma.github.io/Logging_2260/kartor/A 32457-2024 karta.png", "A 32457-2024")</f>
        <v/>
      </c>
      <c r="V256">
        <f>HYPERLINK("https://klasma.github.io/Logging_2260/klagomål/A 32457-2024 FSC-klagomål.docx", "A 32457-2024")</f>
        <v/>
      </c>
      <c r="W256">
        <f>HYPERLINK("https://klasma.github.io/Logging_2260/klagomålsmail/A 32457-2024 FSC-klagomål mail.docx", "A 32457-2024")</f>
        <v/>
      </c>
      <c r="X256">
        <f>HYPERLINK("https://klasma.github.io/Logging_2260/tillsyn/A 32457-2024 tillsynsbegäran.docx", "A 32457-2024")</f>
        <v/>
      </c>
      <c r="Y256">
        <f>HYPERLINK("https://klasma.github.io/Logging_2260/tillsynsmail/A 32457-2024 tillsynsbegäran mail.docx", "A 32457-2024")</f>
        <v/>
      </c>
    </row>
    <row r="257" ht="15" customHeight="1">
      <c r="A257" t="inlineStr">
        <is>
          <t>A 33309-2024</t>
        </is>
      </c>
      <c r="B257" s="1" t="n">
        <v>45518</v>
      </c>
      <c r="C257" s="1" t="n">
        <v>45574</v>
      </c>
      <c r="D257" t="inlineStr">
        <is>
          <t>VÄSTERNORRLANDS LÄN</t>
        </is>
      </c>
      <c r="E257" t="inlineStr">
        <is>
          <t>ÅNGE</t>
        </is>
      </c>
      <c r="F257" t="inlineStr">
        <is>
          <t>SCA</t>
        </is>
      </c>
      <c r="G257" t="n">
        <v>12.8</v>
      </c>
      <c r="H257" t="n">
        <v>1</v>
      </c>
      <c r="I257" t="n">
        <v>0</v>
      </c>
      <c r="J257" t="n">
        <v>0</v>
      </c>
      <c r="K257" t="n">
        <v>1</v>
      </c>
      <c r="L257" t="n">
        <v>0</v>
      </c>
      <c r="M257" t="n">
        <v>0</v>
      </c>
      <c r="N257" t="n">
        <v>0</v>
      </c>
      <c r="O257" t="n">
        <v>1</v>
      </c>
      <c r="P257" t="n">
        <v>1</v>
      </c>
      <c r="Q257" t="n">
        <v>1</v>
      </c>
      <c r="R257" s="2" t="inlineStr">
        <is>
          <t>Knärot</t>
        </is>
      </c>
      <c r="S257">
        <f>HYPERLINK("https://klasma.github.io/Logging_2260/artfynd/A 33309-2024 artfynd.xlsx", "A 33309-2024")</f>
        <v/>
      </c>
      <c r="T257">
        <f>HYPERLINK("https://klasma.github.io/Logging_2260/kartor/A 33309-2024 karta.png", "A 33309-2024")</f>
        <v/>
      </c>
      <c r="U257">
        <f>HYPERLINK("https://klasma.github.io/Logging_2260/knärot/A 33309-2024 karta knärot.png", "A 33309-2024")</f>
        <v/>
      </c>
      <c r="V257">
        <f>HYPERLINK("https://klasma.github.io/Logging_2260/klagomål/A 33309-2024 FSC-klagomål.docx", "A 33309-2024")</f>
        <v/>
      </c>
      <c r="W257">
        <f>HYPERLINK("https://klasma.github.io/Logging_2260/klagomålsmail/A 33309-2024 FSC-klagomål mail.docx", "A 33309-2024")</f>
        <v/>
      </c>
      <c r="X257">
        <f>HYPERLINK("https://klasma.github.io/Logging_2260/tillsyn/A 33309-2024 tillsynsbegäran.docx", "A 33309-2024")</f>
        <v/>
      </c>
      <c r="Y257">
        <f>HYPERLINK("https://klasma.github.io/Logging_2260/tillsynsmail/A 33309-2024 tillsynsbegäran mail.docx", "A 33309-2024")</f>
        <v/>
      </c>
    </row>
    <row r="258" ht="15" customHeight="1">
      <c r="A258" t="inlineStr">
        <is>
          <t>A 34696-2024</t>
        </is>
      </c>
      <c r="B258" s="1" t="n">
        <v>45526</v>
      </c>
      <c r="C258" s="1" t="n">
        <v>45574</v>
      </c>
      <c r="D258" t="inlineStr">
        <is>
          <t>VÄSTERNORRLANDS LÄN</t>
        </is>
      </c>
      <c r="E258" t="inlineStr">
        <is>
          <t>ÅNGE</t>
        </is>
      </c>
      <c r="G258" t="n">
        <v>3.6</v>
      </c>
      <c r="H258" t="n">
        <v>1</v>
      </c>
      <c r="I258" t="n">
        <v>0</v>
      </c>
      <c r="J258" t="n">
        <v>0</v>
      </c>
      <c r="K258" t="n">
        <v>0</v>
      </c>
      <c r="L258" t="n">
        <v>0</v>
      </c>
      <c r="M258" t="n">
        <v>0</v>
      </c>
      <c r="N258" t="n">
        <v>0</v>
      </c>
      <c r="O258" t="n">
        <v>0</v>
      </c>
      <c r="P258" t="n">
        <v>0</v>
      </c>
      <c r="Q258" t="n">
        <v>1</v>
      </c>
      <c r="R258" s="2" t="inlineStr">
        <is>
          <t>Revlummer</t>
        </is>
      </c>
      <c r="S258">
        <f>HYPERLINK("https://klasma.github.io/Logging_2260/artfynd/A 34696-2024 artfynd.xlsx", "A 34696-2024")</f>
        <v/>
      </c>
      <c r="T258">
        <f>HYPERLINK("https://klasma.github.io/Logging_2260/kartor/A 34696-2024 karta.png", "A 34696-2024")</f>
        <v/>
      </c>
      <c r="V258">
        <f>HYPERLINK("https://klasma.github.io/Logging_2260/klagomål/A 34696-2024 FSC-klagomål.docx", "A 34696-2024")</f>
        <v/>
      </c>
      <c r="W258">
        <f>HYPERLINK("https://klasma.github.io/Logging_2260/klagomålsmail/A 34696-2024 FSC-klagomål mail.docx", "A 34696-2024")</f>
        <v/>
      </c>
      <c r="X258">
        <f>HYPERLINK("https://klasma.github.io/Logging_2260/tillsyn/A 34696-2024 tillsynsbegäran.docx", "A 34696-2024")</f>
        <v/>
      </c>
      <c r="Y258">
        <f>HYPERLINK("https://klasma.github.io/Logging_2260/tillsynsmail/A 34696-2024 tillsynsbegäran mail.docx", "A 34696-2024")</f>
        <v/>
      </c>
    </row>
    <row r="259" ht="15" customHeight="1">
      <c r="A259" t="inlineStr">
        <is>
          <t>A 35594-2024</t>
        </is>
      </c>
      <c r="B259" s="1" t="n">
        <v>45531</v>
      </c>
      <c r="C259" s="1" t="n">
        <v>45574</v>
      </c>
      <c r="D259" t="inlineStr">
        <is>
          <t>VÄSTERNORRLANDS LÄN</t>
        </is>
      </c>
      <c r="E259" t="inlineStr">
        <is>
          <t>ÅNGE</t>
        </is>
      </c>
      <c r="F259" t="inlineStr">
        <is>
          <t>SCA</t>
        </is>
      </c>
      <c r="G259" t="n">
        <v>8.4</v>
      </c>
      <c r="H259" t="n">
        <v>1</v>
      </c>
      <c r="I259" t="n">
        <v>0</v>
      </c>
      <c r="J259" t="n">
        <v>0</v>
      </c>
      <c r="K259" t="n">
        <v>1</v>
      </c>
      <c r="L259" t="n">
        <v>0</v>
      </c>
      <c r="M259" t="n">
        <v>0</v>
      </c>
      <c r="N259" t="n">
        <v>0</v>
      </c>
      <c r="O259" t="n">
        <v>1</v>
      </c>
      <c r="P259" t="n">
        <v>1</v>
      </c>
      <c r="Q259" t="n">
        <v>1</v>
      </c>
      <c r="R259" s="2" t="inlineStr">
        <is>
          <t>Knärot</t>
        </is>
      </c>
      <c r="S259">
        <f>HYPERLINK("https://klasma.github.io/Logging_2260/artfynd/A 35594-2024 artfynd.xlsx", "A 35594-2024")</f>
        <v/>
      </c>
      <c r="T259">
        <f>HYPERLINK("https://klasma.github.io/Logging_2260/kartor/A 35594-2024 karta.png", "A 35594-2024")</f>
        <v/>
      </c>
      <c r="U259">
        <f>HYPERLINK("https://klasma.github.io/Logging_2260/knärot/A 35594-2024 karta knärot.png", "A 35594-2024")</f>
        <v/>
      </c>
      <c r="V259">
        <f>HYPERLINK("https://klasma.github.io/Logging_2260/klagomål/A 35594-2024 FSC-klagomål.docx", "A 35594-2024")</f>
        <v/>
      </c>
      <c r="W259">
        <f>HYPERLINK("https://klasma.github.io/Logging_2260/klagomålsmail/A 35594-2024 FSC-klagomål mail.docx", "A 35594-2024")</f>
        <v/>
      </c>
      <c r="X259">
        <f>HYPERLINK("https://klasma.github.io/Logging_2260/tillsyn/A 35594-2024 tillsynsbegäran.docx", "A 35594-2024")</f>
        <v/>
      </c>
      <c r="Y259">
        <f>HYPERLINK("https://klasma.github.io/Logging_2260/tillsynsmail/A 35594-2024 tillsynsbegäran mail.docx", "A 35594-2024")</f>
        <v/>
      </c>
    </row>
    <row r="260" ht="15" customHeight="1">
      <c r="A260" t="inlineStr">
        <is>
          <t>A 36116-2024</t>
        </is>
      </c>
      <c r="B260" s="1" t="n">
        <v>45534</v>
      </c>
      <c r="C260" s="1" t="n">
        <v>45574</v>
      </c>
      <c r="D260" t="inlineStr">
        <is>
          <t>VÄSTERNORRLANDS LÄN</t>
        </is>
      </c>
      <c r="E260" t="inlineStr">
        <is>
          <t>ÅNGE</t>
        </is>
      </c>
      <c r="F260" t="inlineStr">
        <is>
          <t>Sveaskog</t>
        </is>
      </c>
      <c r="G260" t="n">
        <v>5.2</v>
      </c>
      <c r="H260" t="n">
        <v>0</v>
      </c>
      <c r="I260" t="n">
        <v>1</v>
      </c>
      <c r="J260" t="n">
        <v>0</v>
      </c>
      <c r="K260" t="n">
        <v>0</v>
      </c>
      <c r="L260" t="n">
        <v>0</v>
      </c>
      <c r="M260" t="n">
        <v>0</v>
      </c>
      <c r="N260" t="n">
        <v>0</v>
      </c>
      <c r="O260" t="n">
        <v>0</v>
      </c>
      <c r="P260" t="n">
        <v>0</v>
      </c>
      <c r="Q260" t="n">
        <v>1</v>
      </c>
      <c r="R260" s="2" t="inlineStr">
        <is>
          <t>Dropptaggsvamp</t>
        </is>
      </c>
      <c r="S260">
        <f>HYPERLINK("https://klasma.github.io/Logging_2260/artfynd/A 36116-2024 artfynd.xlsx", "A 36116-2024")</f>
        <v/>
      </c>
      <c r="T260">
        <f>HYPERLINK("https://klasma.github.io/Logging_2260/kartor/A 36116-2024 karta.png", "A 36116-2024")</f>
        <v/>
      </c>
      <c r="V260">
        <f>HYPERLINK("https://klasma.github.io/Logging_2260/klagomål/A 36116-2024 FSC-klagomål.docx", "A 36116-2024")</f>
        <v/>
      </c>
      <c r="W260">
        <f>HYPERLINK("https://klasma.github.io/Logging_2260/klagomålsmail/A 36116-2024 FSC-klagomål mail.docx", "A 36116-2024")</f>
        <v/>
      </c>
      <c r="X260">
        <f>HYPERLINK("https://klasma.github.io/Logging_2260/tillsyn/A 36116-2024 tillsynsbegäran.docx", "A 36116-2024")</f>
        <v/>
      </c>
      <c r="Y260">
        <f>HYPERLINK("https://klasma.github.io/Logging_2260/tillsynsmail/A 36116-2024 tillsynsbegäran mail.docx", "A 36116-2024")</f>
        <v/>
      </c>
    </row>
    <row r="261" ht="15" customHeight="1">
      <c r="A261" t="inlineStr">
        <is>
          <t>A 37914-2024</t>
        </is>
      </c>
      <c r="B261" s="1" t="n">
        <v>45544</v>
      </c>
      <c r="C261" s="1" t="n">
        <v>45574</v>
      </c>
      <c r="D261" t="inlineStr">
        <is>
          <t>VÄSTERNORRLANDS LÄN</t>
        </is>
      </c>
      <c r="E261" t="inlineStr">
        <is>
          <t>ÅNGE</t>
        </is>
      </c>
      <c r="F261" t="inlineStr">
        <is>
          <t>SCA</t>
        </is>
      </c>
      <c r="G261" t="n">
        <v>9</v>
      </c>
      <c r="H261" t="n">
        <v>0</v>
      </c>
      <c r="I261" t="n">
        <v>0</v>
      </c>
      <c r="J261" t="n">
        <v>1</v>
      </c>
      <c r="K261" t="n">
        <v>0</v>
      </c>
      <c r="L261" t="n">
        <v>0</v>
      </c>
      <c r="M261" t="n">
        <v>0</v>
      </c>
      <c r="N261" t="n">
        <v>0</v>
      </c>
      <c r="O261" t="n">
        <v>1</v>
      </c>
      <c r="P261" t="n">
        <v>0</v>
      </c>
      <c r="Q261" t="n">
        <v>1</v>
      </c>
      <c r="R261" s="2" t="inlineStr">
        <is>
          <t>Granticka</t>
        </is>
      </c>
      <c r="S261">
        <f>HYPERLINK("https://klasma.github.io/Logging_2260/artfynd/A 37914-2024 artfynd.xlsx", "A 37914-2024")</f>
        <v/>
      </c>
      <c r="T261">
        <f>HYPERLINK("https://klasma.github.io/Logging_2260/kartor/A 37914-2024 karta.png", "A 37914-2024")</f>
        <v/>
      </c>
      <c r="V261">
        <f>HYPERLINK("https://klasma.github.io/Logging_2260/klagomål/A 37914-2024 FSC-klagomål.docx", "A 37914-2024")</f>
        <v/>
      </c>
      <c r="W261">
        <f>HYPERLINK("https://klasma.github.io/Logging_2260/klagomålsmail/A 37914-2024 FSC-klagomål mail.docx", "A 37914-2024")</f>
        <v/>
      </c>
      <c r="X261">
        <f>HYPERLINK("https://klasma.github.io/Logging_2260/tillsyn/A 37914-2024 tillsynsbegäran.docx", "A 37914-2024")</f>
        <v/>
      </c>
      <c r="Y261">
        <f>HYPERLINK("https://klasma.github.io/Logging_2260/tillsynsmail/A 37914-2024 tillsynsbegäran mail.docx", "A 37914-2024")</f>
        <v/>
      </c>
    </row>
    <row r="262" ht="15" customHeight="1">
      <c r="A262" t="inlineStr">
        <is>
          <t>A 38603-2024</t>
        </is>
      </c>
      <c r="B262" s="1" t="n">
        <v>45546</v>
      </c>
      <c r="C262" s="1" t="n">
        <v>45574</v>
      </c>
      <c r="D262" t="inlineStr">
        <is>
          <t>VÄSTERNORRLANDS LÄN</t>
        </is>
      </c>
      <c r="E262" t="inlineStr">
        <is>
          <t>ÅNGE</t>
        </is>
      </c>
      <c r="F262" t="inlineStr">
        <is>
          <t>SCA</t>
        </is>
      </c>
      <c r="G262" t="n">
        <v>5.6</v>
      </c>
      <c r="H262" t="n">
        <v>0</v>
      </c>
      <c r="I262" t="n">
        <v>0</v>
      </c>
      <c r="J262" t="n">
        <v>0</v>
      </c>
      <c r="K262" t="n">
        <v>1</v>
      </c>
      <c r="L262" t="n">
        <v>0</v>
      </c>
      <c r="M262" t="n">
        <v>0</v>
      </c>
      <c r="N262" t="n">
        <v>0</v>
      </c>
      <c r="O262" t="n">
        <v>1</v>
      </c>
      <c r="P262" t="n">
        <v>1</v>
      </c>
      <c r="Q262" t="n">
        <v>1</v>
      </c>
      <c r="R262" s="2" t="inlineStr">
        <is>
          <t>Rynkskinn</t>
        </is>
      </c>
      <c r="S262">
        <f>HYPERLINK("https://klasma.github.io/Logging_2260/artfynd/A 38603-2024 artfynd.xlsx", "A 38603-2024")</f>
        <v/>
      </c>
      <c r="T262">
        <f>HYPERLINK("https://klasma.github.io/Logging_2260/kartor/A 38603-2024 karta.png", "A 38603-2024")</f>
        <v/>
      </c>
      <c r="V262">
        <f>HYPERLINK("https://klasma.github.io/Logging_2260/klagomål/A 38603-2024 FSC-klagomål.docx", "A 38603-2024")</f>
        <v/>
      </c>
      <c r="W262">
        <f>HYPERLINK("https://klasma.github.io/Logging_2260/klagomålsmail/A 38603-2024 FSC-klagomål mail.docx", "A 38603-2024")</f>
        <v/>
      </c>
      <c r="X262">
        <f>HYPERLINK("https://klasma.github.io/Logging_2260/tillsyn/A 38603-2024 tillsynsbegäran.docx", "A 38603-2024")</f>
        <v/>
      </c>
      <c r="Y262">
        <f>HYPERLINK("https://klasma.github.io/Logging_2260/tillsynsmail/A 38603-2024 tillsynsbegäran mail.docx", "A 38603-2024")</f>
        <v/>
      </c>
    </row>
    <row r="263" ht="15" customHeight="1">
      <c r="A263" t="inlineStr">
        <is>
          <t>A 38606-2024</t>
        </is>
      </c>
      <c r="B263" s="1" t="n">
        <v>45546</v>
      </c>
      <c r="C263" s="1" t="n">
        <v>45574</v>
      </c>
      <c r="D263" t="inlineStr">
        <is>
          <t>VÄSTERNORRLANDS LÄN</t>
        </is>
      </c>
      <c r="E263" t="inlineStr">
        <is>
          <t>ÅNGE</t>
        </is>
      </c>
      <c r="F263" t="inlineStr">
        <is>
          <t>SCA</t>
        </is>
      </c>
      <c r="G263" t="n">
        <v>2.4</v>
      </c>
      <c r="H263" t="n">
        <v>0</v>
      </c>
      <c r="I263" t="n">
        <v>0</v>
      </c>
      <c r="J263" t="n">
        <v>1</v>
      </c>
      <c r="K263" t="n">
        <v>0</v>
      </c>
      <c r="L263" t="n">
        <v>0</v>
      </c>
      <c r="M263" t="n">
        <v>0</v>
      </c>
      <c r="N263" t="n">
        <v>0</v>
      </c>
      <c r="O263" t="n">
        <v>1</v>
      </c>
      <c r="P263" t="n">
        <v>0</v>
      </c>
      <c r="Q263" t="n">
        <v>1</v>
      </c>
      <c r="R263" s="2" t="inlineStr">
        <is>
          <t>Ullticka</t>
        </is>
      </c>
      <c r="S263">
        <f>HYPERLINK("https://klasma.github.io/Logging_2260/artfynd/A 38606-2024 artfynd.xlsx", "A 38606-2024")</f>
        <v/>
      </c>
      <c r="T263">
        <f>HYPERLINK("https://klasma.github.io/Logging_2260/kartor/A 38606-2024 karta.png", "A 38606-2024")</f>
        <v/>
      </c>
      <c r="V263">
        <f>HYPERLINK("https://klasma.github.io/Logging_2260/klagomål/A 38606-2024 FSC-klagomål.docx", "A 38606-2024")</f>
        <v/>
      </c>
      <c r="W263">
        <f>HYPERLINK("https://klasma.github.io/Logging_2260/klagomålsmail/A 38606-2024 FSC-klagomål mail.docx", "A 38606-2024")</f>
        <v/>
      </c>
      <c r="X263">
        <f>HYPERLINK("https://klasma.github.io/Logging_2260/tillsyn/A 38606-2024 tillsynsbegäran.docx", "A 38606-2024")</f>
        <v/>
      </c>
      <c r="Y263">
        <f>HYPERLINK("https://klasma.github.io/Logging_2260/tillsynsmail/A 38606-2024 tillsynsbegäran mail.docx", "A 38606-2024")</f>
        <v/>
      </c>
    </row>
    <row r="264" ht="15" customHeight="1">
      <c r="A264" t="inlineStr">
        <is>
          <t>A 39180-2024</t>
        </is>
      </c>
      <c r="B264" s="1" t="n">
        <v>45548</v>
      </c>
      <c r="C264" s="1" t="n">
        <v>45574</v>
      </c>
      <c r="D264" t="inlineStr">
        <is>
          <t>VÄSTERNORRLANDS LÄN</t>
        </is>
      </c>
      <c r="E264" t="inlineStr">
        <is>
          <t>ÅNGE</t>
        </is>
      </c>
      <c r="F264" t="inlineStr">
        <is>
          <t>SCA</t>
        </is>
      </c>
      <c r="G264" t="n">
        <v>8.699999999999999</v>
      </c>
      <c r="H264" t="n">
        <v>0</v>
      </c>
      <c r="I264" t="n">
        <v>0</v>
      </c>
      <c r="J264" t="n">
        <v>1</v>
      </c>
      <c r="K264" t="n">
        <v>0</v>
      </c>
      <c r="L264" t="n">
        <v>0</v>
      </c>
      <c r="M264" t="n">
        <v>0</v>
      </c>
      <c r="N264" t="n">
        <v>0</v>
      </c>
      <c r="O264" t="n">
        <v>1</v>
      </c>
      <c r="P264" t="n">
        <v>0</v>
      </c>
      <c r="Q264" t="n">
        <v>1</v>
      </c>
      <c r="R264" s="2" t="inlineStr">
        <is>
          <t>Lunglav</t>
        </is>
      </c>
      <c r="S264">
        <f>HYPERLINK("https://klasma.github.io/Logging_2260/artfynd/A 39180-2024 artfynd.xlsx", "A 39180-2024")</f>
        <v/>
      </c>
      <c r="T264">
        <f>HYPERLINK("https://klasma.github.io/Logging_2260/kartor/A 39180-2024 karta.png", "A 39180-2024")</f>
        <v/>
      </c>
      <c r="V264">
        <f>HYPERLINK("https://klasma.github.io/Logging_2260/klagomål/A 39180-2024 FSC-klagomål.docx", "A 39180-2024")</f>
        <v/>
      </c>
      <c r="W264">
        <f>HYPERLINK("https://klasma.github.io/Logging_2260/klagomålsmail/A 39180-2024 FSC-klagomål mail.docx", "A 39180-2024")</f>
        <v/>
      </c>
      <c r="X264">
        <f>HYPERLINK("https://klasma.github.io/Logging_2260/tillsyn/A 39180-2024 tillsynsbegäran.docx", "A 39180-2024")</f>
        <v/>
      </c>
      <c r="Y264">
        <f>HYPERLINK("https://klasma.github.io/Logging_2260/tillsynsmail/A 39180-2024 tillsynsbegäran mail.docx", "A 39180-2024")</f>
        <v/>
      </c>
    </row>
    <row r="265" ht="15" customHeight="1">
      <c r="A265" t="inlineStr">
        <is>
          <t>A 39688-2024</t>
        </is>
      </c>
      <c r="B265" s="1" t="n">
        <v>45552</v>
      </c>
      <c r="C265" s="1" t="n">
        <v>45574</v>
      </c>
      <c r="D265" t="inlineStr">
        <is>
          <t>VÄSTERNORRLANDS LÄN</t>
        </is>
      </c>
      <c r="E265" t="inlineStr">
        <is>
          <t>ÅNGE</t>
        </is>
      </c>
      <c r="G265" t="n">
        <v>5.7</v>
      </c>
      <c r="H265" t="n">
        <v>1</v>
      </c>
      <c r="I265" t="n">
        <v>0</v>
      </c>
      <c r="J265" t="n">
        <v>0</v>
      </c>
      <c r="K265" t="n">
        <v>0</v>
      </c>
      <c r="L265" t="n">
        <v>0</v>
      </c>
      <c r="M265" t="n">
        <v>0</v>
      </c>
      <c r="N265" t="n">
        <v>0</v>
      </c>
      <c r="O265" t="n">
        <v>0</v>
      </c>
      <c r="P265" t="n">
        <v>0</v>
      </c>
      <c r="Q265" t="n">
        <v>1</v>
      </c>
      <c r="R265" s="2" t="inlineStr">
        <is>
          <t>Revlummer</t>
        </is>
      </c>
      <c r="S265">
        <f>HYPERLINK("https://klasma.github.io/Logging_2260/artfynd/A 39688-2024 artfynd.xlsx", "A 39688-2024")</f>
        <v/>
      </c>
      <c r="T265">
        <f>HYPERLINK("https://klasma.github.io/Logging_2260/kartor/A 39688-2024 karta.png", "A 39688-2024")</f>
        <v/>
      </c>
      <c r="V265">
        <f>HYPERLINK("https://klasma.github.io/Logging_2260/klagomål/A 39688-2024 FSC-klagomål.docx", "A 39688-2024")</f>
        <v/>
      </c>
      <c r="W265">
        <f>HYPERLINK("https://klasma.github.io/Logging_2260/klagomålsmail/A 39688-2024 FSC-klagomål mail.docx", "A 39688-2024")</f>
        <v/>
      </c>
      <c r="X265">
        <f>HYPERLINK("https://klasma.github.io/Logging_2260/tillsyn/A 39688-2024 tillsynsbegäran.docx", "A 39688-2024")</f>
        <v/>
      </c>
      <c r="Y265">
        <f>HYPERLINK("https://klasma.github.io/Logging_2260/tillsynsmail/A 39688-2024 tillsynsbegäran mail.docx", "A 39688-2024")</f>
        <v/>
      </c>
    </row>
    <row r="266" ht="15" customHeight="1">
      <c r="A266" t="inlineStr">
        <is>
          <t>A 39638-2024</t>
        </is>
      </c>
      <c r="B266" s="1" t="n">
        <v>45552</v>
      </c>
      <c r="C266" s="1" t="n">
        <v>45574</v>
      </c>
      <c r="D266" t="inlineStr">
        <is>
          <t>VÄSTERNORRLANDS LÄN</t>
        </is>
      </c>
      <c r="E266" t="inlineStr">
        <is>
          <t>ÅNGE</t>
        </is>
      </c>
      <c r="G266" t="n">
        <v>3</v>
      </c>
      <c r="H266" t="n">
        <v>1</v>
      </c>
      <c r="I266" t="n">
        <v>0</v>
      </c>
      <c r="J266" t="n">
        <v>0</v>
      </c>
      <c r="K266" t="n">
        <v>0</v>
      </c>
      <c r="L266" t="n">
        <v>0</v>
      </c>
      <c r="M266" t="n">
        <v>0</v>
      </c>
      <c r="N266" t="n">
        <v>0</v>
      </c>
      <c r="O266" t="n">
        <v>0</v>
      </c>
      <c r="P266" t="n">
        <v>0</v>
      </c>
      <c r="Q266" t="n">
        <v>1</v>
      </c>
      <c r="R266" s="2" t="inlineStr">
        <is>
          <t>Tjäder</t>
        </is>
      </c>
      <c r="S266">
        <f>HYPERLINK("https://klasma.github.io/Logging_2260/artfynd/A 39638-2024 artfynd.xlsx", "A 39638-2024")</f>
        <v/>
      </c>
      <c r="T266">
        <f>HYPERLINK("https://klasma.github.io/Logging_2260/kartor/A 39638-2024 karta.png", "A 39638-2024")</f>
        <v/>
      </c>
      <c r="V266">
        <f>HYPERLINK("https://klasma.github.io/Logging_2260/klagomål/A 39638-2024 FSC-klagomål.docx", "A 39638-2024")</f>
        <v/>
      </c>
      <c r="W266">
        <f>HYPERLINK("https://klasma.github.io/Logging_2260/klagomålsmail/A 39638-2024 FSC-klagomål mail.docx", "A 39638-2024")</f>
        <v/>
      </c>
      <c r="X266">
        <f>HYPERLINK("https://klasma.github.io/Logging_2260/tillsyn/A 39638-2024 tillsynsbegäran.docx", "A 39638-2024")</f>
        <v/>
      </c>
      <c r="Y266">
        <f>HYPERLINK("https://klasma.github.io/Logging_2260/tillsynsmail/A 39638-2024 tillsynsbegäran mail.docx", "A 39638-2024")</f>
        <v/>
      </c>
      <c r="Z266">
        <f>HYPERLINK("https://klasma.github.io/Logging_2260/fåglar/A 39638-2024 prioriterade fågelarter.docx", "A 39638-2024")</f>
        <v/>
      </c>
    </row>
    <row r="267" ht="15" customHeight="1">
      <c r="A267" t="inlineStr">
        <is>
          <t>A 40110-2024</t>
        </is>
      </c>
      <c r="B267" s="1" t="n">
        <v>45554</v>
      </c>
      <c r="C267" s="1" t="n">
        <v>45574</v>
      </c>
      <c r="D267" t="inlineStr">
        <is>
          <t>VÄSTERNORRLANDS LÄN</t>
        </is>
      </c>
      <c r="E267" t="inlineStr">
        <is>
          <t>ÅNGE</t>
        </is>
      </c>
      <c r="G267" t="n">
        <v>11.8</v>
      </c>
      <c r="H267" t="n">
        <v>0</v>
      </c>
      <c r="I267" t="n">
        <v>0</v>
      </c>
      <c r="J267" t="n">
        <v>1</v>
      </c>
      <c r="K267" t="n">
        <v>0</v>
      </c>
      <c r="L267" t="n">
        <v>0</v>
      </c>
      <c r="M267" t="n">
        <v>0</v>
      </c>
      <c r="N267" t="n">
        <v>0</v>
      </c>
      <c r="O267" t="n">
        <v>1</v>
      </c>
      <c r="P267" t="n">
        <v>0</v>
      </c>
      <c r="Q267" t="n">
        <v>1</v>
      </c>
      <c r="R267" s="2" t="inlineStr">
        <is>
          <t>Lunglav</t>
        </is>
      </c>
      <c r="S267">
        <f>HYPERLINK("https://klasma.github.io/Logging_2260/artfynd/A 40110-2024 artfynd.xlsx", "A 40110-2024")</f>
        <v/>
      </c>
      <c r="T267">
        <f>HYPERLINK("https://klasma.github.io/Logging_2260/kartor/A 40110-2024 karta.png", "A 40110-2024")</f>
        <v/>
      </c>
      <c r="V267">
        <f>HYPERLINK("https://klasma.github.io/Logging_2260/klagomål/A 40110-2024 FSC-klagomål.docx", "A 40110-2024")</f>
        <v/>
      </c>
      <c r="W267">
        <f>HYPERLINK("https://klasma.github.io/Logging_2260/klagomålsmail/A 40110-2024 FSC-klagomål mail.docx", "A 40110-2024")</f>
        <v/>
      </c>
      <c r="X267">
        <f>HYPERLINK("https://klasma.github.io/Logging_2260/tillsyn/A 40110-2024 tillsynsbegäran.docx", "A 40110-2024")</f>
        <v/>
      </c>
      <c r="Y267">
        <f>HYPERLINK("https://klasma.github.io/Logging_2260/tillsynsmail/A 40110-2024 tillsynsbegäran mail.docx", "A 40110-2024")</f>
        <v/>
      </c>
    </row>
    <row r="268" ht="15" customHeight="1">
      <c r="A268" t="inlineStr">
        <is>
          <t>A 40214-2024</t>
        </is>
      </c>
      <c r="B268" s="1" t="n">
        <v>45554</v>
      </c>
      <c r="C268" s="1" t="n">
        <v>45574</v>
      </c>
      <c r="D268" t="inlineStr">
        <is>
          <t>VÄSTERNORRLANDS LÄN</t>
        </is>
      </c>
      <c r="E268" t="inlineStr">
        <is>
          <t>ÅNGE</t>
        </is>
      </c>
      <c r="F268" t="inlineStr">
        <is>
          <t>SCA</t>
        </is>
      </c>
      <c r="G268" t="n">
        <v>7.7</v>
      </c>
      <c r="H268" t="n">
        <v>0</v>
      </c>
      <c r="I268" t="n">
        <v>0</v>
      </c>
      <c r="J268" t="n">
        <v>1</v>
      </c>
      <c r="K268" t="n">
        <v>0</v>
      </c>
      <c r="L268" t="n">
        <v>0</v>
      </c>
      <c r="M268" t="n">
        <v>0</v>
      </c>
      <c r="N268" t="n">
        <v>0</v>
      </c>
      <c r="O268" t="n">
        <v>1</v>
      </c>
      <c r="P268" t="n">
        <v>0</v>
      </c>
      <c r="Q268" t="n">
        <v>1</v>
      </c>
      <c r="R268" s="2" t="inlineStr">
        <is>
          <t>Lunglav</t>
        </is>
      </c>
      <c r="S268">
        <f>HYPERLINK("https://klasma.github.io/Logging_2260/artfynd/A 40214-2024 artfynd.xlsx", "A 40214-2024")</f>
        <v/>
      </c>
      <c r="T268">
        <f>HYPERLINK("https://klasma.github.io/Logging_2260/kartor/A 40214-2024 karta.png", "A 40214-2024")</f>
        <v/>
      </c>
      <c r="V268">
        <f>HYPERLINK("https://klasma.github.io/Logging_2260/klagomål/A 40214-2024 FSC-klagomål.docx", "A 40214-2024")</f>
        <v/>
      </c>
      <c r="W268">
        <f>HYPERLINK("https://klasma.github.io/Logging_2260/klagomålsmail/A 40214-2024 FSC-klagomål mail.docx", "A 40214-2024")</f>
        <v/>
      </c>
      <c r="X268">
        <f>HYPERLINK("https://klasma.github.io/Logging_2260/tillsyn/A 40214-2024 tillsynsbegäran.docx", "A 40214-2024")</f>
        <v/>
      </c>
      <c r="Y268">
        <f>HYPERLINK("https://klasma.github.io/Logging_2260/tillsynsmail/A 40214-2024 tillsynsbegäran mail.docx", "A 40214-2024")</f>
        <v/>
      </c>
    </row>
    <row r="269" ht="15" customHeight="1">
      <c r="A269" t="inlineStr">
        <is>
          <t>A 43171-2024</t>
        </is>
      </c>
      <c r="B269" s="1" t="n">
        <v>45567</v>
      </c>
      <c r="C269" s="1" t="n">
        <v>45574</v>
      </c>
      <c r="D269" t="inlineStr">
        <is>
          <t>VÄSTERNORRLANDS LÄN</t>
        </is>
      </c>
      <c r="E269" t="inlineStr">
        <is>
          <t>ÅNGE</t>
        </is>
      </c>
      <c r="F269" t="inlineStr">
        <is>
          <t>SCA</t>
        </is>
      </c>
      <c r="G269" t="n">
        <v>3.4</v>
      </c>
      <c r="H269" t="n">
        <v>0</v>
      </c>
      <c r="I269" t="n">
        <v>0</v>
      </c>
      <c r="J269" t="n">
        <v>1</v>
      </c>
      <c r="K269" t="n">
        <v>0</v>
      </c>
      <c r="L269" t="n">
        <v>0</v>
      </c>
      <c r="M269" t="n">
        <v>0</v>
      </c>
      <c r="N269" t="n">
        <v>0</v>
      </c>
      <c r="O269" t="n">
        <v>1</v>
      </c>
      <c r="P269" t="n">
        <v>0</v>
      </c>
      <c r="Q269" t="n">
        <v>1</v>
      </c>
      <c r="R269" s="2" t="inlineStr">
        <is>
          <t>Rosenticka</t>
        </is>
      </c>
      <c r="S269">
        <f>HYPERLINK("https://klasma.github.io/Logging_2260/artfynd/A 43171-2024 artfynd.xlsx", "A 43171-2024")</f>
        <v/>
      </c>
      <c r="T269">
        <f>HYPERLINK("https://klasma.github.io/Logging_2260/kartor/A 43171-2024 karta.png", "A 43171-2024")</f>
        <v/>
      </c>
      <c r="V269">
        <f>HYPERLINK("https://klasma.github.io/Logging_2260/klagomål/A 43171-2024 FSC-klagomål.docx", "A 43171-2024")</f>
        <v/>
      </c>
      <c r="W269">
        <f>HYPERLINK("https://klasma.github.io/Logging_2260/klagomålsmail/A 43171-2024 FSC-klagomål mail.docx", "A 43171-2024")</f>
        <v/>
      </c>
      <c r="X269">
        <f>HYPERLINK("https://klasma.github.io/Logging_2260/tillsyn/A 43171-2024 tillsynsbegäran.docx", "A 43171-2024")</f>
        <v/>
      </c>
      <c r="Y269">
        <f>HYPERLINK("https://klasma.github.io/Logging_2260/tillsynsmail/A 43171-2024 tillsynsbegäran mail.docx", "A 43171-2024")</f>
        <v/>
      </c>
    </row>
    <row r="270" ht="15" customHeight="1">
      <c r="A270" t="inlineStr">
        <is>
          <t>A 17854-2019</t>
        </is>
      </c>
      <c r="B270" s="1" t="n">
        <v>43556</v>
      </c>
      <c r="C270" s="1" t="n">
        <v>45574</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17857-2019</t>
        </is>
      </c>
      <c r="B271" s="1" t="n">
        <v>43556</v>
      </c>
      <c r="C271" s="1" t="n">
        <v>45574</v>
      </c>
      <c r="D271" t="inlineStr">
        <is>
          <t>VÄSTERNORRLANDS LÄN</t>
        </is>
      </c>
      <c r="E271" t="inlineStr">
        <is>
          <t>ÅNGE</t>
        </is>
      </c>
      <c r="G271" t="n">
        <v>1.1</v>
      </c>
      <c r="H271" t="n">
        <v>0</v>
      </c>
      <c r="I271" t="n">
        <v>0</v>
      </c>
      <c r="J271" t="n">
        <v>0</v>
      </c>
      <c r="K271" t="n">
        <v>0</v>
      </c>
      <c r="L271" t="n">
        <v>0</v>
      </c>
      <c r="M271" t="n">
        <v>0</v>
      </c>
      <c r="N271" t="n">
        <v>0</v>
      </c>
      <c r="O271" t="n">
        <v>0</v>
      </c>
      <c r="P271" t="n">
        <v>0</v>
      </c>
      <c r="Q271" t="n">
        <v>0</v>
      </c>
      <c r="R271" s="2" t="inlineStr"/>
    </row>
    <row r="272" ht="15" customHeight="1">
      <c r="A272" t="inlineStr">
        <is>
          <t>A 17764-2019</t>
        </is>
      </c>
      <c r="B272" s="1" t="n">
        <v>43556</v>
      </c>
      <c r="C272" s="1" t="n">
        <v>45574</v>
      </c>
      <c r="D272" t="inlineStr">
        <is>
          <t>VÄSTERNORRLANDS LÄN</t>
        </is>
      </c>
      <c r="E272" t="inlineStr">
        <is>
          <t>ÅNGE</t>
        </is>
      </c>
      <c r="F272" t="inlineStr">
        <is>
          <t>Kyrkan</t>
        </is>
      </c>
      <c r="G272" t="n">
        <v>20.7</v>
      </c>
      <c r="H272" t="n">
        <v>0</v>
      </c>
      <c r="I272" t="n">
        <v>0</v>
      </c>
      <c r="J272" t="n">
        <v>0</v>
      </c>
      <c r="K272" t="n">
        <v>0</v>
      </c>
      <c r="L272" t="n">
        <v>0</v>
      </c>
      <c r="M272" t="n">
        <v>0</v>
      </c>
      <c r="N272" t="n">
        <v>0</v>
      </c>
      <c r="O272" t="n">
        <v>0</v>
      </c>
      <c r="P272" t="n">
        <v>0</v>
      </c>
      <c r="Q272" t="n">
        <v>0</v>
      </c>
      <c r="R272" s="2" t="inlineStr"/>
    </row>
    <row r="273" ht="15" customHeight="1">
      <c r="A273" t="inlineStr">
        <is>
          <t>A 18069-2019</t>
        </is>
      </c>
      <c r="B273" s="1" t="n">
        <v>43557</v>
      </c>
      <c r="C273" s="1" t="n">
        <v>45574</v>
      </c>
      <c r="D273" t="inlineStr">
        <is>
          <t>VÄSTERNORRLANDS LÄN</t>
        </is>
      </c>
      <c r="E273" t="inlineStr">
        <is>
          <t>ÅNGE</t>
        </is>
      </c>
      <c r="F273" t="inlineStr">
        <is>
          <t>SCA</t>
        </is>
      </c>
      <c r="G273" t="n">
        <v>21.2</v>
      </c>
      <c r="H273" t="n">
        <v>0</v>
      </c>
      <c r="I273" t="n">
        <v>0</v>
      </c>
      <c r="J273" t="n">
        <v>0</v>
      </c>
      <c r="K273" t="n">
        <v>0</v>
      </c>
      <c r="L273" t="n">
        <v>0</v>
      </c>
      <c r="M273" t="n">
        <v>0</v>
      </c>
      <c r="N273" t="n">
        <v>0</v>
      </c>
      <c r="O273" t="n">
        <v>0</v>
      </c>
      <c r="P273" t="n">
        <v>0</v>
      </c>
      <c r="Q273" t="n">
        <v>0</v>
      </c>
      <c r="R273" s="2" t="inlineStr"/>
    </row>
    <row r="274" ht="15" customHeight="1">
      <c r="A274" t="inlineStr">
        <is>
          <t>A 18304-2019</t>
        </is>
      </c>
      <c r="B274" s="1" t="n">
        <v>43558</v>
      </c>
      <c r="C274" s="1" t="n">
        <v>45574</v>
      </c>
      <c r="D274" t="inlineStr">
        <is>
          <t>VÄSTERNORRLANDS LÄN</t>
        </is>
      </c>
      <c r="E274" t="inlineStr">
        <is>
          <t>ÅNGE</t>
        </is>
      </c>
      <c r="F274" t="inlineStr">
        <is>
          <t>SCA</t>
        </is>
      </c>
      <c r="G274" t="n">
        <v>7.9</v>
      </c>
      <c r="H274" t="n">
        <v>0</v>
      </c>
      <c r="I274" t="n">
        <v>0</v>
      </c>
      <c r="J274" t="n">
        <v>0</v>
      </c>
      <c r="K274" t="n">
        <v>0</v>
      </c>
      <c r="L274" t="n">
        <v>0</v>
      </c>
      <c r="M274" t="n">
        <v>0</v>
      </c>
      <c r="N274" t="n">
        <v>0</v>
      </c>
      <c r="O274" t="n">
        <v>0</v>
      </c>
      <c r="P274" t="n">
        <v>0</v>
      </c>
      <c r="Q274" t="n">
        <v>0</v>
      </c>
      <c r="R274" s="2" t="inlineStr"/>
    </row>
    <row r="275" ht="15" customHeight="1">
      <c r="A275" t="inlineStr">
        <is>
          <t>A 19008-2019</t>
        </is>
      </c>
      <c r="B275" s="1" t="n">
        <v>43563</v>
      </c>
      <c r="C275" s="1" t="n">
        <v>45574</v>
      </c>
      <c r="D275" t="inlineStr">
        <is>
          <t>VÄSTERNORRLANDS LÄN</t>
        </is>
      </c>
      <c r="E275" t="inlineStr">
        <is>
          <t>ÅNGE</t>
        </is>
      </c>
      <c r="G275" t="n">
        <v>5.7</v>
      </c>
      <c r="H275" t="n">
        <v>0</v>
      </c>
      <c r="I275" t="n">
        <v>0</v>
      </c>
      <c r="J275" t="n">
        <v>0</v>
      </c>
      <c r="K275" t="n">
        <v>0</v>
      </c>
      <c r="L275" t="n">
        <v>0</v>
      </c>
      <c r="M275" t="n">
        <v>0</v>
      </c>
      <c r="N275" t="n">
        <v>0</v>
      </c>
      <c r="O275" t="n">
        <v>0</v>
      </c>
      <c r="P275" t="n">
        <v>0</v>
      </c>
      <c r="Q275" t="n">
        <v>0</v>
      </c>
      <c r="R275" s="2" t="inlineStr"/>
    </row>
    <row r="276" ht="15" customHeight="1">
      <c r="A276" t="inlineStr">
        <is>
          <t>A 19273-2019</t>
        </is>
      </c>
      <c r="B276" s="1" t="n">
        <v>43564</v>
      </c>
      <c r="C276" s="1" t="n">
        <v>45574</v>
      </c>
      <c r="D276" t="inlineStr">
        <is>
          <t>VÄSTERNORRLANDS LÄN</t>
        </is>
      </c>
      <c r="E276" t="inlineStr">
        <is>
          <t>ÅNGE</t>
        </is>
      </c>
      <c r="G276" t="n">
        <v>5.3</v>
      </c>
      <c r="H276" t="n">
        <v>0</v>
      </c>
      <c r="I276" t="n">
        <v>0</v>
      </c>
      <c r="J276" t="n">
        <v>0</v>
      </c>
      <c r="K276" t="n">
        <v>0</v>
      </c>
      <c r="L276" t="n">
        <v>0</v>
      </c>
      <c r="M276" t="n">
        <v>0</v>
      </c>
      <c r="N276" t="n">
        <v>0</v>
      </c>
      <c r="O276" t="n">
        <v>0</v>
      </c>
      <c r="P276" t="n">
        <v>0</v>
      </c>
      <c r="Q276" t="n">
        <v>0</v>
      </c>
      <c r="R276" s="2" t="inlineStr"/>
    </row>
    <row r="277" ht="15" customHeight="1">
      <c r="A277" t="inlineStr">
        <is>
          <t>A 19274-2019</t>
        </is>
      </c>
      <c r="B277" s="1" t="n">
        <v>43564</v>
      </c>
      <c r="C277" s="1" t="n">
        <v>45574</v>
      </c>
      <c r="D277" t="inlineStr">
        <is>
          <t>VÄSTERNORRLANDS LÄN</t>
        </is>
      </c>
      <c r="E277" t="inlineStr">
        <is>
          <t>ÅNGE</t>
        </is>
      </c>
      <c r="G277" t="n">
        <v>2.1</v>
      </c>
      <c r="H277" t="n">
        <v>0</v>
      </c>
      <c r="I277" t="n">
        <v>0</v>
      </c>
      <c r="J277" t="n">
        <v>0</v>
      </c>
      <c r="K277" t="n">
        <v>0</v>
      </c>
      <c r="L277" t="n">
        <v>0</v>
      </c>
      <c r="M277" t="n">
        <v>0</v>
      </c>
      <c r="N277" t="n">
        <v>0</v>
      </c>
      <c r="O277" t="n">
        <v>0</v>
      </c>
      <c r="P277" t="n">
        <v>0</v>
      </c>
      <c r="Q277" t="n">
        <v>0</v>
      </c>
      <c r="R277" s="2" t="inlineStr"/>
    </row>
    <row r="278" ht="15" customHeight="1">
      <c r="A278" t="inlineStr">
        <is>
          <t>A 19266-2019</t>
        </is>
      </c>
      <c r="B278" s="1" t="n">
        <v>43564</v>
      </c>
      <c r="C278" s="1" t="n">
        <v>45574</v>
      </c>
      <c r="D278" t="inlineStr">
        <is>
          <t>VÄSTERNORRLANDS LÄN</t>
        </is>
      </c>
      <c r="E278" t="inlineStr">
        <is>
          <t>ÅNGE</t>
        </is>
      </c>
      <c r="G278" t="n">
        <v>4</v>
      </c>
      <c r="H278" t="n">
        <v>0</v>
      </c>
      <c r="I278" t="n">
        <v>0</v>
      </c>
      <c r="J278" t="n">
        <v>0</v>
      </c>
      <c r="K278" t="n">
        <v>0</v>
      </c>
      <c r="L278" t="n">
        <v>0</v>
      </c>
      <c r="M278" t="n">
        <v>0</v>
      </c>
      <c r="N278" t="n">
        <v>0</v>
      </c>
      <c r="O278" t="n">
        <v>0</v>
      </c>
      <c r="P278" t="n">
        <v>0</v>
      </c>
      <c r="Q278" t="n">
        <v>0</v>
      </c>
      <c r="R278" s="2" t="inlineStr"/>
    </row>
    <row r="279" ht="15" customHeight="1">
      <c r="A279" t="inlineStr">
        <is>
          <t>A 19270-2019</t>
        </is>
      </c>
      <c r="B279" s="1" t="n">
        <v>43564</v>
      </c>
      <c r="C279" s="1" t="n">
        <v>45574</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19310-2019</t>
        </is>
      </c>
      <c r="B280" s="1" t="n">
        <v>43565</v>
      </c>
      <c r="C280" s="1" t="n">
        <v>45574</v>
      </c>
      <c r="D280" t="inlineStr">
        <is>
          <t>VÄSTERNORRLANDS LÄN</t>
        </is>
      </c>
      <c r="E280" t="inlineStr">
        <is>
          <t>ÅNGE</t>
        </is>
      </c>
      <c r="G280" t="n">
        <v>1.4</v>
      </c>
      <c r="H280" t="n">
        <v>0</v>
      </c>
      <c r="I280" t="n">
        <v>0</v>
      </c>
      <c r="J280" t="n">
        <v>0</v>
      </c>
      <c r="K280" t="n">
        <v>0</v>
      </c>
      <c r="L280" t="n">
        <v>0</v>
      </c>
      <c r="M280" t="n">
        <v>0</v>
      </c>
      <c r="N280" t="n">
        <v>0</v>
      </c>
      <c r="O280" t="n">
        <v>0</v>
      </c>
      <c r="P280" t="n">
        <v>0</v>
      </c>
      <c r="Q280" t="n">
        <v>0</v>
      </c>
      <c r="R280" s="2" t="inlineStr"/>
    </row>
    <row r="281" ht="15" customHeight="1">
      <c r="A281" t="inlineStr">
        <is>
          <t>A 20062-2019</t>
        </is>
      </c>
      <c r="B281" s="1" t="n">
        <v>43570</v>
      </c>
      <c r="C281" s="1" t="n">
        <v>45574</v>
      </c>
      <c r="D281" t="inlineStr">
        <is>
          <t>VÄSTERNORRLANDS LÄN</t>
        </is>
      </c>
      <c r="E281" t="inlineStr">
        <is>
          <t>ÅNGE</t>
        </is>
      </c>
      <c r="G281" t="n">
        <v>4.3</v>
      </c>
      <c r="H281" t="n">
        <v>0</v>
      </c>
      <c r="I281" t="n">
        <v>0</v>
      </c>
      <c r="J281" t="n">
        <v>0</v>
      </c>
      <c r="K281" t="n">
        <v>0</v>
      </c>
      <c r="L281" t="n">
        <v>0</v>
      </c>
      <c r="M281" t="n">
        <v>0</v>
      </c>
      <c r="N281" t="n">
        <v>0</v>
      </c>
      <c r="O281" t="n">
        <v>0</v>
      </c>
      <c r="P281" t="n">
        <v>0</v>
      </c>
      <c r="Q281" t="n">
        <v>0</v>
      </c>
      <c r="R281" s="2" t="inlineStr"/>
    </row>
    <row r="282" ht="15" customHeight="1">
      <c r="A282" t="inlineStr">
        <is>
          <t>A 20102-2019</t>
        </is>
      </c>
      <c r="B282" s="1" t="n">
        <v>43570</v>
      </c>
      <c r="C282" s="1" t="n">
        <v>45574</v>
      </c>
      <c r="D282" t="inlineStr">
        <is>
          <t>VÄSTERNORRLANDS LÄN</t>
        </is>
      </c>
      <c r="E282" t="inlineStr">
        <is>
          <t>ÅNGE</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20397-2019</t>
        </is>
      </c>
      <c r="B283" s="1" t="n">
        <v>43571</v>
      </c>
      <c r="C283" s="1" t="n">
        <v>45574</v>
      </c>
      <c r="D283" t="inlineStr">
        <is>
          <t>VÄSTERNORRLANDS LÄN</t>
        </is>
      </c>
      <c r="E283" t="inlineStr">
        <is>
          <t>ÅNGE</t>
        </is>
      </c>
      <c r="G283" t="n">
        <v>2.4</v>
      </c>
      <c r="H283" t="n">
        <v>0</v>
      </c>
      <c r="I283" t="n">
        <v>0</v>
      </c>
      <c r="J283" t="n">
        <v>0</v>
      </c>
      <c r="K283" t="n">
        <v>0</v>
      </c>
      <c r="L283" t="n">
        <v>0</v>
      </c>
      <c r="M283" t="n">
        <v>0</v>
      </c>
      <c r="N283" t="n">
        <v>0</v>
      </c>
      <c r="O283" t="n">
        <v>0</v>
      </c>
      <c r="P283" t="n">
        <v>0</v>
      </c>
      <c r="Q283" t="n">
        <v>0</v>
      </c>
      <c r="R283" s="2" t="inlineStr"/>
    </row>
    <row r="284" ht="15" customHeight="1">
      <c r="A284" t="inlineStr">
        <is>
          <t>A 20400-2019</t>
        </is>
      </c>
      <c r="B284" s="1" t="n">
        <v>43571</v>
      </c>
      <c r="C284" s="1" t="n">
        <v>45574</v>
      </c>
      <c r="D284" t="inlineStr">
        <is>
          <t>VÄSTERNORRLANDS LÄN</t>
        </is>
      </c>
      <c r="E284" t="inlineStr">
        <is>
          <t>ÅNGE</t>
        </is>
      </c>
      <c r="G284" t="n">
        <v>0.2</v>
      </c>
      <c r="H284" t="n">
        <v>0</v>
      </c>
      <c r="I284" t="n">
        <v>0</v>
      </c>
      <c r="J284" t="n">
        <v>0</v>
      </c>
      <c r="K284" t="n">
        <v>0</v>
      </c>
      <c r="L284" t="n">
        <v>0</v>
      </c>
      <c r="M284" t="n">
        <v>0</v>
      </c>
      <c r="N284" t="n">
        <v>0</v>
      </c>
      <c r="O284" t="n">
        <v>0</v>
      </c>
      <c r="P284" t="n">
        <v>0</v>
      </c>
      <c r="Q284" t="n">
        <v>0</v>
      </c>
      <c r="R284" s="2" t="inlineStr"/>
    </row>
    <row r="285" ht="15" customHeight="1">
      <c r="A285" t="inlineStr">
        <is>
          <t>A 20600-2019</t>
        </is>
      </c>
      <c r="B285" s="1" t="n">
        <v>43572</v>
      </c>
      <c r="C285" s="1" t="n">
        <v>45574</v>
      </c>
      <c r="D285" t="inlineStr">
        <is>
          <t>VÄSTERNORRLANDS LÄN</t>
        </is>
      </c>
      <c r="E285" t="inlineStr">
        <is>
          <t>ÅNGE</t>
        </is>
      </c>
      <c r="G285" t="n">
        <v>3.9</v>
      </c>
      <c r="H285" t="n">
        <v>0</v>
      </c>
      <c r="I285" t="n">
        <v>0</v>
      </c>
      <c r="J285" t="n">
        <v>0</v>
      </c>
      <c r="K285" t="n">
        <v>0</v>
      </c>
      <c r="L285" t="n">
        <v>0</v>
      </c>
      <c r="M285" t="n">
        <v>0</v>
      </c>
      <c r="N285" t="n">
        <v>0</v>
      </c>
      <c r="O285" t="n">
        <v>0</v>
      </c>
      <c r="P285" t="n">
        <v>0</v>
      </c>
      <c r="Q285" t="n">
        <v>0</v>
      </c>
      <c r="R285" s="2" t="inlineStr"/>
    </row>
    <row r="286" ht="15" customHeight="1">
      <c r="A286" t="inlineStr">
        <is>
          <t>A 21375-2019</t>
        </is>
      </c>
      <c r="B286" s="1" t="n">
        <v>43579</v>
      </c>
      <c r="C286" s="1" t="n">
        <v>45574</v>
      </c>
      <c r="D286" t="inlineStr">
        <is>
          <t>VÄSTERNORRLANDS LÄN</t>
        </is>
      </c>
      <c r="E286" t="inlineStr">
        <is>
          <t>ÅNGE</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21715-2019</t>
        </is>
      </c>
      <c r="B287" s="1" t="n">
        <v>43581</v>
      </c>
      <c r="C287" s="1" t="n">
        <v>45574</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21726-2019</t>
        </is>
      </c>
      <c r="B288" s="1" t="n">
        <v>43581</v>
      </c>
      <c r="C288" s="1" t="n">
        <v>45574</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21795-2019</t>
        </is>
      </c>
      <c r="B289" s="1" t="n">
        <v>43581</v>
      </c>
      <c r="C289" s="1" t="n">
        <v>45574</v>
      </c>
      <c r="D289" t="inlineStr">
        <is>
          <t>VÄSTERNORRLANDS LÄN</t>
        </is>
      </c>
      <c r="E289" t="inlineStr">
        <is>
          <t>ÅNGE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21633-2019</t>
        </is>
      </c>
      <c r="B290" s="1" t="n">
        <v>43581</v>
      </c>
      <c r="C290" s="1" t="n">
        <v>45574</v>
      </c>
      <c r="D290" t="inlineStr">
        <is>
          <t>VÄSTERNORRLANDS LÄN</t>
        </is>
      </c>
      <c r="E290" t="inlineStr">
        <is>
          <t>ÅNGE</t>
        </is>
      </c>
      <c r="G290" t="n">
        <v>7.1</v>
      </c>
      <c r="H290" t="n">
        <v>0</v>
      </c>
      <c r="I290" t="n">
        <v>0</v>
      </c>
      <c r="J290" t="n">
        <v>0</v>
      </c>
      <c r="K290" t="n">
        <v>0</v>
      </c>
      <c r="L290" t="n">
        <v>0</v>
      </c>
      <c r="M290" t="n">
        <v>0</v>
      </c>
      <c r="N290" t="n">
        <v>0</v>
      </c>
      <c r="O290" t="n">
        <v>0</v>
      </c>
      <c r="P290" t="n">
        <v>0</v>
      </c>
      <c r="Q290" t="n">
        <v>0</v>
      </c>
      <c r="R290" s="2" t="inlineStr"/>
    </row>
    <row r="291" ht="15" customHeight="1">
      <c r="A291" t="inlineStr">
        <is>
          <t>A 22202-2019</t>
        </is>
      </c>
      <c r="B291" s="1" t="n">
        <v>43585</v>
      </c>
      <c r="C291" s="1" t="n">
        <v>45574</v>
      </c>
      <c r="D291" t="inlineStr">
        <is>
          <t>VÄSTERNORRLANDS LÄN</t>
        </is>
      </c>
      <c r="E291" t="inlineStr">
        <is>
          <t>ÅNGE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23403-2019</t>
        </is>
      </c>
      <c r="B292" s="1" t="n">
        <v>43592</v>
      </c>
      <c r="C292" s="1" t="n">
        <v>45574</v>
      </c>
      <c r="D292" t="inlineStr">
        <is>
          <t>VÄSTERNORRLANDS LÄN</t>
        </is>
      </c>
      <c r="E292" t="inlineStr">
        <is>
          <t>ÅNGE</t>
        </is>
      </c>
      <c r="G292" t="n">
        <v>2.2</v>
      </c>
      <c r="H292" t="n">
        <v>0</v>
      </c>
      <c r="I292" t="n">
        <v>0</v>
      </c>
      <c r="J292" t="n">
        <v>0</v>
      </c>
      <c r="K292" t="n">
        <v>0</v>
      </c>
      <c r="L292" t="n">
        <v>0</v>
      </c>
      <c r="M292" t="n">
        <v>0</v>
      </c>
      <c r="N292" t="n">
        <v>0</v>
      </c>
      <c r="O292" t="n">
        <v>0</v>
      </c>
      <c r="P292" t="n">
        <v>0</v>
      </c>
      <c r="Q292" t="n">
        <v>0</v>
      </c>
      <c r="R292" s="2" t="inlineStr"/>
    </row>
    <row r="293" ht="15" customHeight="1">
      <c r="A293" t="inlineStr">
        <is>
          <t>A 23288-2019</t>
        </is>
      </c>
      <c r="B293" s="1" t="n">
        <v>43593</v>
      </c>
      <c r="C293" s="1" t="n">
        <v>45574</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24567-2019</t>
        </is>
      </c>
      <c r="B294" s="1" t="n">
        <v>43600</v>
      </c>
      <c r="C294" s="1" t="n">
        <v>45574</v>
      </c>
      <c r="D294" t="inlineStr">
        <is>
          <t>VÄSTERNORRLANDS LÄN</t>
        </is>
      </c>
      <c r="E294" t="inlineStr">
        <is>
          <t>ÅNGE</t>
        </is>
      </c>
      <c r="G294" t="n">
        <v>2.7</v>
      </c>
      <c r="H294" t="n">
        <v>0</v>
      </c>
      <c r="I294" t="n">
        <v>0</v>
      </c>
      <c r="J294" t="n">
        <v>0</v>
      </c>
      <c r="K294" t="n">
        <v>0</v>
      </c>
      <c r="L294" t="n">
        <v>0</v>
      </c>
      <c r="M294" t="n">
        <v>0</v>
      </c>
      <c r="N294" t="n">
        <v>0</v>
      </c>
      <c r="O294" t="n">
        <v>0</v>
      </c>
      <c r="P294" t="n">
        <v>0</v>
      </c>
      <c r="Q294" t="n">
        <v>0</v>
      </c>
      <c r="R294" s="2" t="inlineStr"/>
    </row>
    <row r="295" ht="15" customHeight="1">
      <c r="A295" t="inlineStr">
        <is>
          <t>A 24568-2019</t>
        </is>
      </c>
      <c r="B295" s="1" t="n">
        <v>43600</v>
      </c>
      <c r="C295" s="1" t="n">
        <v>45574</v>
      </c>
      <c r="D295" t="inlineStr">
        <is>
          <t>VÄSTERNORRLANDS LÄN</t>
        </is>
      </c>
      <c r="E295" t="inlineStr">
        <is>
          <t>ÅNGE</t>
        </is>
      </c>
      <c r="G295" t="n">
        <v>3.2</v>
      </c>
      <c r="H295" t="n">
        <v>0</v>
      </c>
      <c r="I295" t="n">
        <v>0</v>
      </c>
      <c r="J295" t="n">
        <v>0</v>
      </c>
      <c r="K295" t="n">
        <v>0</v>
      </c>
      <c r="L295" t="n">
        <v>0</v>
      </c>
      <c r="M295" t="n">
        <v>0</v>
      </c>
      <c r="N295" t="n">
        <v>0</v>
      </c>
      <c r="O295" t="n">
        <v>0</v>
      </c>
      <c r="P295" t="n">
        <v>0</v>
      </c>
      <c r="Q295" t="n">
        <v>0</v>
      </c>
      <c r="R295" s="2" t="inlineStr"/>
    </row>
    <row r="296" ht="15" customHeight="1">
      <c r="A296" t="inlineStr">
        <is>
          <t>A 24569-2019</t>
        </is>
      </c>
      <c r="B296" s="1" t="n">
        <v>43600</v>
      </c>
      <c r="C296" s="1" t="n">
        <v>45574</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24781-2019</t>
        </is>
      </c>
      <c r="B297" s="1" t="n">
        <v>43601</v>
      </c>
      <c r="C297" s="1" t="n">
        <v>45574</v>
      </c>
      <c r="D297" t="inlineStr">
        <is>
          <t>VÄSTERNORRLANDS LÄN</t>
        </is>
      </c>
      <c r="E297" t="inlineStr">
        <is>
          <t>ÅNGE</t>
        </is>
      </c>
      <c r="F297" t="inlineStr">
        <is>
          <t>SCA</t>
        </is>
      </c>
      <c r="G297" t="n">
        <v>14.6</v>
      </c>
      <c r="H297" t="n">
        <v>0</v>
      </c>
      <c r="I297" t="n">
        <v>0</v>
      </c>
      <c r="J297" t="n">
        <v>0</v>
      </c>
      <c r="K297" t="n">
        <v>0</v>
      </c>
      <c r="L297" t="n">
        <v>0</v>
      </c>
      <c r="M297" t="n">
        <v>0</v>
      </c>
      <c r="N297" t="n">
        <v>0</v>
      </c>
      <c r="O297" t="n">
        <v>0</v>
      </c>
      <c r="P297" t="n">
        <v>0</v>
      </c>
      <c r="Q297" t="n">
        <v>0</v>
      </c>
      <c r="R297" s="2" t="inlineStr"/>
    </row>
    <row r="298" ht="15" customHeight="1">
      <c r="A298" t="inlineStr">
        <is>
          <t>A 25453-2019</t>
        </is>
      </c>
      <c r="B298" s="1" t="n">
        <v>43606</v>
      </c>
      <c r="C298" s="1" t="n">
        <v>45574</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25549-2019</t>
        </is>
      </c>
      <c r="B299" s="1" t="n">
        <v>43607</v>
      </c>
      <c r="C299" s="1" t="n">
        <v>45574</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26545-2019</t>
        </is>
      </c>
      <c r="B300" s="1" t="n">
        <v>43612</v>
      </c>
      <c r="C300" s="1" t="n">
        <v>45574</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27211-2019</t>
        </is>
      </c>
      <c r="B301" s="1" t="n">
        <v>43614</v>
      </c>
      <c r="C301" s="1" t="n">
        <v>45574</v>
      </c>
      <c r="D301" t="inlineStr">
        <is>
          <t>VÄSTERNORRLANDS LÄN</t>
        </is>
      </c>
      <c r="E301" t="inlineStr">
        <is>
          <t>ÅNGE</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27759-2019</t>
        </is>
      </c>
      <c r="B302" s="1" t="n">
        <v>43619</v>
      </c>
      <c r="C302" s="1" t="n">
        <v>45574</v>
      </c>
      <c r="D302" t="inlineStr">
        <is>
          <t>VÄSTERNORRLANDS LÄN</t>
        </is>
      </c>
      <c r="E302" t="inlineStr">
        <is>
          <t>ÅNGE</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28856-2019</t>
        </is>
      </c>
      <c r="B303" s="1" t="n">
        <v>43627</v>
      </c>
      <c r="C303" s="1" t="n">
        <v>45574</v>
      </c>
      <c r="D303" t="inlineStr">
        <is>
          <t>VÄSTERNORRLANDS LÄN</t>
        </is>
      </c>
      <c r="E303" t="inlineStr">
        <is>
          <t>ÅNGE</t>
        </is>
      </c>
      <c r="G303" t="n">
        <v>6.9</v>
      </c>
      <c r="H303" t="n">
        <v>0</v>
      </c>
      <c r="I303" t="n">
        <v>0</v>
      </c>
      <c r="J303" t="n">
        <v>0</v>
      </c>
      <c r="K303" t="n">
        <v>0</v>
      </c>
      <c r="L303" t="n">
        <v>0</v>
      </c>
      <c r="M303" t="n">
        <v>0</v>
      </c>
      <c r="N303" t="n">
        <v>0</v>
      </c>
      <c r="O303" t="n">
        <v>0</v>
      </c>
      <c r="P303" t="n">
        <v>0</v>
      </c>
      <c r="Q303" t="n">
        <v>0</v>
      </c>
      <c r="R303" s="2" t="inlineStr"/>
    </row>
    <row r="304" ht="15" customHeight="1">
      <c r="A304" t="inlineStr">
        <is>
          <t>A 28858-2019</t>
        </is>
      </c>
      <c r="B304" s="1" t="n">
        <v>43627</v>
      </c>
      <c r="C304" s="1" t="n">
        <v>45574</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28857-2019</t>
        </is>
      </c>
      <c r="B305" s="1" t="n">
        <v>43627</v>
      </c>
      <c r="C305" s="1" t="n">
        <v>45574</v>
      </c>
      <c r="D305" t="inlineStr">
        <is>
          <t>VÄSTERNORRLANDS LÄN</t>
        </is>
      </c>
      <c r="E305" t="inlineStr">
        <is>
          <t>ÅNGE</t>
        </is>
      </c>
      <c r="G305" t="n">
        <v>4.1</v>
      </c>
      <c r="H305" t="n">
        <v>0</v>
      </c>
      <c r="I305" t="n">
        <v>0</v>
      </c>
      <c r="J305" t="n">
        <v>0</v>
      </c>
      <c r="K305" t="n">
        <v>0</v>
      </c>
      <c r="L305" t="n">
        <v>0</v>
      </c>
      <c r="M305" t="n">
        <v>0</v>
      </c>
      <c r="N305" t="n">
        <v>0</v>
      </c>
      <c r="O305" t="n">
        <v>0</v>
      </c>
      <c r="P305" t="n">
        <v>0</v>
      </c>
      <c r="Q305" t="n">
        <v>0</v>
      </c>
      <c r="R305" s="2" t="inlineStr"/>
    </row>
    <row r="306" ht="15" customHeight="1">
      <c r="A306" t="inlineStr">
        <is>
          <t>A 28855-2019</t>
        </is>
      </c>
      <c r="B306" s="1" t="n">
        <v>43627</v>
      </c>
      <c r="C306" s="1" t="n">
        <v>45574</v>
      </c>
      <c r="D306" t="inlineStr">
        <is>
          <t>VÄSTERNORRLANDS LÄN</t>
        </is>
      </c>
      <c r="E306" t="inlineStr">
        <is>
          <t>ÅNGE</t>
        </is>
      </c>
      <c r="G306" t="n">
        <v>8.6</v>
      </c>
      <c r="H306" t="n">
        <v>0</v>
      </c>
      <c r="I306" t="n">
        <v>0</v>
      </c>
      <c r="J306" t="n">
        <v>0</v>
      </c>
      <c r="K306" t="n">
        <v>0</v>
      </c>
      <c r="L306" t="n">
        <v>0</v>
      </c>
      <c r="M306" t="n">
        <v>0</v>
      </c>
      <c r="N306" t="n">
        <v>0</v>
      </c>
      <c r="O306" t="n">
        <v>0</v>
      </c>
      <c r="P306" t="n">
        <v>0</v>
      </c>
      <c r="Q306" t="n">
        <v>0</v>
      </c>
      <c r="R306" s="2" t="inlineStr"/>
    </row>
    <row r="307" ht="15" customHeight="1">
      <c r="A307" t="inlineStr">
        <is>
          <t>A 29141-2019</t>
        </is>
      </c>
      <c r="B307" s="1" t="n">
        <v>43628</v>
      </c>
      <c r="C307" s="1" t="n">
        <v>45574</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29794-2019</t>
        </is>
      </c>
      <c r="B308" s="1" t="n">
        <v>43633</v>
      </c>
      <c r="C308" s="1" t="n">
        <v>45574</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29786-2019</t>
        </is>
      </c>
      <c r="B309" s="1" t="n">
        <v>43633</v>
      </c>
      <c r="C309" s="1" t="n">
        <v>45574</v>
      </c>
      <c r="D309" t="inlineStr">
        <is>
          <t>VÄSTERNORRLANDS LÄN</t>
        </is>
      </c>
      <c r="E309" t="inlineStr">
        <is>
          <t>ÅNGE</t>
        </is>
      </c>
      <c r="G309" t="n">
        <v>1.8</v>
      </c>
      <c r="H309" t="n">
        <v>0</v>
      </c>
      <c r="I309" t="n">
        <v>0</v>
      </c>
      <c r="J309" t="n">
        <v>0</v>
      </c>
      <c r="K309" t="n">
        <v>0</v>
      </c>
      <c r="L309" t="n">
        <v>0</v>
      </c>
      <c r="M309" t="n">
        <v>0</v>
      </c>
      <c r="N309" t="n">
        <v>0</v>
      </c>
      <c r="O309" t="n">
        <v>0</v>
      </c>
      <c r="P309" t="n">
        <v>0</v>
      </c>
      <c r="Q309" t="n">
        <v>0</v>
      </c>
      <c r="R309" s="2" t="inlineStr"/>
    </row>
    <row r="310" ht="15" customHeight="1">
      <c r="A310" t="inlineStr">
        <is>
          <t>A 31001-2019</t>
        </is>
      </c>
      <c r="B310" s="1" t="n">
        <v>43640</v>
      </c>
      <c r="C310" s="1" t="n">
        <v>45574</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31804-2019</t>
        </is>
      </c>
      <c r="B311" s="1" t="n">
        <v>43642</v>
      </c>
      <c r="C311" s="1" t="n">
        <v>45574</v>
      </c>
      <c r="D311" t="inlineStr">
        <is>
          <t>VÄSTERNORRLANDS LÄN</t>
        </is>
      </c>
      <c r="E311" t="inlineStr">
        <is>
          <t>ÅNGE</t>
        </is>
      </c>
      <c r="G311" t="n">
        <v>10.3</v>
      </c>
      <c r="H311" t="n">
        <v>0</v>
      </c>
      <c r="I311" t="n">
        <v>0</v>
      </c>
      <c r="J311" t="n">
        <v>0</v>
      </c>
      <c r="K311" t="n">
        <v>0</v>
      </c>
      <c r="L311" t="n">
        <v>0</v>
      </c>
      <c r="M311" t="n">
        <v>0</v>
      </c>
      <c r="N311" t="n">
        <v>0</v>
      </c>
      <c r="O311" t="n">
        <v>0</v>
      </c>
      <c r="P311" t="n">
        <v>0</v>
      </c>
      <c r="Q311" t="n">
        <v>0</v>
      </c>
      <c r="R311" s="2" t="inlineStr"/>
    </row>
    <row r="312" ht="15" customHeight="1">
      <c r="A312" t="inlineStr">
        <is>
          <t>A 32740-2019</t>
        </is>
      </c>
      <c r="B312" s="1" t="n">
        <v>43647</v>
      </c>
      <c r="C312" s="1" t="n">
        <v>45574</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33471-2019</t>
        </is>
      </c>
      <c r="B313" s="1" t="n">
        <v>43650</v>
      </c>
      <c r="C313" s="1" t="n">
        <v>45574</v>
      </c>
      <c r="D313" t="inlineStr">
        <is>
          <t>VÄSTERNORRLANDS LÄN</t>
        </is>
      </c>
      <c r="E313" t="inlineStr">
        <is>
          <t>ÅNGE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33470-2019</t>
        </is>
      </c>
      <c r="B314" s="1" t="n">
        <v>43650</v>
      </c>
      <c r="C314" s="1" t="n">
        <v>45574</v>
      </c>
      <c r="D314" t="inlineStr">
        <is>
          <t>VÄSTERNORRLANDS LÄN</t>
        </is>
      </c>
      <c r="E314" t="inlineStr">
        <is>
          <t>ÅNGE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34135-2019</t>
        </is>
      </c>
      <c r="B315" s="1" t="n">
        <v>43654</v>
      </c>
      <c r="C315" s="1" t="n">
        <v>45574</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c r="U315">
        <f>HYPERLINK("https://klasma.github.io/Logging_2260/knärot/A 34135-2019 karta knärot.png", "A 34135-2019")</f>
        <v/>
      </c>
      <c r="V315">
        <f>HYPERLINK("https://klasma.github.io/Logging_2260/klagomål/A 34135-2019 FSC-klagomål.docx", "A 34135-2019")</f>
        <v/>
      </c>
      <c r="W315">
        <f>HYPERLINK("https://klasma.github.io/Logging_2260/klagomålsmail/A 34135-2019 FSC-klagomål mail.docx", "A 34135-2019")</f>
        <v/>
      </c>
      <c r="X315">
        <f>HYPERLINK("https://klasma.github.io/Logging_2260/tillsyn/A 34135-2019 tillsynsbegäran.docx", "A 34135-2019")</f>
        <v/>
      </c>
      <c r="Y315">
        <f>HYPERLINK("https://klasma.github.io/Logging_2260/tillsynsmail/A 34135-2019 tillsynsbegäran mail.docx", "A 34135-2019")</f>
        <v/>
      </c>
    </row>
    <row r="316" ht="15" customHeight="1">
      <c r="A316" t="inlineStr">
        <is>
          <t>A 36438-2019</t>
        </is>
      </c>
      <c r="B316" s="1" t="n">
        <v>43664</v>
      </c>
      <c r="C316" s="1" t="n">
        <v>45574</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36311-2019</t>
        </is>
      </c>
      <c r="B317" s="1" t="n">
        <v>43670</v>
      </c>
      <c r="C317" s="1" t="n">
        <v>45574</v>
      </c>
      <c r="D317" t="inlineStr">
        <is>
          <t>VÄSTERNORRLANDS LÄN</t>
        </is>
      </c>
      <c r="E317" t="inlineStr">
        <is>
          <t>ÅNGE</t>
        </is>
      </c>
      <c r="G317" t="n">
        <v>3.1</v>
      </c>
      <c r="H317" t="n">
        <v>0</v>
      </c>
      <c r="I317" t="n">
        <v>0</v>
      </c>
      <c r="J317" t="n">
        <v>0</v>
      </c>
      <c r="K317" t="n">
        <v>0</v>
      </c>
      <c r="L317" t="n">
        <v>0</v>
      </c>
      <c r="M317" t="n">
        <v>0</v>
      </c>
      <c r="N317" t="n">
        <v>0</v>
      </c>
      <c r="O317" t="n">
        <v>0</v>
      </c>
      <c r="P317" t="n">
        <v>0</v>
      </c>
      <c r="Q317" t="n">
        <v>0</v>
      </c>
      <c r="R317" s="2" t="inlineStr"/>
    </row>
    <row r="318" ht="15" customHeight="1">
      <c r="A318" t="inlineStr">
        <is>
          <t>A 37745-2019</t>
        </is>
      </c>
      <c r="B318" s="1" t="n">
        <v>43679</v>
      </c>
      <c r="C318" s="1" t="n">
        <v>45574</v>
      </c>
      <c r="D318" t="inlineStr">
        <is>
          <t>VÄSTERNORRLANDS LÄN</t>
        </is>
      </c>
      <c r="E318" t="inlineStr">
        <is>
          <t>ÅNGE</t>
        </is>
      </c>
      <c r="G318" t="n">
        <v>11.4</v>
      </c>
      <c r="H318" t="n">
        <v>0</v>
      </c>
      <c r="I318" t="n">
        <v>0</v>
      </c>
      <c r="J318" t="n">
        <v>0</v>
      </c>
      <c r="K318" t="n">
        <v>0</v>
      </c>
      <c r="L318" t="n">
        <v>0</v>
      </c>
      <c r="M318" t="n">
        <v>0</v>
      </c>
      <c r="N318" t="n">
        <v>0</v>
      </c>
      <c r="O318" t="n">
        <v>0</v>
      </c>
      <c r="P318" t="n">
        <v>0</v>
      </c>
      <c r="Q318" t="n">
        <v>0</v>
      </c>
      <c r="R318" s="2" t="inlineStr"/>
    </row>
    <row r="319" ht="15" customHeight="1">
      <c r="A319" t="inlineStr">
        <is>
          <t>A 37887-2019</t>
        </is>
      </c>
      <c r="B319" s="1" t="n">
        <v>43682</v>
      </c>
      <c r="C319" s="1" t="n">
        <v>45574</v>
      </c>
      <c r="D319" t="inlineStr">
        <is>
          <t>VÄSTERNORRLANDS LÄN</t>
        </is>
      </c>
      <c r="E319" t="inlineStr">
        <is>
          <t>ÅNGE</t>
        </is>
      </c>
      <c r="G319" t="n">
        <v>3</v>
      </c>
      <c r="H319" t="n">
        <v>0</v>
      </c>
      <c r="I319" t="n">
        <v>0</v>
      </c>
      <c r="J319" t="n">
        <v>0</v>
      </c>
      <c r="K319" t="n">
        <v>0</v>
      </c>
      <c r="L319" t="n">
        <v>0</v>
      </c>
      <c r="M319" t="n">
        <v>0</v>
      </c>
      <c r="N319" t="n">
        <v>0</v>
      </c>
      <c r="O319" t="n">
        <v>0</v>
      </c>
      <c r="P319" t="n">
        <v>0</v>
      </c>
      <c r="Q319" t="n">
        <v>0</v>
      </c>
      <c r="R319" s="2" t="inlineStr"/>
    </row>
    <row r="320" ht="15" customHeight="1">
      <c r="A320" t="inlineStr">
        <is>
          <t>A 37954-2019</t>
        </is>
      </c>
      <c r="B320" s="1" t="n">
        <v>43683</v>
      </c>
      <c r="C320" s="1" t="n">
        <v>45574</v>
      </c>
      <c r="D320" t="inlineStr">
        <is>
          <t>VÄSTERNORRLANDS LÄN</t>
        </is>
      </c>
      <c r="E320" t="inlineStr">
        <is>
          <t>ÅNGE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38222-2019</t>
        </is>
      </c>
      <c r="B321" s="1" t="n">
        <v>43684</v>
      </c>
      <c r="C321" s="1" t="n">
        <v>45574</v>
      </c>
      <c r="D321" t="inlineStr">
        <is>
          <t>VÄSTERNORRLANDS LÄN</t>
        </is>
      </c>
      <c r="E321" t="inlineStr">
        <is>
          <t>ÅNGE</t>
        </is>
      </c>
      <c r="G321" t="n">
        <v>4.4</v>
      </c>
      <c r="H321" t="n">
        <v>0</v>
      </c>
      <c r="I321" t="n">
        <v>0</v>
      </c>
      <c r="J321" t="n">
        <v>0</v>
      </c>
      <c r="K321" t="n">
        <v>0</v>
      </c>
      <c r="L321" t="n">
        <v>0</v>
      </c>
      <c r="M321" t="n">
        <v>0</v>
      </c>
      <c r="N321" t="n">
        <v>0</v>
      </c>
      <c r="O321" t="n">
        <v>0</v>
      </c>
      <c r="P321" t="n">
        <v>0</v>
      </c>
      <c r="Q321" t="n">
        <v>0</v>
      </c>
      <c r="R321" s="2" t="inlineStr"/>
    </row>
    <row r="322" ht="15" customHeight="1">
      <c r="A322" t="inlineStr">
        <is>
          <t>A 38215-2019</t>
        </is>
      </c>
      <c r="B322" s="1" t="n">
        <v>43684</v>
      </c>
      <c r="C322" s="1" t="n">
        <v>45574</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38310-2019</t>
        </is>
      </c>
      <c r="B323" s="1" t="n">
        <v>43684</v>
      </c>
      <c r="C323" s="1" t="n">
        <v>45574</v>
      </c>
      <c r="D323" t="inlineStr">
        <is>
          <t>VÄSTERNORRLANDS LÄN</t>
        </is>
      </c>
      <c r="E323" t="inlineStr">
        <is>
          <t>ÅNGE</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38573-2019</t>
        </is>
      </c>
      <c r="B324" s="1" t="n">
        <v>43685</v>
      </c>
      <c r="C324" s="1" t="n">
        <v>45574</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39403-2019</t>
        </is>
      </c>
      <c r="B325" s="1" t="n">
        <v>43690</v>
      </c>
      <c r="C325" s="1" t="n">
        <v>45574</v>
      </c>
      <c r="D325" t="inlineStr">
        <is>
          <t>VÄSTERNORRLANDS LÄN</t>
        </is>
      </c>
      <c r="E325" t="inlineStr">
        <is>
          <t>ÅNGE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41510-2019</t>
        </is>
      </c>
      <c r="B326" s="1" t="n">
        <v>43696</v>
      </c>
      <c r="C326" s="1" t="n">
        <v>45574</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41018-2019</t>
        </is>
      </c>
      <c r="B327" s="1" t="n">
        <v>43697</v>
      </c>
      <c r="C327" s="1" t="n">
        <v>45574</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42066-2019</t>
        </is>
      </c>
      <c r="B328" s="1" t="n">
        <v>43700</v>
      </c>
      <c r="C328" s="1" t="n">
        <v>45574</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43240-2019</t>
        </is>
      </c>
      <c r="B329" s="1" t="n">
        <v>43706</v>
      </c>
      <c r="C329" s="1" t="n">
        <v>45574</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43250-2019</t>
        </is>
      </c>
      <c r="B330" s="1" t="n">
        <v>43706</v>
      </c>
      <c r="C330" s="1" t="n">
        <v>45574</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43236-2019</t>
        </is>
      </c>
      <c r="B331" s="1" t="n">
        <v>43706</v>
      </c>
      <c r="C331" s="1" t="n">
        <v>45574</v>
      </c>
      <c r="D331" t="inlineStr">
        <is>
          <t>VÄSTERNORRLANDS LÄN</t>
        </is>
      </c>
      <c r="E331" t="inlineStr">
        <is>
          <t>ÅNGE</t>
        </is>
      </c>
      <c r="G331" t="n">
        <v>33.1</v>
      </c>
      <c r="H331" t="n">
        <v>0</v>
      </c>
      <c r="I331" t="n">
        <v>0</v>
      </c>
      <c r="J331" t="n">
        <v>0</v>
      </c>
      <c r="K331" t="n">
        <v>0</v>
      </c>
      <c r="L331" t="n">
        <v>0</v>
      </c>
      <c r="M331" t="n">
        <v>0</v>
      </c>
      <c r="N331" t="n">
        <v>0</v>
      </c>
      <c r="O331" t="n">
        <v>0</v>
      </c>
      <c r="P331" t="n">
        <v>0</v>
      </c>
      <c r="Q331" t="n">
        <v>0</v>
      </c>
      <c r="R331" s="2" t="inlineStr"/>
    </row>
    <row r="332" ht="15" customHeight="1">
      <c r="A332" t="inlineStr">
        <is>
          <t>A 43248-2019</t>
        </is>
      </c>
      <c r="B332" s="1" t="n">
        <v>43706</v>
      </c>
      <c r="C332" s="1" t="n">
        <v>45574</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43241-2019</t>
        </is>
      </c>
      <c r="B333" s="1" t="n">
        <v>43706</v>
      </c>
      <c r="C333" s="1" t="n">
        <v>45574</v>
      </c>
      <c r="D333" t="inlineStr">
        <is>
          <t>VÄSTERNORRLANDS LÄN</t>
        </is>
      </c>
      <c r="E333" t="inlineStr">
        <is>
          <t>ÅNGE</t>
        </is>
      </c>
      <c r="G333" t="n">
        <v>8.1</v>
      </c>
      <c r="H333" t="n">
        <v>0</v>
      </c>
      <c r="I333" t="n">
        <v>0</v>
      </c>
      <c r="J333" t="n">
        <v>0</v>
      </c>
      <c r="K333" t="n">
        <v>0</v>
      </c>
      <c r="L333" t="n">
        <v>0</v>
      </c>
      <c r="M333" t="n">
        <v>0</v>
      </c>
      <c r="N333" t="n">
        <v>0</v>
      </c>
      <c r="O333" t="n">
        <v>0</v>
      </c>
      <c r="P333" t="n">
        <v>0</v>
      </c>
      <c r="Q333" t="n">
        <v>0</v>
      </c>
      <c r="R333" s="2" t="inlineStr"/>
    </row>
    <row r="334" ht="15" customHeight="1">
      <c r="A334" t="inlineStr">
        <is>
          <t>A 43254-2019</t>
        </is>
      </c>
      <c r="B334" s="1" t="n">
        <v>43706</v>
      </c>
      <c r="C334" s="1" t="n">
        <v>45574</v>
      </c>
      <c r="D334" t="inlineStr">
        <is>
          <t>VÄSTERNORRLANDS LÄN</t>
        </is>
      </c>
      <c r="E334" t="inlineStr">
        <is>
          <t>ÅNGE</t>
        </is>
      </c>
      <c r="G334" t="n">
        <v>2.6</v>
      </c>
      <c r="H334" t="n">
        <v>0</v>
      </c>
      <c r="I334" t="n">
        <v>0</v>
      </c>
      <c r="J334" t="n">
        <v>0</v>
      </c>
      <c r="K334" t="n">
        <v>0</v>
      </c>
      <c r="L334" t="n">
        <v>0</v>
      </c>
      <c r="M334" t="n">
        <v>0</v>
      </c>
      <c r="N334" t="n">
        <v>0</v>
      </c>
      <c r="O334" t="n">
        <v>0</v>
      </c>
      <c r="P334" t="n">
        <v>0</v>
      </c>
      <c r="Q334" t="n">
        <v>0</v>
      </c>
      <c r="R334" s="2" t="inlineStr"/>
    </row>
    <row r="335" ht="15" customHeight="1">
      <c r="A335" t="inlineStr">
        <is>
          <t>A 43509-2019</t>
        </is>
      </c>
      <c r="B335" s="1" t="n">
        <v>43706</v>
      </c>
      <c r="C335" s="1" t="n">
        <v>45574</v>
      </c>
      <c r="D335" t="inlineStr">
        <is>
          <t>VÄSTERNORRLANDS LÄN</t>
        </is>
      </c>
      <c r="E335" t="inlineStr">
        <is>
          <t>ÅNGE</t>
        </is>
      </c>
      <c r="G335" t="n">
        <v>4.2</v>
      </c>
      <c r="H335" t="n">
        <v>0</v>
      </c>
      <c r="I335" t="n">
        <v>0</v>
      </c>
      <c r="J335" t="n">
        <v>0</v>
      </c>
      <c r="K335" t="n">
        <v>0</v>
      </c>
      <c r="L335" t="n">
        <v>0</v>
      </c>
      <c r="M335" t="n">
        <v>0</v>
      </c>
      <c r="N335" t="n">
        <v>0</v>
      </c>
      <c r="O335" t="n">
        <v>0</v>
      </c>
      <c r="P335" t="n">
        <v>0</v>
      </c>
      <c r="Q335" t="n">
        <v>0</v>
      </c>
      <c r="R335" s="2" t="inlineStr"/>
    </row>
    <row r="336" ht="15" customHeight="1">
      <c r="A336" t="inlineStr">
        <is>
          <t>A 43517-2019</t>
        </is>
      </c>
      <c r="B336" s="1" t="n">
        <v>43706</v>
      </c>
      <c r="C336" s="1" t="n">
        <v>45574</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43895-2019</t>
        </is>
      </c>
      <c r="B337" s="1" t="n">
        <v>43707</v>
      </c>
      <c r="C337" s="1" t="n">
        <v>45574</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44313-2019</t>
        </is>
      </c>
      <c r="B338" s="1" t="n">
        <v>43710</v>
      </c>
      <c r="C338" s="1" t="n">
        <v>45574</v>
      </c>
      <c r="D338" t="inlineStr">
        <is>
          <t>VÄSTERNORRLANDS LÄN</t>
        </is>
      </c>
      <c r="E338" t="inlineStr">
        <is>
          <t>ÅNGE</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45274-2019</t>
        </is>
      </c>
      <c r="B339" s="1" t="n">
        <v>43713</v>
      </c>
      <c r="C339" s="1" t="n">
        <v>45574</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48958-2019</t>
        </is>
      </c>
      <c r="B340" s="1" t="n">
        <v>43728</v>
      </c>
      <c r="C340" s="1" t="n">
        <v>45574</v>
      </c>
      <c r="D340" t="inlineStr">
        <is>
          <t>VÄSTERNORRLANDS LÄN</t>
        </is>
      </c>
      <c r="E340" t="inlineStr">
        <is>
          <t>ÅNGE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50278-2019</t>
        </is>
      </c>
      <c r="B341" s="1" t="n">
        <v>43734</v>
      </c>
      <c r="C341" s="1" t="n">
        <v>45574</v>
      </c>
      <c r="D341" t="inlineStr">
        <is>
          <t>VÄSTERNORRLANDS LÄN</t>
        </is>
      </c>
      <c r="E341" t="inlineStr">
        <is>
          <t>ÅNGE</t>
        </is>
      </c>
      <c r="F341" t="inlineStr">
        <is>
          <t>SCA</t>
        </is>
      </c>
      <c r="G341" t="n">
        <v>8.5</v>
      </c>
      <c r="H341" t="n">
        <v>0</v>
      </c>
      <c r="I341" t="n">
        <v>0</v>
      </c>
      <c r="J341" t="n">
        <v>0</v>
      </c>
      <c r="K341" t="n">
        <v>0</v>
      </c>
      <c r="L341" t="n">
        <v>0</v>
      </c>
      <c r="M341" t="n">
        <v>0</v>
      </c>
      <c r="N341" t="n">
        <v>0</v>
      </c>
      <c r="O341" t="n">
        <v>0</v>
      </c>
      <c r="P341" t="n">
        <v>0</v>
      </c>
      <c r="Q341" t="n">
        <v>0</v>
      </c>
      <c r="R341" s="2" t="inlineStr"/>
    </row>
    <row r="342" ht="15" customHeight="1">
      <c r="A342" t="inlineStr">
        <is>
          <t>A 50280-2019</t>
        </is>
      </c>
      <c r="B342" s="1" t="n">
        <v>43734</v>
      </c>
      <c r="C342" s="1" t="n">
        <v>45574</v>
      </c>
      <c r="D342" t="inlineStr">
        <is>
          <t>VÄSTERNORRLANDS LÄN</t>
        </is>
      </c>
      <c r="E342" t="inlineStr">
        <is>
          <t>ÅNGE</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50352-2019</t>
        </is>
      </c>
      <c r="B343" s="1" t="n">
        <v>43735</v>
      </c>
      <c r="C343" s="1" t="n">
        <v>45574</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50997-2019</t>
        </is>
      </c>
      <c r="B344" s="1" t="n">
        <v>43738</v>
      </c>
      <c r="C344" s="1" t="n">
        <v>45574</v>
      </c>
      <c r="D344" t="inlineStr">
        <is>
          <t>VÄSTERNORRLANDS LÄN</t>
        </is>
      </c>
      <c r="E344" t="inlineStr">
        <is>
          <t>ÅNGE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52505-2019</t>
        </is>
      </c>
      <c r="B345" s="1" t="n">
        <v>43738</v>
      </c>
      <c r="C345" s="1" t="n">
        <v>45574</v>
      </c>
      <c r="D345" t="inlineStr">
        <is>
          <t>VÄSTERNORRLANDS LÄN</t>
        </is>
      </c>
      <c r="E345" t="inlineStr">
        <is>
          <t>ÅNGE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51321-2019</t>
        </is>
      </c>
      <c r="B346" s="1" t="n">
        <v>43739</v>
      </c>
      <c r="C346" s="1" t="n">
        <v>45574</v>
      </c>
      <c r="D346" t="inlineStr">
        <is>
          <t>VÄSTERNORRLANDS LÄN</t>
        </is>
      </c>
      <c r="E346" t="inlineStr">
        <is>
          <t>ÅNGE</t>
        </is>
      </c>
      <c r="G346" t="n">
        <v>9.4</v>
      </c>
      <c r="H346" t="n">
        <v>0</v>
      </c>
      <c r="I346" t="n">
        <v>0</v>
      </c>
      <c r="J346" t="n">
        <v>0</v>
      </c>
      <c r="K346" t="n">
        <v>0</v>
      </c>
      <c r="L346" t="n">
        <v>0</v>
      </c>
      <c r="M346" t="n">
        <v>0</v>
      </c>
      <c r="N346" t="n">
        <v>0</v>
      </c>
      <c r="O346" t="n">
        <v>0</v>
      </c>
      <c r="P346" t="n">
        <v>0</v>
      </c>
      <c r="Q346" t="n">
        <v>0</v>
      </c>
      <c r="R346" s="2" t="inlineStr"/>
    </row>
    <row r="347" ht="15" customHeight="1">
      <c r="A347" t="inlineStr">
        <is>
          <t>A 51947-2019</t>
        </is>
      </c>
      <c r="B347" s="1" t="n">
        <v>43741</v>
      </c>
      <c r="C347" s="1" t="n">
        <v>45574</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51946-2019</t>
        </is>
      </c>
      <c r="B348" s="1" t="n">
        <v>43741</v>
      </c>
      <c r="C348" s="1" t="n">
        <v>45574</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52171-2019</t>
        </is>
      </c>
      <c r="B349" s="1" t="n">
        <v>43742</v>
      </c>
      <c r="C349" s="1" t="n">
        <v>45574</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52684-2019</t>
        </is>
      </c>
      <c r="B350" s="1" t="n">
        <v>43746</v>
      </c>
      <c r="C350" s="1" t="n">
        <v>45574</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52660-2019</t>
        </is>
      </c>
      <c r="B351" s="1" t="n">
        <v>43746</v>
      </c>
      <c r="C351" s="1" t="n">
        <v>45574</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53107-2019</t>
        </is>
      </c>
      <c r="B352" s="1" t="n">
        <v>43747</v>
      </c>
      <c r="C352" s="1" t="n">
        <v>45574</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53579-2019</t>
        </is>
      </c>
      <c r="B353" s="1" t="n">
        <v>43749</v>
      </c>
      <c r="C353" s="1" t="n">
        <v>45574</v>
      </c>
      <c r="D353" t="inlineStr">
        <is>
          <t>VÄSTERNORRLANDS LÄN</t>
        </is>
      </c>
      <c r="E353" t="inlineStr">
        <is>
          <t>ÅNGE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54025-2019</t>
        </is>
      </c>
      <c r="B354" s="1" t="n">
        <v>43752</v>
      </c>
      <c r="C354" s="1" t="n">
        <v>45574</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54027-2019</t>
        </is>
      </c>
      <c r="B355" s="1" t="n">
        <v>43752</v>
      </c>
      <c r="C355" s="1" t="n">
        <v>45574</v>
      </c>
      <c r="D355" t="inlineStr">
        <is>
          <t>VÄSTERNORRLANDS LÄN</t>
        </is>
      </c>
      <c r="E355" t="inlineStr">
        <is>
          <t>ÅNGE</t>
        </is>
      </c>
      <c r="G355" t="n">
        <v>3.8</v>
      </c>
      <c r="H355" t="n">
        <v>0</v>
      </c>
      <c r="I355" t="n">
        <v>0</v>
      </c>
      <c r="J355" t="n">
        <v>0</v>
      </c>
      <c r="K355" t="n">
        <v>0</v>
      </c>
      <c r="L355" t="n">
        <v>0</v>
      </c>
      <c r="M355" t="n">
        <v>0</v>
      </c>
      <c r="N355" t="n">
        <v>0</v>
      </c>
      <c r="O355" t="n">
        <v>0</v>
      </c>
      <c r="P355" t="n">
        <v>0</v>
      </c>
      <c r="Q355" t="n">
        <v>0</v>
      </c>
      <c r="R355" s="2" t="inlineStr"/>
    </row>
    <row r="356" ht="15" customHeight="1">
      <c r="A356" t="inlineStr">
        <is>
          <t>A 55352-2019</t>
        </is>
      </c>
      <c r="B356" s="1" t="n">
        <v>43756</v>
      </c>
      <c r="C356" s="1" t="n">
        <v>45574</v>
      </c>
      <c r="D356" t="inlineStr">
        <is>
          <t>VÄSTERNORRLANDS LÄN</t>
        </is>
      </c>
      <c r="E356" t="inlineStr">
        <is>
          <t>ÅNGE</t>
        </is>
      </c>
      <c r="G356" t="n">
        <v>10.9</v>
      </c>
      <c r="H356" t="n">
        <v>0</v>
      </c>
      <c r="I356" t="n">
        <v>0</v>
      </c>
      <c r="J356" t="n">
        <v>0</v>
      </c>
      <c r="K356" t="n">
        <v>0</v>
      </c>
      <c r="L356" t="n">
        <v>0</v>
      </c>
      <c r="M356" t="n">
        <v>0</v>
      </c>
      <c r="N356" t="n">
        <v>0</v>
      </c>
      <c r="O356" t="n">
        <v>0</v>
      </c>
      <c r="P356" t="n">
        <v>0</v>
      </c>
      <c r="Q356" t="n">
        <v>0</v>
      </c>
      <c r="R356" s="2" t="inlineStr"/>
    </row>
    <row r="357" ht="15" customHeight="1">
      <c r="A357" t="inlineStr">
        <is>
          <t>A 55637-2019</t>
        </is>
      </c>
      <c r="B357" s="1" t="n">
        <v>43760</v>
      </c>
      <c r="C357" s="1" t="n">
        <v>45574</v>
      </c>
      <c r="D357" t="inlineStr">
        <is>
          <t>VÄSTERNORRLANDS LÄN</t>
        </is>
      </c>
      <c r="E357" t="inlineStr">
        <is>
          <t>ÅNGE</t>
        </is>
      </c>
      <c r="G357" t="n">
        <v>0.1</v>
      </c>
      <c r="H357" t="n">
        <v>0</v>
      </c>
      <c r="I357" t="n">
        <v>0</v>
      </c>
      <c r="J357" t="n">
        <v>0</v>
      </c>
      <c r="K357" t="n">
        <v>0</v>
      </c>
      <c r="L357" t="n">
        <v>0</v>
      </c>
      <c r="M357" t="n">
        <v>0</v>
      </c>
      <c r="N357" t="n">
        <v>0</v>
      </c>
      <c r="O357" t="n">
        <v>0</v>
      </c>
      <c r="P357" t="n">
        <v>0</v>
      </c>
      <c r="Q357" t="n">
        <v>0</v>
      </c>
      <c r="R357" s="2" t="inlineStr"/>
    </row>
    <row r="358" ht="15" customHeight="1">
      <c r="A358" t="inlineStr">
        <is>
          <t>A 55634-2019</t>
        </is>
      </c>
      <c r="B358" s="1" t="n">
        <v>43760</v>
      </c>
      <c r="C358" s="1" t="n">
        <v>45574</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55730-2019</t>
        </is>
      </c>
      <c r="B359" s="1" t="n">
        <v>43760</v>
      </c>
      <c r="C359" s="1" t="n">
        <v>45574</v>
      </c>
      <c r="D359" t="inlineStr">
        <is>
          <t>VÄSTERNORRLANDS LÄN</t>
        </is>
      </c>
      <c r="E359" t="inlineStr">
        <is>
          <t>ÅNGE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55729-2019</t>
        </is>
      </c>
      <c r="B360" s="1" t="n">
        <v>43760</v>
      </c>
      <c r="C360" s="1" t="n">
        <v>45574</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56137-2019</t>
        </is>
      </c>
      <c r="B361" s="1" t="n">
        <v>43761</v>
      </c>
      <c r="C361" s="1" t="n">
        <v>45574</v>
      </c>
      <c r="D361" t="inlineStr">
        <is>
          <t>VÄSTERNORRLANDS LÄN</t>
        </is>
      </c>
      <c r="E361" t="inlineStr">
        <is>
          <t>ÅNGE</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56171-2019</t>
        </is>
      </c>
      <c r="B362" s="1" t="n">
        <v>43761</v>
      </c>
      <c r="C362" s="1" t="n">
        <v>45574</v>
      </c>
      <c r="D362" t="inlineStr">
        <is>
          <t>VÄSTERNORRLANDS LÄN</t>
        </is>
      </c>
      <c r="E362" t="inlineStr">
        <is>
          <t>ÅNGE</t>
        </is>
      </c>
      <c r="G362" t="n">
        <v>5.1</v>
      </c>
      <c r="H362" t="n">
        <v>0</v>
      </c>
      <c r="I362" t="n">
        <v>0</v>
      </c>
      <c r="J362" t="n">
        <v>0</v>
      </c>
      <c r="K362" t="n">
        <v>0</v>
      </c>
      <c r="L362" t="n">
        <v>0</v>
      </c>
      <c r="M362" t="n">
        <v>0</v>
      </c>
      <c r="N362" t="n">
        <v>0</v>
      </c>
      <c r="O362" t="n">
        <v>0</v>
      </c>
      <c r="P362" t="n">
        <v>0</v>
      </c>
      <c r="Q362" t="n">
        <v>0</v>
      </c>
      <c r="R362" s="2" t="inlineStr"/>
    </row>
    <row r="363" ht="15" customHeight="1">
      <c r="A363" t="inlineStr">
        <is>
          <t>A 56186-2019</t>
        </is>
      </c>
      <c r="B363" s="1" t="n">
        <v>43761</v>
      </c>
      <c r="C363" s="1" t="n">
        <v>45574</v>
      </c>
      <c r="D363" t="inlineStr">
        <is>
          <t>VÄSTERNORRLANDS LÄN</t>
        </is>
      </c>
      <c r="E363" t="inlineStr">
        <is>
          <t>ÅNGE</t>
        </is>
      </c>
      <c r="F363" t="inlineStr">
        <is>
          <t>SCA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56490-2019</t>
        </is>
      </c>
      <c r="B364" s="1" t="n">
        <v>43762</v>
      </c>
      <c r="C364" s="1" t="n">
        <v>45574</v>
      </c>
      <c r="D364" t="inlineStr">
        <is>
          <t>VÄSTERNORRLANDS LÄN</t>
        </is>
      </c>
      <c r="E364" t="inlineStr">
        <is>
          <t>ÅNGE</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57184-2019</t>
        </is>
      </c>
      <c r="B365" s="1" t="n">
        <v>43766</v>
      </c>
      <c r="C365" s="1" t="n">
        <v>45574</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57183-2019</t>
        </is>
      </c>
      <c r="B366" s="1" t="n">
        <v>43766</v>
      </c>
      <c r="C366" s="1" t="n">
        <v>45574</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58720-2019</t>
        </is>
      </c>
      <c r="B367" s="1" t="n">
        <v>43773</v>
      </c>
      <c r="C367" s="1" t="n">
        <v>45574</v>
      </c>
      <c r="D367" t="inlineStr">
        <is>
          <t>VÄSTERNORRLANDS LÄN</t>
        </is>
      </c>
      <c r="E367" t="inlineStr">
        <is>
          <t>ÅNGE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58790-2019</t>
        </is>
      </c>
      <c r="B368" s="1" t="n">
        <v>43773</v>
      </c>
      <c r="C368" s="1" t="n">
        <v>45574</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58941-2019</t>
        </is>
      </c>
      <c r="B369" s="1" t="n">
        <v>43774</v>
      </c>
      <c r="C369" s="1" t="n">
        <v>45574</v>
      </c>
      <c r="D369" t="inlineStr">
        <is>
          <t>VÄSTERNORRLANDS LÄN</t>
        </is>
      </c>
      <c r="E369" t="inlineStr">
        <is>
          <t>ÅNGE</t>
        </is>
      </c>
      <c r="G369" t="n">
        <v>4</v>
      </c>
      <c r="H369" t="n">
        <v>0</v>
      </c>
      <c r="I369" t="n">
        <v>0</v>
      </c>
      <c r="J369" t="n">
        <v>0</v>
      </c>
      <c r="K369" t="n">
        <v>0</v>
      </c>
      <c r="L369" t="n">
        <v>0</v>
      </c>
      <c r="M369" t="n">
        <v>0</v>
      </c>
      <c r="N369" t="n">
        <v>0</v>
      </c>
      <c r="O369" t="n">
        <v>0</v>
      </c>
      <c r="P369" t="n">
        <v>0</v>
      </c>
      <c r="Q369" t="n">
        <v>0</v>
      </c>
      <c r="R369" s="2" t="inlineStr"/>
    </row>
    <row r="370" ht="15" customHeight="1">
      <c r="A370" t="inlineStr">
        <is>
          <t>A 58932-2019</t>
        </is>
      </c>
      <c r="B370" s="1" t="n">
        <v>43774</v>
      </c>
      <c r="C370" s="1" t="n">
        <v>45574</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58951-2019</t>
        </is>
      </c>
      <c r="B371" s="1" t="n">
        <v>43774</v>
      </c>
      <c r="C371" s="1" t="n">
        <v>45574</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60577-2019</t>
        </is>
      </c>
      <c r="B372" s="1" t="n">
        <v>43781</v>
      </c>
      <c r="C372" s="1" t="n">
        <v>45574</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60687-2019</t>
        </is>
      </c>
      <c r="B373" s="1" t="n">
        <v>43781</v>
      </c>
      <c r="C373" s="1" t="n">
        <v>45574</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60868-2019</t>
        </is>
      </c>
      <c r="B374" s="1" t="n">
        <v>43781</v>
      </c>
      <c r="C374" s="1" t="n">
        <v>45574</v>
      </c>
      <c r="D374" t="inlineStr">
        <is>
          <t>VÄSTERNORRLANDS LÄN</t>
        </is>
      </c>
      <c r="E374" t="inlineStr">
        <is>
          <t>ÅNGE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61521-2019</t>
        </is>
      </c>
      <c r="B375" s="1" t="n">
        <v>43783</v>
      </c>
      <c r="C375" s="1" t="n">
        <v>45574</v>
      </c>
      <c r="D375" t="inlineStr">
        <is>
          <t>VÄSTERNORRLANDS LÄN</t>
        </is>
      </c>
      <c r="E375" t="inlineStr">
        <is>
          <t>ÅNGE</t>
        </is>
      </c>
      <c r="F375" t="inlineStr">
        <is>
          <t>SCA</t>
        </is>
      </c>
      <c r="G375" t="n">
        <v>40.5</v>
      </c>
      <c r="H375" t="n">
        <v>0</v>
      </c>
      <c r="I375" t="n">
        <v>0</v>
      </c>
      <c r="J375" t="n">
        <v>0</v>
      </c>
      <c r="K375" t="n">
        <v>0</v>
      </c>
      <c r="L375" t="n">
        <v>0</v>
      </c>
      <c r="M375" t="n">
        <v>0</v>
      </c>
      <c r="N375" t="n">
        <v>0</v>
      </c>
      <c r="O375" t="n">
        <v>0</v>
      </c>
      <c r="P375" t="n">
        <v>0</v>
      </c>
      <c r="Q375" t="n">
        <v>0</v>
      </c>
      <c r="R375" s="2" t="inlineStr"/>
    </row>
    <row r="376" ht="15" customHeight="1">
      <c r="A376" t="inlineStr">
        <is>
          <t>A 61520-2019</t>
        </is>
      </c>
      <c r="B376" s="1" t="n">
        <v>43783</v>
      </c>
      <c r="C376" s="1" t="n">
        <v>45574</v>
      </c>
      <c r="D376" t="inlineStr">
        <is>
          <t>VÄSTERNORRLANDS LÄN</t>
        </is>
      </c>
      <c r="E376" t="inlineStr">
        <is>
          <t>ÅNGE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61918-2019</t>
        </is>
      </c>
      <c r="B377" s="1" t="n">
        <v>43787</v>
      </c>
      <c r="C377" s="1" t="n">
        <v>45574</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61862-2019</t>
        </is>
      </c>
      <c r="B378" s="1" t="n">
        <v>43787</v>
      </c>
      <c r="C378" s="1" t="n">
        <v>45574</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62222-2019</t>
        </is>
      </c>
      <c r="B379" s="1" t="n">
        <v>43788</v>
      </c>
      <c r="C379" s="1" t="n">
        <v>45574</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62547-2019</t>
        </is>
      </c>
      <c r="B380" s="1" t="n">
        <v>43789</v>
      </c>
      <c r="C380" s="1" t="n">
        <v>45574</v>
      </c>
      <c r="D380" t="inlineStr">
        <is>
          <t>VÄSTERNORRLANDS LÄN</t>
        </is>
      </c>
      <c r="E380" t="inlineStr">
        <is>
          <t>ÅNGE</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62925-2019</t>
        </is>
      </c>
      <c r="B381" s="1" t="n">
        <v>43790</v>
      </c>
      <c r="C381" s="1" t="n">
        <v>45574</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63300-2019</t>
        </is>
      </c>
      <c r="B382" s="1" t="n">
        <v>43794</v>
      </c>
      <c r="C382" s="1" t="n">
        <v>45574</v>
      </c>
      <c r="D382" t="inlineStr">
        <is>
          <t>VÄSTERNORRLANDS LÄN</t>
        </is>
      </c>
      <c r="E382" t="inlineStr">
        <is>
          <t>ÅNGE</t>
        </is>
      </c>
      <c r="G382" t="n">
        <v>3</v>
      </c>
      <c r="H382" t="n">
        <v>0</v>
      </c>
      <c r="I382" t="n">
        <v>0</v>
      </c>
      <c r="J382" t="n">
        <v>0</v>
      </c>
      <c r="K382" t="n">
        <v>0</v>
      </c>
      <c r="L382" t="n">
        <v>0</v>
      </c>
      <c r="M382" t="n">
        <v>0</v>
      </c>
      <c r="N382" t="n">
        <v>0</v>
      </c>
      <c r="O382" t="n">
        <v>0</v>
      </c>
      <c r="P382" t="n">
        <v>0</v>
      </c>
      <c r="Q382" t="n">
        <v>0</v>
      </c>
      <c r="R382" s="2" t="inlineStr"/>
    </row>
    <row r="383" ht="15" customHeight="1">
      <c r="A383" t="inlineStr">
        <is>
          <t>A 63329-2019</t>
        </is>
      </c>
      <c r="B383" s="1" t="n">
        <v>43794</v>
      </c>
      <c r="C383" s="1" t="n">
        <v>45574</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63453-2019</t>
        </is>
      </c>
      <c r="B384" s="1" t="n">
        <v>43794</v>
      </c>
      <c r="C384" s="1" t="n">
        <v>45574</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63324-2019</t>
        </is>
      </c>
      <c r="B385" s="1" t="n">
        <v>43794</v>
      </c>
      <c r="C385" s="1" t="n">
        <v>45574</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63549-2019</t>
        </is>
      </c>
      <c r="B386" s="1" t="n">
        <v>43794</v>
      </c>
      <c r="C386" s="1" t="n">
        <v>45574</v>
      </c>
      <c r="D386" t="inlineStr">
        <is>
          <t>VÄSTERNORRLANDS LÄN</t>
        </is>
      </c>
      <c r="E386" t="inlineStr">
        <is>
          <t>ÅNGE</t>
        </is>
      </c>
      <c r="F386" t="inlineStr">
        <is>
          <t>SCA</t>
        </is>
      </c>
      <c r="G386" t="n">
        <v>7.5</v>
      </c>
      <c r="H386" t="n">
        <v>0</v>
      </c>
      <c r="I386" t="n">
        <v>0</v>
      </c>
      <c r="J386" t="n">
        <v>0</v>
      </c>
      <c r="K386" t="n">
        <v>0</v>
      </c>
      <c r="L386" t="n">
        <v>0</v>
      </c>
      <c r="M386" t="n">
        <v>0</v>
      </c>
      <c r="N386" t="n">
        <v>0</v>
      </c>
      <c r="O386" t="n">
        <v>0</v>
      </c>
      <c r="P386" t="n">
        <v>0</v>
      </c>
      <c r="Q386" t="n">
        <v>0</v>
      </c>
      <c r="R386" s="2" t="inlineStr"/>
    </row>
    <row r="387" ht="15" customHeight="1">
      <c r="A387" t="inlineStr">
        <is>
          <t>A 63454-2019</t>
        </is>
      </c>
      <c r="B387" s="1" t="n">
        <v>43794</v>
      </c>
      <c r="C387" s="1" t="n">
        <v>45574</v>
      </c>
      <c r="D387" t="inlineStr">
        <is>
          <t>VÄSTERNORRLANDS LÄN</t>
        </is>
      </c>
      <c r="E387" t="inlineStr">
        <is>
          <t>ÅNGE</t>
        </is>
      </c>
      <c r="G387" t="n">
        <v>1.2</v>
      </c>
      <c r="H387" t="n">
        <v>0</v>
      </c>
      <c r="I387" t="n">
        <v>0</v>
      </c>
      <c r="J387" t="n">
        <v>0</v>
      </c>
      <c r="K387" t="n">
        <v>0</v>
      </c>
      <c r="L387" t="n">
        <v>0</v>
      </c>
      <c r="M387" t="n">
        <v>0</v>
      </c>
      <c r="N387" t="n">
        <v>0</v>
      </c>
      <c r="O387" t="n">
        <v>0</v>
      </c>
      <c r="P387" t="n">
        <v>0</v>
      </c>
      <c r="Q387" t="n">
        <v>0</v>
      </c>
      <c r="R387" s="2" t="inlineStr"/>
    </row>
    <row r="388" ht="15" customHeight="1">
      <c r="A388" t="inlineStr">
        <is>
          <t>A 63679-2019</t>
        </is>
      </c>
      <c r="B388" s="1" t="n">
        <v>43795</v>
      </c>
      <c r="C388" s="1" t="n">
        <v>45574</v>
      </c>
      <c r="D388" t="inlineStr">
        <is>
          <t>VÄSTERNORRLANDS LÄN</t>
        </is>
      </c>
      <c r="E388" t="inlineStr">
        <is>
          <t>ÅNGE</t>
        </is>
      </c>
      <c r="G388" t="n">
        <v>3.7</v>
      </c>
      <c r="H388" t="n">
        <v>0</v>
      </c>
      <c r="I388" t="n">
        <v>0</v>
      </c>
      <c r="J388" t="n">
        <v>0</v>
      </c>
      <c r="K388" t="n">
        <v>0</v>
      </c>
      <c r="L388" t="n">
        <v>0</v>
      </c>
      <c r="M388" t="n">
        <v>0</v>
      </c>
      <c r="N388" t="n">
        <v>0</v>
      </c>
      <c r="O388" t="n">
        <v>0</v>
      </c>
      <c r="P388" t="n">
        <v>0</v>
      </c>
      <c r="Q388" t="n">
        <v>0</v>
      </c>
      <c r="R388" s="2" t="inlineStr"/>
    </row>
    <row r="389" ht="15" customHeight="1">
      <c r="A389" t="inlineStr">
        <is>
          <t>A 63677-2019</t>
        </is>
      </c>
      <c r="B389" s="1" t="n">
        <v>43795</v>
      </c>
      <c r="C389" s="1" t="n">
        <v>45574</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63683-2019</t>
        </is>
      </c>
      <c r="B390" s="1" t="n">
        <v>43795</v>
      </c>
      <c r="C390" s="1" t="n">
        <v>45574</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65050-2019</t>
        </is>
      </c>
      <c r="B391" s="1" t="n">
        <v>43801</v>
      </c>
      <c r="C391" s="1" t="n">
        <v>45574</v>
      </c>
      <c r="D391" t="inlineStr">
        <is>
          <t>VÄSTERNORRLANDS LÄN</t>
        </is>
      </c>
      <c r="E391" t="inlineStr">
        <is>
          <t>ÅNGE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65046-2019</t>
        </is>
      </c>
      <c r="B392" s="1" t="n">
        <v>43801</v>
      </c>
      <c r="C392" s="1" t="n">
        <v>45574</v>
      </c>
      <c r="D392" t="inlineStr">
        <is>
          <t>VÄSTERNORRLANDS LÄN</t>
        </is>
      </c>
      <c r="E392" t="inlineStr">
        <is>
          <t>ÅNGE</t>
        </is>
      </c>
      <c r="G392" t="n">
        <v>17.3</v>
      </c>
      <c r="H392" t="n">
        <v>0</v>
      </c>
      <c r="I392" t="n">
        <v>0</v>
      </c>
      <c r="J392" t="n">
        <v>0</v>
      </c>
      <c r="K392" t="n">
        <v>0</v>
      </c>
      <c r="L392" t="n">
        <v>0</v>
      </c>
      <c r="M392" t="n">
        <v>0</v>
      </c>
      <c r="N392" t="n">
        <v>0</v>
      </c>
      <c r="O392" t="n">
        <v>0</v>
      </c>
      <c r="P392" t="n">
        <v>0</v>
      </c>
      <c r="Q392" t="n">
        <v>0</v>
      </c>
      <c r="R392" s="2" t="inlineStr"/>
    </row>
    <row r="393" ht="15" customHeight="1">
      <c r="A393" t="inlineStr">
        <is>
          <t>A 65049-2019</t>
        </is>
      </c>
      <c r="B393" s="1" t="n">
        <v>43801</v>
      </c>
      <c r="C393" s="1" t="n">
        <v>45574</v>
      </c>
      <c r="D393" t="inlineStr">
        <is>
          <t>VÄSTERNORRLANDS LÄN</t>
        </is>
      </c>
      <c r="E393" t="inlineStr">
        <is>
          <t>ÅNGE</t>
        </is>
      </c>
      <c r="G393" t="n">
        <v>3.3</v>
      </c>
      <c r="H393" t="n">
        <v>0</v>
      </c>
      <c r="I393" t="n">
        <v>0</v>
      </c>
      <c r="J393" t="n">
        <v>0</v>
      </c>
      <c r="K393" t="n">
        <v>0</v>
      </c>
      <c r="L393" t="n">
        <v>0</v>
      </c>
      <c r="M393" t="n">
        <v>0</v>
      </c>
      <c r="N393" t="n">
        <v>0</v>
      </c>
      <c r="O393" t="n">
        <v>0</v>
      </c>
      <c r="P393" t="n">
        <v>0</v>
      </c>
      <c r="Q393" t="n">
        <v>0</v>
      </c>
      <c r="R393" s="2" t="inlineStr"/>
    </row>
    <row r="394" ht="15" customHeight="1">
      <c r="A394" t="inlineStr">
        <is>
          <t>A 65048-2019</t>
        </is>
      </c>
      <c r="B394" s="1" t="n">
        <v>43801</v>
      </c>
      <c r="C394" s="1" t="n">
        <v>45574</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65951-2019</t>
        </is>
      </c>
      <c r="B395" s="1" t="n">
        <v>43805</v>
      </c>
      <c r="C395" s="1" t="n">
        <v>45574</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65909-2019</t>
        </is>
      </c>
      <c r="B396" s="1" t="n">
        <v>43805</v>
      </c>
      <c r="C396" s="1" t="n">
        <v>45574</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66048-2019</t>
        </is>
      </c>
      <c r="B397" s="1" t="n">
        <v>43805</v>
      </c>
      <c r="C397" s="1" t="n">
        <v>45574</v>
      </c>
      <c r="D397" t="inlineStr">
        <is>
          <t>VÄSTERNORRLANDS LÄN</t>
        </is>
      </c>
      <c r="E397" t="inlineStr">
        <is>
          <t>ÅNGE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66017-2019</t>
        </is>
      </c>
      <c r="B398" s="1" t="n">
        <v>43805</v>
      </c>
      <c r="C398" s="1" t="n">
        <v>45574</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66013-2019</t>
        </is>
      </c>
      <c r="B399" s="1" t="n">
        <v>43805</v>
      </c>
      <c r="C399" s="1" t="n">
        <v>45574</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68809-2019</t>
        </is>
      </c>
      <c r="B400" s="1" t="n">
        <v>43815</v>
      </c>
      <c r="C400" s="1" t="n">
        <v>45574</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714-2020</t>
        </is>
      </c>
      <c r="B401" s="1" t="n">
        <v>43818</v>
      </c>
      <c r="C401" s="1" t="n">
        <v>45574</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68807-2019</t>
        </is>
      </c>
      <c r="B402" s="1" t="n">
        <v>43819</v>
      </c>
      <c r="C402" s="1" t="n">
        <v>45574</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69169-2019</t>
        </is>
      </c>
      <c r="B403" s="1" t="n">
        <v>43830</v>
      </c>
      <c r="C403" s="1" t="n">
        <v>45574</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69171-2019</t>
        </is>
      </c>
      <c r="B404" s="1" t="n">
        <v>43830</v>
      </c>
      <c r="C404" s="1" t="n">
        <v>45574</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114-2020</t>
        </is>
      </c>
      <c r="B405" s="1" t="n">
        <v>43832</v>
      </c>
      <c r="C405" s="1" t="n">
        <v>45574</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531-2020</t>
        </is>
      </c>
      <c r="B406" s="1" t="n">
        <v>43837</v>
      </c>
      <c r="C406" s="1" t="n">
        <v>45574</v>
      </c>
      <c r="D406" t="inlineStr">
        <is>
          <t>VÄSTERNORRLANDS LÄN</t>
        </is>
      </c>
      <c r="E406" t="inlineStr">
        <is>
          <t>ÅNGE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664-2020</t>
        </is>
      </c>
      <c r="B407" s="1" t="n">
        <v>43838</v>
      </c>
      <c r="C407" s="1" t="n">
        <v>45574</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2650-2020</t>
        </is>
      </c>
      <c r="B408" s="1" t="n">
        <v>43847</v>
      </c>
      <c r="C408" s="1" t="n">
        <v>45574</v>
      </c>
      <c r="D408" t="inlineStr">
        <is>
          <t>VÄSTERNORRLANDS LÄN</t>
        </is>
      </c>
      <c r="E408" t="inlineStr">
        <is>
          <t>ÅNGE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3658-2020</t>
        </is>
      </c>
      <c r="B409" s="1" t="n">
        <v>43853</v>
      </c>
      <c r="C409" s="1" t="n">
        <v>45574</v>
      </c>
      <c r="D409" t="inlineStr">
        <is>
          <t>VÄSTERNORRLANDS LÄN</t>
        </is>
      </c>
      <c r="E409" t="inlineStr">
        <is>
          <t>ÅNGE</t>
        </is>
      </c>
      <c r="G409" t="n">
        <v>4.4</v>
      </c>
      <c r="H409" t="n">
        <v>0</v>
      </c>
      <c r="I409" t="n">
        <v>0</v>
      </c>
      <c r="J409" t="n">
        <v>0</v>
      </c>
      <c r="K409" t="n">
        <v>0</v>
      </c>
      <c r="L409" t="n">
        <v>0</v>
      </c>
      <c r="M409" t="n">
        <v>0</v>
      </c>
      <c r="N409" t="n">
        <v>0</v>
      </c>
      <c r="O409" t="n">
        <v>0</v>
      </c>
      <c r="P409" t="n">
        <v>0</v>
      </c>
      <c r="Q409" t="n">
        <v>0</v>
      </c>
      <c r="R409" s="2" t="inlineStr"/>
    </row>
    <row r="410" ht="15" customHeight="1">
      <c r="A410" t="inlineStr">
        <is>
          <t>A 3664-2020</t>
        </is>
      </c>
      <c r="B410" s="1" t="n">
        <v>43853</v>
      </c>
      <c r="C410" s="1" t="n">
        <v>45574</v>
      </c>
      <c r="D410" t="inlineStr">
        <is>
          <t>VÄSTERNORRLANDS LÄN</t>
        </is>
      </c>
      <c r="E410" t="inlineStr">
        <is>
          <t>ÅNGE</t>
        </is>
      </c>
      <c r="G410" t="n">
        <v>10.8</v>
      </c>
      <c r="H410" t="n">
        <v>0</v>
      </c>
      <c r="I410" t="n">
        <v>0</v>
      </c>
      <c r="J410" t="n">
        <v>0</v>
      </c>
      <c r="K410" t="n">
        <v>0</v>
      </c>
      <c r="L410" t="n">
        <v>0</v>
      </c>
      <c r="M410" t="n">
        <v>0</v>
      </c>
      <c r="N410" t="n">
        <v>0</v>
      </c>
      <c r="O410" t="n">
        <v>0</v>
      </c>
      <c r="P410" t="n">
        <v>0</v>
      </c>
      <c r="Q410" t="n">
        <v>0</v>
      </c>
      <c r="R410" s="2" t="inlineStr"/>
    </row>
    <row r="411" ht="15" customHeight="1">
      <c r="A411" t="inlineStr">
        <is>
          <t>A 3993-2020</t>
        </is>
      </c>
      <c r="B411" s="1" t="n">
        <v>43856</v>
      </c>
      <c r="C411" s="1" t="n">
        <v>45574</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4365-2020</t>
        </is>
      </c>
      <c r="B412" s="1" t="n">
        <v>43857</v>
      </c>
      <c r="C412" s="1" t="n">
        <v>45574</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4458-2020</t>
        </is>
      </c>
      <c r="B413" s="1" t="n">
        <v>43858</v>
      </c>
      <c r="C413" s="1" t="n">
        <v>45574</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5102-2020</t>
        </is>
      </c>
      <c r="B414" s="1" t="n">
        <v>43859</v>
      </c>
      <c r="C414" s="1" t="n">
        <v>45574</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5975-2020</t>
        </is>
      </c>
      <c r="B415" s="1" t="n">
        <v>43864</v>
      </c>
      <c r="C415" s="1" t="n">
        <v>45574</v>
      </c>
      <c r="D415" t="inlineStr">
        <is>
          <t>VÄSTERNORRLANDS LÄN</t>
        </is>
      </c>
      <c r="E415" t="inlineStr">
        <is>
          <t>ÅNGE</t>
        </is>
      </c>
      <c r="G415" t="n">
        <v>6.5</v>
      </c>
      <c r="H415" t="n">
        <v>0</v>
      </c>
      <c r="I415" t="n">
        <v>0</v>
      </c>
      <c r="J415" t="n">
        <v>0</v>
      </c>
      <c r="K415" t="n">
        <v>0</v>
      </c>
      <c r="L415" t="n">
        <v>0</v>
      </c>
      <c r="M415" t="n">
        <v>0</v>
      </c>
      <c r="N415" t="n">
        <v>0</v>
      </c>
      <c r="O415" t="n">
        <v>0</v>
      </c>
      <c r="P415" t="n">
        <v>0</v>
      </c>
      <c r="Q415" t="n">
        <v>0</v>
      </c>
      <c r="R415" s="2" t="inlineStr"/>
    </row>
    <row r="416" ht="15" customHeight="1">
      <c r="A416" t="inlineStr">
        <is>
          <t>A 6393-2020</t>
        </is>
      </c>
      <c r="B416" s="1" t="n">
        <v>43866</v>
      </c>
      <c r="C416" s="1" t="n">
        <v>45574</v>
      </c>
      <c r="D416" t="inlineStr">
        <is>
          <t>VÄSTERNORRLANDS LÄN</t>
        </is>
      </c>
      <c r="E416" t="inlineStr">
        <is>
          <t>ÅNGE</t>
        </is>
      </c>
      <c r="G416" t="n">
        <v>3.4</v>
      </c>
      <c r="H416" t="n">
        <v>0</v>
      </c>
      <c r="I416" t="n">
        <v>0</v>
      </c>
      <c r="J416" t="n">
        <v>0</v>
      </c>
      <c r="K416" t="n">
        <v>0</v>
      </c>
      <c r="L416" t="n">
        <v>0</v>
      </c>
      <c r="M416" t="n">
        <v>0</v>
      </c>
      <c r="N416" t="n">
        <v>0</v>
      </c>
      <c r="O416" t="n">
        <v>0</v>
      </c>
      <c r="P416" t="n">
        <v>0</v>
      </c>
      <c r="Q416" t="n">
        <v>0</v>
      </c>
      <c r="R416" s="2" t="inlineStr"/>
    </row>
    <row r="417" ht="15" customHeight="1">
      <c r="A417" t="inlineStr">
        <is>
          <t>A 6557-2020</t>
        </is>
      </c>
      <c r="B417" s="1" t="n">
        <v>43867</v>
      </c>
      <c r="C417" s="1" t="n">
        <v>45574</v>
      </c>
      <c r="D417" t="inlineStr">
        <is>
          <t>VÄSTERNORRLANDS LÄN</t>
        </is>
      </c>
      <c r="E417" t="inlineStr">
        <is>
          <t>ÅNGE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6551-2020</t>
        </is>
      </c>
      <c r="B418" s="1" t="n">
        <v>43867</v>
      </c>
      <c r="C418" s="1" t="n">
        <v>45574</v>
      </c>
      <c r="D418" t="inlineStr">
        <is>
          <t>VÄSTERNORRLANDS LÄN</t>
        </is>
      </c>
      <c r="E418" t="inlineStr">
        <is>
          <t>ÅNGE</t>
        </is>
      </c>
      <c r="G418" t="n">
        <v>12.5</v>
      </c>
      <c r="H418" t="n">
        <v>0</v>
      </c>
      <c r="I418" t="n">
        <v>0</v>
      </c>
      <c r="J418" t="n">
        <v>0</v>
      </c>
      <c r="K418" t="n">
        <v>0</v>
      </c>
      <c r="L418" t="n">
        <v>0</v>
      </c>
      <c r="M418" t="n">
        <v>0</v>
      </c>
      <c r="N418" t="n">
        <v>0</v>
      </c>
      <c r="O418" t="n">
        <v>0</v>
      </c>
      <c r="P418" t="n">
        <v>0</v>
      </c>
      <c r="Q418" t="n">
        <v>0</v>
      </c>
      <c r="R418" s="2" t="inlineStr"/>
    </row>
    <row r="419" ht="15" customHeight="1">
      <c r="A419" t="inlineStr">
        <is>
          <t>A 6563-2020</t>
        </is>
      </c>
      <c r="B419" s="1" t="n">
        <v>43867</v>
      </c>
      <c r="C419" s="1" t="n">
        <v>45574</v>
      </c>
      <c r="D419" t="inlineStr">
        <is>
          <t>VÄSTERNORRLANDS LÄN</t>
        </is>
      </c>
      <c r="E419" t="inlineStr">
        <is>
          <t>ÅNGE</t>
        </is>
      </c>
      <c r="G419" t="n">
        <v>6.7</v>
      </c>
      <c r="H419" t="n">
        <v>0</v>
      </c>
      <c r="I419" t="n">
        <v>0</v>
      </c>
      <c r="J419" t="n">
        <v>0</v>
      </c>
      <c r="K419" t="n">
        <v>0</v>
      </c>
      <c r="L419" t="n">
        <v>0</v>
      </c>
      <c r="M419" t="n">
        <v>0</v>
      </c>
      <c r="N419" t="n">
        <v>0</v>
      </c>
      <c r="O419" t="n">
        <v>0</v>
      </c>
      <c r="P419" t="n">
        <v>0</v>
      </c>
      <c r="Q419" t="n">
        <v>0</v>
      </c>
      <c r="R419" s="2" t="inlineStr"/>
    </row>
    <row r="420" ht="15" customHeight="1">
      <c r="A420" t="inlineStr">
        <is>
          <t>A 6555-2020</t>
        </is>
      </c>
      <c r="B420" s="1" t="n">
        <v>43867</v>
      </c>
      <c r="C420" s="1" t="n">
        <v>45574</v>
      </c>
      <c r="D420" t="inlineStr">
        <is>
          <t>VÄSTERNORRLANDS LÄN</t>
        </is>
      </c>
      <c r="E420" t="inlineStr">
        <is>
          <t>ÅNGE</t>
        </is>
      </c>
      <c r="G420" t="n">
        <v>6.7</v>
      </c>
      <c r="H420" t="n">
        <v>0</v>
      </c>
      <c r="I420" t="n">
        <v>0</v>
      </c>
      <c r="J420" t="n">
        <v>0</v>
      </c>
      <c r="K420" t="n">
        <v>0</v>
      </c>
      <c r="L420" t="n">
        <v>0</v>
      </c>
      <c r="M420" t="n">
        <v>0</v>
      </c>
      <c r="N420" t="n">
        <v>0</v>
      </c>
      <c r="O420" t="n">
        <v>0</v>
      </c>
      <c r="P420" t="n">
        <v>0</v>
      </c>
      <c r="Q420" t="n">
        <v>0</v>
      </c>
      <c r="R420" s="2" t="inlineStr"/>
    </row>
    <row r="421" ht="15" customHeight="1">
      <c r="A421" t="inlineStr">
        <is>
          <t>A 6562-2020</t>
        </is>
      </c>
      <c r="B421" s="1" t="n">
        <v>43867</v>
      </c>
      <c r="C421" s="1" t="n">
        <v>45574</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6565-2020</t>
        </is>
      </c>
      <c r="B422" s="1" t="n">
        <v>43867</v>
      </c>
      <c r="C422" s="1" t="n">
        <v>45574</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7787-2020</t>
        </is>
      </c>
      <c r="B423" s="1" t="n">
        <v>43872</v>
      </c>
      <c r="C423" s="1" t="n">
        <v>45574</v>
      </c>
      <c r="D423" t="inlineStr">
        <is>
          <t>VÄSTERNORRLANDS LÄN</t>
        </is>
      </c>
      <c r="E423" t="inlineStr">
        <is>
          <t>ÅNGE</t>
        </is>
      </c>
      <c r="F423" t="inlineStr">
        <is>
          <t>SCA</t>
        </is>
      </c>
      <c r="G423" t="n">
        <v>22.8</v>
      </c>
      <c r="H423" t="n">
        <v>0</v>
      </c>
      <c r="I423" t="n">
        <v>0</v>
      </c>
      <c r="J423" t="n">
        <v>0</v>
      </c>
      <c r="K423" t="n">
        <v>0</v>
      </c>
      <c r="L423" t="n">
        <v>0</v>
      </c>
      <c r="M423" t="n">
        <v>0</v>
      </c>
      <c r="N423" t="n">
        <v>0</v>
      </c>
      <c r="O423" t="n">
        <v>0</v>
      </c>
      <c r="P423" t="n">
        <v>0</v>
      </c>
      <c r="Q423" t="n">
        <v>0</v>
      </c>
      <c r="R423" s="2" t="inlineStr"/>
    </row>
    <row r="424" ht="15" customHeight="1">
      <c r="A424" t="inlineStr">
        <is>
          <t>A 8533-2020</t>
        </is>
      </c>
      <c r="B424" s="1" t="n">
        <v>43875</v>
      </c>
      <c r="C424" s="1" t="n">
        <v>45574</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8534-2020</t>
        </is>
      </c>
      <c r="B425" s="1" t="n">
        <v>43875</v>
      </c>
      <c r="C425" s="1" t="n">
        <v>45574</v>
      </c>
      <c r="D425" t="inlineStr">
        <is>
          <t>VÄSTERNORRLANDS LÄN</t>
        </is>
      </c>
      <c r="E425" t="inlineStr">
        <is>
          <t>ÅNGE</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10144-2020</t>
        </is>
      </c>
      <c r="B426" s="1" t="n">
        <v>43886</v>
      </c>
      <c r="C426" s="1" t="n">
        <v>45574</v>
      </c>
      <c r="D426" t="inlineStr">
        <is>
          <t>VÄSTERNORRLANDS LÄN</t>
        </is>
      </c>
      <c r="E426" t="inlineStr">
        <is>
          <t>ÅNGE</t>
        </is>
      </c>
      <c r="F426" t="inlineStr">
        <is>
          <t>SCA</t>
        </is>
      </c>
      <c r="G426" t="n">
        <v>21.7</v>
      </c>
      <c r="H426" t="n">
        <v>0</v>
      </c>
      <c r="I426" t="n">
        <v>0</v>
      </c>
      <c r="J426" t="n">
        <v>0</v>
      </c>
      <c r="K426" t="n">
        <v>0</v>
      </c>
      <c r="L426" t="n">
        <v>0</v>
      </c>
      <c r="M426" t="n">
        <v>0</v>
      </c>
      <c r="N426" t="n">
        <v>0</v>
      </c>
      <c r="O426" t="n">
        <v>0</v>
      </c>
      <c r="P426" t="n">
        <v>0</v>
      </c>
      <c r="Q426" t="n">
        <v>0</v>
      </c>
      <c r="R426" s="2" t="inlineStr"/>
    </row>
    <row r="427" ht="15" customHeight="1">
      <c r="A427" t="inlineStr">
        <is>
          <t>A 10145-2020</t>
        </is>
      </c>
      <c r="B427" s="1" t="n">
        <v>43886</v>
      </c>
      <c r="C427" s="1" t="n">
        <v>45574</v>
      </c>
      <c r="D427" t="inlineStr">
        <is>
          <t>VÄSTERNORRLANDS LÄN</t>
        </is>
      </c>
      <c r="E427" t="inlineStr">
        <is>
          <t>ÅNGE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11101-2020</t>
        </is>
      </c>
      <c r="B428" s="1" t="n">
        <v>43889</v>
      </c>
      <c r="C428" s="1" t="n">
        <v>45574</v>
      </c>
      <c r="D428" t="inlineStr">
        <is>
          <t>VÄSTERNORRLANDS LÄN</t>
        </is>
      </c>
      <c r="E428" t="inlineStr">
        <is>
          <t>ÅNGE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12866-2020</t>
        </is>
      </c>
      <c r="B429" s="1" t="n">
        <v>43899</v>
      </c>
      <c r="C429" s="1" t="n">
        <v>45574</v>
      </c>
      <c r="D429" t="inlineStr">
        <is>
          <t>VÄSTERNORRLANDS LÄN</t>
        </is>
      </c>
      <c r="E429" t="inlineStr">
        <is>
          <t>ÅNGE</t>
        </is>
      </c>
      <c r="G429" t="n">
        <v>3.2</v>
      </c>
      <c r="H429" t="n">
        <v>0</v>
      </c>
      <c r="I429" t="n">
        <v>0</v>
      </c>
      <c r="J429" t="n">
        <v>0</v>
      </c>
      <c r="K429" t="n">
        <v>0</v>
      </c>
      <c r="L429" t="n">
        <v>0</v>
      </c>
      <c r="M429" t="n">
        <v>0</v>
      </c>
      <c r="N429" t="n">
        <v>0</v>
      </c>
      <c r="O429" t="n">
        <v>0</v>
      </c>
      <c r="P429" t="n">
        <v>0</v>
      </c>
      <c r="Q429" t="n">
        <v>0</v>
      </c>
      <c r="R429" s="2" t="inlineStr"/>
    </row>
    <row r="430" ht="15" customHeight="1">
      <c r="A430" t="inlineStr">
        <is>
          <t>A 12868-2020</t>
        </is>
      </c>
      <c r="B430" s="1" t="n">
        <v>43899</v>
      </c>
      <c r="C430" s="1" t="n">
        <v>45574</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13559-2020</t>
        </is>
      </c>
      <c r="B431" s="1" t="n">
        <v>43902</v>
      </c>
      <c r="C431" s="1" t="n">
        <v>45574</v>
      </c>
      <c r="D431" t="inlineStr">
        <is>
          <t>VÄSTERNORRLANDS LÄN</t>
        </is>
      </c>
      <c r="E431" t="inlineStr">
        <is>
          <t>ÅNGE</t>
        </is>
      </c>
      <c r="F431" t="inlineStr">
        <is>
          <t>SCA</t>
        </is>
      </c>
      <c r="G431" t="n">
        <v>24.5</v>
      </c>
      <c r="H431" t="n">
        <v>0</v>
      </c>
      <c r="I431" t="n">
        <v>0</v>
      </c>
      <c r="J431" t="n">
        <v>0</v>
      </c>
      <c r="K431" t="n">
        <v>0</v>
      </c>
      <c r="L431" t="n">
        <v>0</v>
      </c>
      <c r="M431" t="n">
        <v>0</v>
      </c>
      <c r="N431" t="n">
        <v>0</v>
      </c>
      <c r="O431" t="n">
        <v>0</v>
      </c>
      <c r="P431" t="n">
        <v>0</v>
      </c>
      <c r="Q431" t="n">
        <v>0</v>
      </c>
      <c r="R431" s="2" t="inlineStr"/>
    </row>
    <row r="432" ht="15" customHeight="1">
      <c r="A432" t="inlineStr">
        <is>
          <t>A 14586-2020</t>
        </is>
      </c>
      <c r="B432" s="1" t="n">
        <v>43908</v>
      </c>
      <c r="C432" s="1" t="n">
        <v>45574</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17101-2020</t>
        </is>
      </c>
      <c r="B433" s="1" t="n">
        <v>43914</v>
      </c>
      <c r="C433" s="1" t="n">
        <v>45574</v>
      </c>
      <c r="D433" t="inlineStr">
        <is>
          <t>VÄSTERNORRLANDS LÄN</t>
        </is>
      </c>
      <c r="E433" t="inlineStr">
        <is>
          <t>ÅNGE</t>
        </is>
      </c>
      <c r="G433" t="n">
        <v>3.7</v>
      </c>
      <c r="H433" t="n">
        <v>0</v>
      </c>
      <c r="I433" t="n">
        <v>0</v>
      </c>
      <c r="J433" t="n">
        <v>0</v>
      </c>
      <c r="K433" t="n">
        <v>0</v>
      </c>
      <c r="L433" t="n">
        <v>0</v>
      </c>
      <c r="M433" t="n">
        <v>0</v>
      </c>
      <c r="N433" t="n">
        <v>0</v>
      </c>
      <c r="O433" t="n">
        <v>0</v>
      </c>
      <c r="P433" t="n">
        <v>0</v>
      </c>
      <c r="Q433" t="n">
        <v>0</v>
      </c>
      <c r="R433" s="2" t="inlineStr"/>
    </row>
    <row r="434" ht="15" customHeight="1">
      <c r="A434" t="inlineStr">
        <is>
          <t>A 17098-2020</t>
        </is>
      </c>
      <c r="B434" s="1" t="n">
        <v>43914</v>
      </c>
      <c r="C434" s="1" t="n">
        <v>45574</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17007-2020</t>
        </is>
      </c>
      <c r="B435" s="1" t="n">
        <v>43921</v>
      </c>
      <c r="C435" s="1" t="n">
        <v>45574</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17069-2020</t>
        </is>
      </c>
      <c r="B436" s="1" t="n">
        <v>43921</v>
      </c>
      <c r="C436" s="1" t="n">
        <v>45574</v>
      </c>
      <c r="D436" t="inlineStr">
        <is>
          <t>VÄSTERNORRLANDS LÄN</t>
        </is>
      </c>
      <c r="E436" t="inlineStr">
        <is>
          <t>ÅNGE</t>
        </is>
      </c>
      <c r="F436" t="inlineStr">
        <is>
          <t>SCA</t>
        </is>
      </c>
      <c r="G436" t="n">
        <v>10.1</v>
      </c>
      <c r="H436" t="n">
        <v>0</v>
      </c>
      <c r="I436" t="n">
        <v>0</v>
      </c>
      <c r="J436" t="n">
        <v>0</v>
      </c>
      <c r="K436" t="n">
        <v>0</v>
      </c>
      <c r="L436" t="n">
        <v>0</v>
      </c>
      <c r="M436" t="n">
        <v>0</v>
      </c>
      <c r="N436" t="n">
        <v>0</v>
      </c>
      <c r="O436" t="n">
        <v>0</v>
      </c>
      <c r="P436" t="n">
        <v>0</v>
      </c>
      <c r="Q436" t="n">
        <v>0</v>
      </c>
      <c r="R436" s="2" t="inlineStr"/>
    </row>
    <row r="437" ht="15" customHeight="1">
      <c r="A437" t="inlineStr">
        <is>
          <t>A 19125-2020</t>
        </is>
      </c>
      <c r="B437" s="1" t="n">
        <v>43936</v>
      </c>
      <c r="C437" s="1" t="n">
        <v>45574</v>
      </c>
      <c r="D437" t="inlineStr">
        <is>
          <t>VÄSTERNORRLANDS LÄN</t>
        </is>
      </c>
      <c r="E437" t="inlineStr">
        <is>
          <t>ÅNGE</t>
        </is>
      </c>
      <c r="G437" t="n">
        <v>1.9</v>
      </c>
      <c r="H437" t="n">
        <v>0</v>
      </c>
      <c r="I437" t="n">
        <v>0</v>
      </c>
      <c r="J437" t="n">
        <v>0</v>
      </c>
      <c r="K437" t="n">
        <v>0</v>
      </c>
      <c r="L437" t="n">
        <v>0</v>
      </c>
      <c r="M437" t="n">
        <v>0</v>
      </c>
      <c r="N437" t="n">
        <v>0</v>
      </c>
      <c r="O437" t="n">
        <v>0</v>
      </c>
      <c r="P437" t="n">
        <v>0</v>
      </c>
      <c r="Q437" t="n">
        <v>0</v>
      </c>
      <c r="R437" s="2" t="inlineStr"/>
    </row>
    <row r="438" ht="15" customHeight="1">
      <c r="A438" t="inlineStr">
        <is>
          <t>A 19619-2020</t>
        </is>
      </c>
      <c r="B438" s="1" t="n">
        <v>43941</v>
      </c>
      <c r="C438" s="1" t="n">
        <v>45574</v>
      </c>
      <c r="D438" t="inlineStr">
        <is>
          <t>VÄSTERNORRLANDS LÄN</t>
        </is>
      </c>
      <c r="E438" t="inlineStr">
        <is>
          <t>ÅNGE</t>
        </is>
      </c>
      <c r="G438" t="n">
        <v>4.6</v>
      </c>
      <c r="H438" t="n">
        <v>0</v>
      </c>
      <c r="I438" t="n">
        <v>0</v>
      </c>
      <c r="J438" t="n">
        <v>0</v>
      </c>
      <c r="K438" t="n">
        <v>0</v>
      </c>
      <c r="L438" t="n">
        <v>0</v>
      </c>
      <c r="M438" t="n">
        <v>0</v>
      </c>
      <c r="N438" t="n">
        <v>0</v>
      </c>
      <c r="O438" t="n">
        <v>0</v>
      </c>
      <c r="P438" t="n">
        <v>0</v>
      </c>
      <c r="Q438" t="n">
        <v>0</v>
      </c>
      <c r="R438" s="2" t="inlineStr"/>
    </row>
    <row r="439" ht="15" customHeight="1">
      <c r="A439" t="inlineStr">
        <is>
          <t>A 20079-2020</t>
        </is>
      </c>
      <c r="B439" s="1" t="n">
        <v>43943</v>
      </c>
      <c r="C439" s="1" t="n">
        <v>45574</v>
      </c>
      <c r="D439" t="inlineStr">
        <is>
          <t>VÄSTERNORRLANDS LÄN</t>
        </is>
      </c>
      <c r="E439" t="inlineStr">
        <is>
          <t>ÅNGE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20211-2020</t>
        </is>
      </c>
      <c r="B440" s="1" t="n">
        <v>43944</v>
      </c>
      <c r="C440" s="1" t="n">
        <v>45574</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20192-2020</t>
        </is>
      </c>
      <c r="B441" s="1" t="n">
        <v>43944</v>
      </c>
      <c r="C441" s="1" t="n">
        <v>45574</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20820-2020</t>
        </is>
      </c>
      <c r="B442" s="1" t="n">
        <v>43949</v>
      </c>
      <c r="C442" s="1" t="n">
        <v>45574</v>
      </c>
      <c r="D442" t="inlineStr">
        <is>
          <t>VÄSTERNORRLANDS LÄN</t>
        </is>
      </c>
      <c r="E442" t="inlineStr">
        <is>
          <t>ÅNGE</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21207-2020</t>
        </is>
      </c>
      <c r="B443" s="1" t="n">
        <v>43951</v>
      </c>
      <c r="C443" s="1" t="n">
        <v>45574</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21763-2020</t>
        </is>
      </c>
      <c r="B444" s="1" t="n">
        <v>43957</v>
      </c>
      <c r="C444" s="1" t="n">
        <v>45574</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22041-2020</t>
        </is>
      </c>
      <c r="B445" s="1" t="n">
        <v>43959</v>
      </c>
      <c r="C445" s="1" t="n">
        <v>45574</v>
      </c>
      <c r="D445" t="inlineStr">
        <is>
          <t>VÄSTERNORRLANDS LÄN</t>
        </is>
      </c>
      <c r="E445" t="inlineStr">
        <is>
          <t>ÅNGE</t>
        </is>
      </c>
      <c r="G445" t="n">
        <v>4.5</v>
      </c>
      <c r="H445" t="n">
        <v>0</v>
      </c>
      <c r="I445" t="n">
        <v>0</v>
      </c>
      <c r="J445" t="n">
        <v>0</v>
      </c>
      <c r="K445" t="n">
        <v>0</v>
      </c>
      <c r="L445" t="n">
        <v>0</v>
      </c>
      <c r="M445" t="n">
        <v>0</v>
      </c>
      <c r="N445" t="n">
        <v>0</v>
      </c>
      <c r="O445" t="n">
        <v>0</v>
      </c>
      <c r="P445" t="n">
        <v>0</v>
      </c>
      <c r="Q445" t="n">
        <v>0</v>
      </c>
      <c r="R445" s="2" t="inlineStr"/>
    </row>
    <row r="446" ht="15" customHeight="1">
      <c r="A446" t="inlineStr">
        <is>
          <t>A 22039-2020</t>
        </is>
      </c>
      <c r="B446" s="1" t="n">
        <v>43959</v>
      </c>
      <c r="C446" s="1" t="n">
        <v>45574</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22552-2020</t>
        </is>
      </c>
      <c r="B447" s="1" t="n">
        <v>43963</v>
      </c>
      <c r="C447" s="1" t="n">
        <v>45574</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22690-2020</t>
        </is>
      </c>
      <c r="B448" s="1" t="n">
        <v>43963</v>
      </c>
      <c r="C448" s="1" t="n">
        <v>45574</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22911-2020</t>
        </is>
      </c>
      <c r="B449" s="1" t="n">
        <v>43964</v>
      </c>
      <c r="C449" s="1" t="n">
        <v>45574</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22907-2020</t>
        </is>
      </c>
      <c r="B450" s="1" t="n">
        <v>43964</v>
      </c>
      <c r="C450" s="1" t="n">
        <v>45574</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22909-2020</t>
        </is>
      </c>
      <c r="B451" s="1" t="n">
        <v>43964</v>
      </c>
      <c r="C451" s="1" t="n">
        <v>45574</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23352-2020</t>
        </is>
      </c>
      <c r="B452" s="1" t="n">
        <v>43966</v>
      </c>
      <c r="C452" s="1" t="n">
        <v>45574</v>
      </c>
      <c r="D452" t="inlineStr">
        <is>
          <t>VÄSTERNORRLANDS LÄN</t>
        </is>
      </c>
      <c r="E452" t="inlineStr">
        <is>
          <t>ÅNGE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23660-2020</t>
        </is>
      </c>
      <c r="B453" s="1" t="n">
        <v>43969</v>
      </c>
      <c r="C453" s="1" t="n">
        <v>45574</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24353-2020</t>
        </is>
      </c>
      <c r="B454" s="1" t="n">
        <v>43976</v>
      </c>
      <c r="C454" s="1" t="n">
        <v>45574</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24411-2020</t>
        </is>
      </c>
      <c r="B455" s="1" t="n">
        <v>43976</v>
      </c>
      <c r="C455" s="1" t="n">
        <v>45574</v>
      </c>
      <c r="D455" t="inlineStr">
        <is>
          <t>VÄSTERNORRLANDS LÄN</t>
        </is>
      </c>
      <c r="E455" t="inlineStr">
        <is>
          <t>ÅNGE</t>
        </is>
      </c>
      <c r="G455" t="n">
        <v>5.6</v>
      </c>
      <c r="H455" t="n">
        <v>0</v>
      </c>
      <c r="I455" t="n">
        <v>0</v>
      </c>
      <c r="J455" t="n">
        <v>0</v>
      </c>
      <c r="K455" t="n">
        <v>0</v>
      </c>
      <c r="L455" t="n">
        <v>0</v>
      </c>
      <c r="M455" t="n">
        <v>0</v>
      </c>
      <c r="N455" t="n">
        <v>0</v>
      </c>
      <c r="O455" t="n">
        <v>0</v>
      </c>
      <c r="P455" t="n">
        <v>0</v>
      </c>
      <c r="Q455" t="n">
        <v>0</v>
      </c>
      <c r="R455" s="2" t="inlineStr"/>
    </row>
    <row r="456" ht="15" customHeight="1">
      <c r="A456" t="inlineStr">
        <is>
          <t>A 24361-2020</t>
        </is>
      </c>
      <c r="B456" s="1" t="n">
        <v>43976</v>
      </c>
      <c r="C456" s="1" t="n">
        <v>45574</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24696-2020</t>
        </is>
      </c>
      <c r="B457" s="1" t="n">
        <v>43978</v>
      </c>
      <c r="C457" s="1" t="n">
        <v>45574</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24857-2020</t>
        </is>
      </c>
      <c r="B458" s="1" t="n">
        <v>43978</v>
      </c>
      <c r="C458" s="1" t="n">
        <v>45574</v>
      </c>
      <c r="D458" t="inlineStr">
        <is>
          <t>VÄSTERNORRLANDS LÄN</t>
        </is>
      </c>
      <c r="E458" t="inlineStr">
        <is>
          <t>ÅNGE</t>
        </is>
      </c>
      <c r="G458" t="n">
        <v>5</v>
      </c>
      <c r="H458" t="n">
        <v>0</v>
      </c>
      <c r="I458" t="n">
        <v>0</v>
      </c>
      <c r="J458" t="n">
        <v>0</v>
      </c>
      <c r="K458" t="n">
        <v>0</v>
      </c>
      <c r="L458" t="n">
        <v>0</v>
      </c>
      <c r="M458" t="n">
        <v>0</v>
      </c>
      <c r="N458" t="n">
        <v>0</v>
      </c>
      <c r="O458" t="n">
        <v>0</v>
      </c>
      <c r="P458" t="n">
        <v>0</v>
      </c>
      <c r="Q458" t="n">
        <v>0</v>
      </c>
      <c r="R458" s="2" t="inlineStr"/>
    </row>
    <row r="459" ht="15" customHeight="1">
      <c r="A459" t="inlineStr">
        <is>
          <t>A 24859-2020</t>
        </is>
      </c>
      <c r="B459" s="1" t="n">
        <v>43978</v>
      </c>
      <c r="C459" s="1" t="n">
        <v>45574</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25370-2020</t>
        </is>
      </c>
      <c r="B460" s="1" t="n">
        <v>43980</v>
      </c>
      <c r="C460" s="1" t="n">
        <v>45574</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26447-2020</t>
        </is>
      </c>
      <c r="B461" s="1" t="n">
        <v>43987</v>
      </c>
      <c r="C461" s="1" t="n">
        <v>45574</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27773-2020</t>
        </is>
      </c>
      <c r="B462" s="1" t="n">
        <v>43992</v>
      </c>
      <c r="C462" s="1" t="n">
        <v>45574</v>
      </c>
      <c r="D462" t="inlineStr">
        <is>
          <t>VÄSTERNORRLANDS LÄN</t>
        </is>
      </c>
      <c r="E462" t="inlineStr">
        <is>
          <t>ÅNGE</t>
        </is>
      </c>
      <c r="G462" t="n">
        <v>7.2</v>
      </c>
      <c r="H462" t="n">
        <v>0</v>
      </c>
      <c r="I462" t="n">
        <v>0</v>
      </c>
      <c r="J462" t="n">
        <v>0</v>
      </c>
      <c r="K462" t="n">
        <v>0</v>
      </c>
      <c r="L462" t="n">
        <v>0</v>
      </c>
      <c r="M462" t="n">
        <v>0</v>
      </c>
      <c r="N462" t="n">
        <v>0</v>
      </c>
      <c r="O462" t="n">
        <v>0</v>
      </c>
      <c r="P462" t="n">
        <v>0</v>
      </c>
      <c r="Q462" t="n">
        <v>0</v>
      </c>
      <c r="R462" s="2" t="inlineStr"/>
    </row>
    <row r="463" ht="15" customHeight="1">
      <c r="A463" t="inlineStr">
        <is>
          <t>A 28064-2020</t>
        </is>
      </c>
      <c r="B463" s="1" t="n">
        <v>43997</v>
      </c>
      <c r="C463" s="1" t="n">
        <v>45574</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28890-2020</t>
        </is>
      </c>
      <c r="B464" s="1" t="n">
        <v>44000</v>
      </c>
      <c r="C464" s="1" t="n">
        <v>45574</v>
      </c>
      <c r="D464" t="inlineStr">
        <is>
          <t>VÄSTERNORRLANDS LÄN</t>
        </is>
      </c>
      <c r="E464" t="inlineStr">
        <is>
          <t>ÅNGE</t>
        </is>
      </c>
      <c r="G464" t="n">
        <v>15.2</v>
      </c>
      <c r="H464" t="n">
        <v>0</v>
      </c>
      <c r="I464" t="n">
        <v>0</v>
      </c>
      <c r="J464" t="n">
        <v>0</v>
      </c>
      <c r="K464" t="n">
        <v>0</v>
      </c>
      <c r="L464" t="n">
        <v>0</v>
      </c>
      <c r="M464" t="n">
        <v>0</v>
      </c>
      <c r="N464" t="n">
        <v>0</v>
      </c>
      <c r="O464" t="n">
        <v>0</v>
      </c>
      <c r="P464" t="n">
        <v>0</v>
      </c>
      <c r="Q464" t="n">
        <v>0</v>
      </c>
      <c r="R464" s="2" t="inlineStr"/>
    </row>
    <row r="465" ht="15" customHeight="1">
      <c r="A465" t="inlineStr">
        <is>
          <t>A 28832-2020</t>
        </is>
      </c>
      <c r="B465" s="1" t="n">
        <v>44000</v>
      </c>
      <c r="C465" s="1" t="n">
        <v>45574</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29950-2020</t>
        </is>
      </c>
      <c r="B466" s="1" t="n">
        <v>44006</v>
      </c>
      <c r="C466" s="1" t="n">
        <v>45574</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31079-2020</t>
        </is>
      </c>
      <c r="B467" s="1" t="n">
        <v>44011</v>
      </c>
      <c r="C467" s="1" t="n">
        <v>45574</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31643-2020</t>
        </is>
      </c>
      <c r="B468" s="1" t="n">
        <v>44013</v>
      </c>
      <c r="C468" s="1" t="n">
        <v>45574</v>
      </c>
      <c r="D468" t="inlineStr">
        <is>
          <t>VÄSTERNORRLANDS LÄN</t>
        </is>
      </c>
      <c r="E468" t="inlineStr">
        <is>
          <t>ÅNGE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31867-2020</t>
        </is>
      </c>
      <c r="B469" s="1" t="n">
        <v>44014</v>
      </c>
      <c r="C469" s="1" t="n">
        <v>45574</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31926-2020</t>
        </is>
      </c>
      <c r="B470" s="1" t="n">
        <v>44014</v>
      </c>
      <c r="C470" s="1" t="n">
        <v>45574</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32299-2020</t>
        </is>
      </c>
      <c r="B471" s="1" t="n">
        <v>44015</v>
      </c>
      <c r="C471" s="1" t="n">
        <v>45574</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32303-2020</t>
        </is>
      </c>
      <c r="B472" s="1" t="n">
        <v>44015</v>
      </c>
      <c r="C472" s="1" t="n">
        <v>45574</v>
      </c>
      <c r="D472" t="inlineStr">
        <is>
          <t>VÄSTERNORRLANDS LÄN</t>
        </is>
      </c>
      <c r="E472" t="inlineStr">
        <is>
          <t>ÅNGE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32760-2020</t>
        </is>
      </c>
      <c r="B473" s="1" t="n">
        <v>44019</v>
      </c>
      <c r="C473" s="1" t="n">
        <v>45574</v>
      </c>
      <c r="D473" t="inlineStr">
        <is>
          <t>VÄSTERNORRLANDS LÄN</t>
        </is>
      </c>
      <c r="E473" t="inlineStr">
        <is>
          <t>ÅNGE</t>
        </is>
      </c>
      <c r="F473" t="inlineStr">
        <is>
          <t>SCA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33442-2020</t>
        </is>
      </c>
      <c r="B474" s="1" t="n">
        <v>44023</v>
      </c>
      <c r="C474" s="1" t="n">
        <v>45574</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33619-2020</t>
        </is>
      </c>
      <c r="B475" s="1" t="n">
        <v>44026</v>
      </c>
      <c r="C475" s="1" t="n">
        <v>45574</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33524-2020</t>
        </is>
      </c>
      <c r="B476" s="1" t="n">
        <v>44025</v>
      </c>
      <c r="C476" s="1" t="n">
        <v>45574</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34175-2020</t>
        </is>
      </c>
      <c r="B477" s="1" t="n">
        <v>44029</v>
      </c>
      <c r="C477" s="1" t="n">
        <v>45574</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34237-2020</t>
        </is>
      </c>
      <c r="B478" s="1" t="n">
        <v>44029</v>
      </c>
      <c r="C478" s="1" t="n">
        <v>45574</v>
      </c>
      <c r="D478" t="inlineStr">
        <is>
          <t>VÄSTERNORRLANDS LÄN</t>
        </is>
      </c>
      <c r="E478" t="inlineStr">
        <is>
          <t>ÅNGE</t>
        </is>
      </c>
      <c r="G478" t="n">
        <v>5.3</v>
      </c>
      <c r="H478" t="n">
        <v>0</v>
      </c>
      <c r="I478" t="n">
        <v>0</v>
      </c>
      <c r="J478" t="n">
        <v>0</v>
      </c>
      <c r="K478" t="n">
        <v>0</v>
      </c>
      <c r="L478" t="n">
        <v>0</v>
      </c>
      <c r="M478" t="n">
        <v>0</v>
      </c>
      <c r="N478" t="n">
        <v>0</v>
      </c>
      <c r="O478" t="n">
        <v>0</v>
      </c>
      <c r="P478" t="n">
        <v>0</v>
      </c>
      <c r="Q478" t="n">
        <v>0</v>
      </c>
      <c r="R478" s="2" t="inlineStr"/>
    </row>
    <row r="479" ht="15" customHeight="1">
      <c r="A479" t="inlineStr">
        <is>
          <t>A 34420-2020</t>
        </is>
      </c>
      <c r="B479" s="1" t="n">
        <v>44032</v>
      </c>
      <c r="C479" s="1" t="n">
        <v>45574</v>
      </c>
      <c r="D479" t="inlineStr">
        <is>
          <t>VÄSTERNORRLANDS LÄN</t>
        </is>
      </c>
      <c r="E479" t="inlineStr">
        <is>
          <t>ÅNGE</t>
        </is>
      </c>
      <c r="G479" t="n">
        <v>13.9</v>
      </c>
      <c r="H479" t="n">
        <v>0</v>
      </c>
      <c r="I479" t="n">
        <v>0</v>
      </c>
      <c r="J479" t="n">
        <v>0</v>
      </c>
      <c r="K479" t="n">
        <v>0</v>
      </c>
      <c r="L479" t="n">
        <v>0</v>
      </c>
      <c r="M479" t="n">
        <v>0</v>
      </c>
      <c r="N479" t="n">
        <v>0</v>
      </c>
      <c r="O479" t="n">
        <v>0</v>
      </c>
      <c r="P479" t="n">
        <v>0</v>
      </c>
      <c r="Q479" t="n">
        <v>0</v>
      </c>
      <c r="R479" s="2" t="inlineStr"/>
    </row>
    <row r="480" ht="15" customHeight="1">
      <c r="A480" t="inlineStr">
        <is>
          <t>A 34400-2020</t>
        </is>
      </c>
      <c r="B480" s="1" t="n">
        <v>44032</v>
      </c>
      <c r="C480" s="1" t="n">
        <v>45574</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34677-2020</t>
        </is>
      </c>
      <c r="B481" s="1" t="n">
        <v>44035</v>
      </c>
      <c r="C481" s="1" t="n">
        <v>45574</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34777-2020</t>
        </is>
      </c>
      <c r="B482" s="1" t="n">
        <v>44035</v>
      </c>
      <c r="C482" s="1" t="n">
        <v>45574</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34928-2020</t>
        </is>
      </c>
      <c r="B483" s="1" t="n">
        <v>44036</v>
      </c>
      <c r="C483" s="1" t="n">
        <v>45574</v>
      </c>
      <c r="D483" t="inlineStr">
        <is>
          <t>VÄSTERNORRLANDS LÄN</t>
        </is>
      </c>
      <c r="E483" t="inlineStr">
        <is>
          <t>ÅNGE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34974-2020</t>
        </is>
      </c>
      <c r="B484" s="1" t="n">
        <v>44039</v>
      </c>
      <c r="C484" s="1" t="n">
        <v>45574</v>
      </c>
      <c r="D484" t="inlineStr">
        <is>
          <t>VÄSTERNORRLANDS LÄN</t>
        </is>
      </c>
      <c r="E484" t="inlineStr">
        <is>
          <t>ÅNGE</t>
        </is>
      </c>
      <c r="G484" t="n">
        <v>3.4</v>
      </c>
      <c r="H484" t="n">
        <v>0</v>
      </c>
      <c r="I484" t="n">
        <v>0</v>
      </c>
      <c r="J484" t="n">
        <v>0</v>
      </c>
      <c r="K484" t="n">
        <v>0</v>
      </c>
      <c r="L484" t="n">
        <v>0</v>
      </c>
      <c r="M484" t="n">
        <v>0</v>
      </c>
      <c r="N484" t="n">
        <v>0</v>
      </c>
      <c r="O484" t="n">
        <v>0</v>
      </c>
      <c r="P484" t="n">
        <v>0</v>
      </c>
      <c r="Q484" t="n">
        <v>0</v>
      </c>
      <c r="R484" s="2" t="inlineStr"/>
    </row>
    <row r="485" ht="15" customHeight="1">
      <c r="A485" t="inlineStr">
        <is>
          <t>A 35419-2020</t>
        </is>
      </c>
      <c r="B485" s="1" t="n">
        <v>44042</v>
      </c>
      <c r="C485" s="1" t="n">
        <v>45574</v>
      </c>
      <c r="D485" t="inlineStr">
        <is>
          <t>VÄSTERNORRLANDS LÄN</t>
        </is>
      </c>
      <c r="E485" t="inlineStr">
        <is>
          <t>ÅNGE</t>
        </is>
      </c>
      <c r="F485" t="inlineStr">
        <is>
          <t>Holmen skog AB</t>
        </is>
      </c>
      <c r="G485" t="n">
        <v>7.8</v>
      </c>
      <c r="H485" t="n">
        <v>0</v>
      </c>
      <c r="I485" t="n">
        <v>0</v>
      </c>
      <c r="J485" t="n">
        <v>0</v>
      </c>
      <c r="K485" t="n">
        <v>0</v>
      </c>
      <c r="L485" t="n">
        <v>0</v>
      </c>
      <c r="M485" t="n">
        <v>0</v>
      </c>
      <c r="N485" t="n">
        <v>0</v>
      </c>
      <c r="O485" t="n">
        <v>0</v>
      </c>
      <c r="P485" t="n">
        <v>0</v>
      </c>
      <c r="Q485" t="n">
        <v>0</v>
      </c>
      <c r="R485" s="2" t="inlineStr"/>
    </row>
    <row r="486" ht="15" customHeight="1">
      <c r="A486" t="inlineStr">
        <is>
          <t>A 38871-2020</t>
        </is>
      </c>
      <c r="B486" s="1" t="n">
        <v>44062</v>
      </c>
      <c r="C486" s="1" t="n">
        <v>45574</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38894-2020</t>
        </is>
      </c>
      <c r="B487" s="1" t="n">
        <v>44062</v>
      </c>
      <c r="C487" s="1" t="n">
        <v>45574</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39919-2020</t>
        </is>
      </c>
      <c r="B488" s="1" t="n">
        <v>44063</v>
      </c>
      <c r="C488" s="1" t="n">
        <v>45574</v>
      </c>
      <c r="D488" t="inlineStr">
        <is>
          <t>VÄSTERNORRLANDS LÄN</t>
        </is>
      </c>
      <c r="E488" t="inlineStr">
        <is>
          <t>ÅNGE</t>
        </is>
      </c>
      <c r="G488" t="n">
        <v>4.9</v>
      </c>
      <c r="H488" t="n">
        <v>0</v>
      </c>
      <c r="I488" t="n">
        <v>0</v>
      </c>
      <c r="J488" t="n">
        <v>0</v>
      </c>
      <c r="K488" t="n">
        <v>0</v>
      </c>
      <c r="L488" t="n">
        <v>0</v>
      </c>
      <c r="M488" t="n">
        <v>0</v>
      </c>
      <c r="N488" t="n">
        <v>0</v>
      </c>
      <c r="O488" t="n">
        <v>0</v>
      </c>
      <c r="P488" t="n">
        <v>0</v>
      </c>
      <c r="Q488" t="n">
        <v>0</v>
      </c>
      <c r="R488" s="2" t="inlineStr"/>
    </row>
    <row r="489" ht="15" customHeight="1">
      <c r="A489" t="inlineStr">
        <is>
          <t>A 39561-2020</t>
        </is>
      </c>
      <c r="B489" s="1" t="n">
        <v>44064</v>
      </c>
      <c r="C489" s="1" t="n">
        <v>45574</v>
      </c>
      <c r="D489" t="inlineStr">
        <is>
          <t>VÄSTERNORRLANDS LÄN</t>
        </is>
      </c>
      <c r="E489" t="inlineStr">
        <is>
          <t>ÅNGE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41366-2020</t>
        </is>
      </c>
      <c r="B490" s="1" t="n">
        <v>44071</v>
      </c>
      <c r="C490" s="1" t="n">
        <v>45574</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42296-2020</t>
        </is>
      </c>
      <c r="B491" s="1" t="n">
        <v>44076</v>
      </c>
      <c r="C491" s="1" t="n">
        <v>45574</v>
      </c>
      <c r="D491" t="inlineStr">
        <is>
          <t>VÄSTERNORRLANDS LÄN</t>
        </is>
      </c>
      <c r="E491" t="inlineStr">
        <is>
          <t>ÅNGE</t>
        </is>
      </c>
      <c r="G491" t="n">
        <v>2.1</v>
      </c>
      <c r="H491" t="n">
        <v>0</v>
      </c>
      <c r="I491" t="n">
        <v>0</v>
      </c>
      <c r="J491" t="n">
        <v>0</v>
      </c>
      <c r="K491" t="n">
        <v>0</v>
      </c>
      <c r="L491" t="n">
        <v>0</v>
      </c>
      <c r="M491" t="n">
        <v>0</v>
      </c>
      <c r="N491" t="n">
        <v>0</v>
      </c>
      <c r="O491" t="n">
        <v>0</v>
      </c>
      <c r="P491" t="n">
        <v>0</v>
      </c>
      <c r="Q491" t="n">
        <v>0</v>
      </c>
      <c r="R491" s="2" t="inlineStr"/>
    </row>
    <row r="492" ht="15" customHeight="1">
      <c r="A492" t="inlineStr">
        <is>
          <t>A 42289-2020</t>
        </is>
      </c>
      <c r="B492" s="1" t="n">
        <v>44076</v>
      </c>
      <c r="C492" s="1" t="n">
        <v>45574</v>
      </c>
      <c r="D492" t="inlineStr">
        <is>
          <t>VÄSTERNORRLANDS LÄN</t>
        </is>
      </c>
      <c r="E492" t="inlineStr">
        <is>
          <t>ÅNGE</t>
        </is>
      </c>
      <c r="G492" t="n">
        <v>16.7</v>
      </c>
      <c r="H492" t="n">
        <v>0</v>
      </c>
      <c r="I492" t="n">
        <v>0</v>
      </c>
      <c r="J492" t="n">
        <v>0</v>
      </c>
      <c r="K492" t="n">
        <v>0</v>
      </c>
      <c r="L492" t="n">
        <v>0</v>
      </c>
      <c r="M492" t="n">
        <v>0</v>
      </c>
      <c r="N492" t="n">
        <v>0</v>
      </c>
      <c r="O492" t="n">
        <v>0</v>
      </c>
      <c r="P492" t="n">
        <v>0</v>
      </c>
      <c r="Q492" t="n">
        <v>0</v>
      </c>
      <c r="R492" s="2" t="inlineStr"/>
    </row>
    <row r="493" ht="15" customHeight="1">
      <c r="A493" t="inlineStr">
        <is>
          <t>A 42299-2020</t>
        </is>
      </c>
      <c r="B493" s="1" t="n">
        <v>44076</v>
      </c>
      <c r="C493" s="1" t="n">
        <v>45574</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42751-2020</t>
        </is>
      </c>
      <c r="B494" s="1" t="n">
        <v>44077</v>
      </c>
      <c r="C494" s="1" t="n">
        <v>45574</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43093-2020</t>
        </is>
      </c>
      <c r="B495" s="1" t="n">
        <v>44078</v>
      </c>
      <c r="C495" s="1" t="n">
        <v>45574</v>
      </c>
      <c r="D495" t="inlineStr">
        <is>
          <t>VÄSTERNORRLANDS LÄN</t>
        </is>
      </c>
      <c r="E495" t="inlineStr">
        <is>
          <t>ÅNGE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45808-2020</t>
        </is>
      </c>
      <c r="B496" s="1" t="n">
        <v>44090</v>
      </c>
      <c r="C496" s="1" t="n">
        <v>45574</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45813-2020</t>
        </is>
      </c>
      <c r="B497" s="1" t="n">
        <v>44090</v>
      </c>
      <c r="C497" s="1" t="n">
        <v>45574</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45812-2020</t>
        </is>
      </c>
      <c r="B498" s="1" t="n">
        <v>44090</v>
      </c>
      <c r="C498" s="1" t="n">
        <v>45574</v>
      </c>
      <c r="D498" t="inlineStr">
        <is>
          <t>VÄSTERNORRLANDS LÄN</t>
        </is>
      </c>
      <c r="E498" t="inlineStr">
        <is>
          <t>ÅNGE</t>
        </is>
      </c>
      <c r="G498" t="n">
        <v>0.1</v>
      </c>
      <c r="H498" t="n">
        <v>0</v>
      </c>
      <c r="I498" t="n">
        <v>0</v>
      </c>
      <c r="J498" t="n">
        <v>0</v>
      </c>
      <c r="K498" t="n">
        <v>0</v>
      </c>
      <c r="L498" t="n">
        <v>0</v>
      </c>
      <c r="M498" t="n">
        <v>0</v>
      </c>
      <c r="N498" t="n">
        <v>0</v>
      </c>
      <c r="O498" t="n">
        <v>0</v>
      </c>
      <c r="P498" t="n">
        <v>0</v>
      </c>
      <c r="Q498" t="n">
        <v>0</v>
      </c>
      <c r="R498" s="2" t="inlineStr"/>
    </row>
    <row r="499" ht="15" customHeight="1">
      <c r="A499" t="inlineStr">
        <is>
          <t>A 45810-2020</t>
        </is>
      </c>
      <c r="B499" s="1" t="n">
        <v>44090</v>
      </c>
      <c r="C499" s="1" t="n">
        <v>45574</v>
      </c>
      <c r="D499" t="inlineStr">
        <is>
          <t>VÄSTERNORRLANDS LÄN</t>
        </is>
      </c>
      <c r="E499" t="inlineStr">
        <is>
          <t>ÅNGE</t>
        </is>
      </c>
      <c r="G499" t="n">
        <v>0.2</v>
      </c>
      <c r="H499" t="n">
        <v>0</v>
      </c>
      <c r="I499" t="n">
        <v>0</v>
      </c>
      <c r="J499" t="n">
        <v>0</v>
      </c>
      <c r="K499" t="n">
        <v>0</v>
      </c>
      <c r="L499" t="n">
        <v>0</v>
      </c>
      <c r="M499" t="n">
        <v>0</v>
      </c>
      <c r="N499" t="n">
        <v>0</v>
      </c>
      <c r="O499" t="n">
        <v>0</v>
      </c>
      <c r="P499" t="n">
        <v>0</v>
      </c>
      <c r="Q499" t="n">
        <v>0</v>
      </c>
      <c r="R499" s="2" t="inlineStr"/>
    </row>
    <row r="500" ht="15" customHeight="1">
      <c r="A500" t="inlineStr">
        <is>
          <t>A 47041-2020</t>
        </is>
      </c>
      <c r="B500" s="1" t="n">
        <v>44091</v>
      </c>
      <c r="C500" s="1" t="n">
        <v>45574</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46518-2020</t>
        </is>
      </c>
      <c r="B501" s="1" t="n">
        <v>44095</v>
      </c>
      <c r="C501" s="1" t="n">
        <v>45574</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47411-2020</t>
        </is>
      </c>
      <c r="B502" s="1" t="n">
        <v>44095</v>
      </c>
      <c r="C502" s="1" t="n">
        <v>45574</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47127-2020</t>
        </is>
      </c>
      <c r="B503" s="1" t="n">
        <v>44096</v>
      </c>
      <c r="C503" s="1" t="n">
        <v>45574</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48238-2020</t>
        </is>
      </c>
      <c r="B504" s="1" t="n">
        <v>44097</v>
      </c>
      <c r="C504" s="1" t="n">
        <v>45574</v>
      </c>
      <c r="D504" t="inlineStr">
        <is>
          <t>VÄSTERNORRLANDS LÄN</t>
        </is>
      </c>
      <c r="E504" t="inlineStr">
        <is>
          <t>ÅNGE</t>
        </is>
      </c>
      <c r="G504" t="n">
        <v>5.1</v>
      </c>
      <c r="H504" t="n">
        <v>0</v>
      </c>
      <c r="I504" t="n">
        <v>0</v>
      </c>
      <c r="J504" t="n">
        <v>0</v>
      </c>
      <c r="K504" t="n">
        <v>0</v>
      </c>
      <c r="L504" t="n">
        <v>0</v>
      </c>
      <c r="M504" t="n">
        <v>0</v>
      </c>
      <c r="N504" t="n">
        <v>0</v>
      </c>
      <c r="O504" t="n">
        <v>0</v>
      </c>
      <c r="P504" t="n">
        <v>0</v>
      </c>
      <c r="Q504" t="n">
        <v>0</v>
      </c>
      <c r="R504" s="2" t="inlineStr"/>
    </row>
    <row r="505" ht="15" customHeight="1">
      <c r="A505" t="inlineStr">
        <is>
          <t>A 48810-2020</t>
        </is>
      </c>
      <c r="B505" s="1" t="n">
        <v>44103</v>
      </c>
      <c r="C505" s="1" t="n">
        <v>45574</v>
      </c>
      <c r="D505" t="inlineStr">
        <is>
          <t>VÄSTERNORRLANDS LÄN</t>
        </is>
      </c>
      <c r="E505" t="inlineStr">
        <is>
          <t>ÅNGE</t>
        </is>
      </c>
      <c r="F505" t="inlineStr">
        <is>
          <t>SCA</t>
        </is>
      </c>
      <c r="G505" t="n">
        <v>1.8</v>
      </c>
      <c r="H505" t="n">
        <v>0</v>
      </c>
      <c r="I505" t="n">
        <v>0</v>
      </c>
      <c r="J505" t="n">
        <v>0</v>
      </c>
      <c r="K505" t="n">
        <v>0</v>
      </c>
      <c r="L505" t="n">
        <v>0</v>
      </c>
      <c r="M505" t="n">
        <v>0</v>
      </c>
      <c r="N505" t="n">
        <v>0</v>
      </c>
      <c r="O505" t="n">
        <v>0</v>
      </c>
      <c r="P505" t="n">
        <v>0</v>
      </c>
      <c r="Q505" t="n">
        <v>0</v>
      </c>
      <c r="R505" s="2" t="inlineStr"/>
      <c r="U505">
        <f>HYPERLINK("https://klasma.github.io/Logging_2260/knärot/A 48810-2020 karta knärot.png", "A 48810-2020")</f>
        <v/>
      </c>
      <c r="V505">
        <f>HYPERLINK("https://klasma.github.io/Logging_2260/klagomål/A 48810-2020 FSC-klagomål.docx", "A 48810-2020")</f>
        <v/>
      </c>
      <c r="W505">
        <f>HYPERLINK("https://klasma.github.io/Logging_2260/klagomålsmail/A 48810-2020 FSC-klagomål mail.docx", "A 48810-2020")</f>
        <v/>
      </c>
      <c r="X505">
        <f>HYPERLINK("https://klasma.github.io/Logging_2260/tillsyn/A 48810-2020 tillsynsbegäran.docx", "A 48810-2020")</f>
        <v/>
      </c>
      <c r="Y505">
        <f>HYPERLINK("https://klasma.github.io/Logging_2260/tillsynsmail/A 48810-2020 tillsynsbegäran mail.docx", "A 48810-2020")</f>
        <v/>
      </c>
    </row>
    <row r="506" ht="15" customHeight="1">
      <c r="A506" t="inlineStr">
        <is>
          <t>A 49343-2020</t>
        </is>
      </c>
      <c r="B506" s="1" t="n">
        <v>44105</v>
      </c>
      <c r="C506" s="1" t="n">
        <v>45574</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49346-2020</t>
        </is>
      </c>
      <c r="B507" s="1" t="n">
        <v>44105</v>
      </c>
      <c r="C507" s="1" t="n">
        <v>45574</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49656-2020</t>
        </is>
      </c>
      <c r="B508" s="1" t="n">
        <v>44106</v>
      </c>
      <c r="C508" s="1" t="n">
        <v>45574</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49838-2020</t>
        </is>
      </c>
      <c r="B509" s="1" t="n">
        <v>44106</v>
      </c>
      <c r="C509" s="1" t="n">
        <v>45574</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50265-2020</t>
        </is>
      </c>
      <c r="B510" s="1" t="n">
        <v>44109</v>
      </c>
      <c r="C510" s="1" t="n">
        <v>45574</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50259-2020</t>
        </is>
      </c>
      <c r="B511" s="1" t="n">
        <v>44109</v>
      </c>
      <c r="C511" s="1" t="n">
        <v>45574</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50260-2020</t>
        </is>
      </c>
      <c r="B512" s="1" t="n">
        <v>44109</v>
      </c>
      <c r="C512" s="1" t="n">
        <v>45574</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50258-2020</t>
        </is>
      </c>
      <c r="B513" s="1" t="n">
        <v>44109</v>
      </c>
      <c r="C513" s="1" t="n">
        <v>45574</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45574</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52232-2020</t>
        </is>
      </c>
      <c r="B515" s="1" t="n">
        <v>44111</v>
      </c>
      <c r="C515" s="1" t="n">
        <v>45574</v>
      </c>
      <c r="D515" t="inlineStr">
        <is>
          <t>VÄSTERNORRLANDS LÄN</t>
        </is>
      </c>
      <c r="E515" t="inlineStr">
        <is>
          <t>ÅNGE</t>
        </is>
      </c>
      <c r="G515" t="n">
        <v>1.1</v>
      </c>
      <c r="H515" t="n">
        <v>0</v>
      </c>
      <c r="I515" t="n">
        <v>0</v>
      </c>
      <c r="J515" t="n">
        <v>0</v>
      </c>
      <c r="K515" t="n">
        <v>0</v>
      </c>
      <c r="L515" t="n">
        <v>0</v>
      </c>
      <c r="M515" t="n">
        <v>0</v>
      </c>
      <c r="N515" t="n">
        <v>0</v>
      </c>
      <c r="O515" t="n">
        <v>0</v>
      </c>
      <c r="P515" t="n">
        <v>0</v>
      </c>
      <c r="Q515" t="n">
        <v>0</v>
      </c>
      <c r="R515" s="2" t="inlineStr"/>
    </row>
    <row r="516" ht="15" customHeight="1">
      <c r="A516" t="inlineStr">
        <is>
          <t>A 51610-2020</t>
        </is>
      </c>
      <c r="B516" s="1" t="n">
        <v>44113</v>
      </c>
      <c r="C516" s="1" t="n">
        <v>45574</v>
      </c>
      <c r="D516" t="inlineStr">
        <is>
          <t>VÄSTERNORRLANDS LÄN</t>
        </is>
      </c>
      <c r="E516" t="inlineStr">
        <is>
          <t>ÅNGE</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52504-2020</t>
        </is>
      </c>
      <c r="B517" s="1" t="n">
        <v>44113</v>
      </c>
      <c r="C517" s="1" t="n">
        <v>45574</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51755-2020</t>
        </is>
      </c>
      <c r="B518" s="1" t="n">
        <v>44114</v>
      </c>
      <c r="C518" s="1" t="n">
        <v>45574</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52637-2020</t>
        </is>
      </c>
      <c r="B519" s="1" t="n">
        <v>44118</v>
      </c>
      <c r="C519" s="1" t="n">
        <v>45574</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52629-2020</t>
        </is>
      </c>
      <c r="B520" s="1" t="n">
        <v>44118</v>
      </c>
      <c r="C520" s="1" t="n">
        <v>45574</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52633-2020</t>
        </is>
      </c>
      <c r="B521" s="1" t="n">
        <v>44118</v>
      </c>
      <c r="C521" s="1" t="n">
        <v>45574</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52627-2020</t>
        </is>
      </c>
      <c r="B522" s="1" t="n">
        <v>44118</v>
      </c>
      <c r="C522" s="1" t="n">
        <v>45574</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53171-2020</t>
        </is>
      </c>
      <c r="B523" s="1" t="n">
        <v>44120</v>
      </c>
      <c r="C523" s="1" t="n">
        <v>45574</v>
      </c>
      <c r="D523" t="inlineStr">
        <is>
          <t>VÄSTERNORRLANDS LÄN</t>
        </is>
      </c>
      <c r="E523" t="inlineStr">
        <is>
          <t>ÅNGE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53173-2020</t>
        </is>
      </c>
      <c r="B524" s="1" t="n">
        <v>44120</v>
      </c>
      <c r="C524" s="1" t="n">
        <v>45574</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53170-2020</t>
        </is>
      </c>
      <c r="B525" s="1" t="n">
        <v>44120</v>
      </c>
      <c r="C525" s="1" t="n">
        <v>45574</v>
      </c>
      <c r="D525" t="inlineStr">
        <is>
          <t>VÄSTERNORRLANDS LÄN</t>
        </is>
      </c>
      <c r="E525" t="inlineStr">
        <is>
          <t>ÅNGE</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53175-2020</t>
        </is>
      </c>
      <c r="B526" s="1" t="n">
        <v>44120</v>
      </c>
      <c r="C526" s="1" t="n">
        <v>45574</v>
      </c>
      <c r="D526" t="inlineStr">
        <is>
          <t>VÄSTERNORRLANDS LÄN</t>
        </is>
      </c>
      <c r="E526" t="inlineStr">
        <is>
          <t>ÅNGE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53174-2020</t>
        </is>
      </c>
      <c r="B527" s="1" t="n">
        <v>44120</v>
      </c>
      <c r="C527" s="1" t="n">
        <v>45574</v>
      </c>
      <c r="D527" t="inlineStr">
        <is>
          <t>VÄSTERNORRLANDS LÄN</t>
        </is>
      </c>
      <c r="E527" t="inlineStr">
        <is>
          <t>ÅNGE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53474-2020</t>
        </is>
      </c>
      <c r="B528" s="1" t="n">
        <v>44123</v>
      </c>
      <c r="C528" s="1" t="n">
        <v>45574</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53660-2020</t>
        </is>
      </c>
      <c r="B529" s="1" t="n">
        <v>44124</v>
      </c>
      <c r="C529" s="1" t="n">
        <v>45574</v>
      </c>
      <c r="D529" t="inlineStr">
        <is>
          <t>VÄSTERNORRLANDS LÄN</t>
        </is>
      </c>
      <c r="E529" t="inlineStr">
        <is>
          <t>ÅNGE</t>
        </is>
      </c>
      <c r="G529" t="n">
        <v>5.4</v>
      </c>
      <c r="H529" t="n">
        <v>0</v>
      </c>
      <c r="I529" t="n">
        <v>0</v>
      </c>
      <c r="J529" t="n">
        <v>0</v>
      </c>
      <c r="K529" t="n">
        <v>0</v>
      </c>
      <c r="L529" t="n">
        <v>0</v>
      </c>
      <c r="M529" t="n">
        <v>0</v>
      </c>
      <c r="N529" t="n">
        <v>0</v>
      </c>
      <c r="O529" t="n">
        <v>0</v>
      </c>
      <c r="P529" t="n">
        <v>0</v>
      </c>
      <c r="Q529" t="n">
        <v>0</v>
      </c>
      <c r="R529" s="2" t="inlineStr"/>
    </row>
    <row r="530" ht="15" customHeight="1">
      <c r="A530" t="inlineStr">
        <is>
          <t>A 53661-2020</t>
        </is>
      </c>
      <c r="B530" s="1" t="n">
        <v>44124</v>
      </c>
      <c r="C530" s="1" t="n">
        <v>45574</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53962-2020</t>
        </is>
      </c>
      <c r="B531" s="1" t="n">
        <v>44125</v>
      </c>
      <c r="C531" s="1" t="n">
        <v>45574</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54471-2020</t>
        </is>
      </c>
      <c r="B532" s="1" t="n">
        <v>44126</v>
      </c>
      <c r="C532" s="1" t="n">
        <v>45574</v>
      </c>
      <c r="D532" t="inlineStr">
        <is>
          <t>VÄSTERNORRLANDS LÄN</t>
        </is>
      </c>
      <c r="E532" t="inlineStr">
        <is>
          <t>ÅNGE</t>
        </is>
      </c>
      <c r="G532" t="n">
        <v>3.1</v>
      </c>
      <c r="H532" t="n">
        <v>0</v>
      </c>
      <c r="I532" t="n">
        <v>0</v>
      </c>
      <c r="J532" t="n">
        <v>0</v>
      </c>
      <c r="K532" t="n">
        <v>0</v>
      </c>
      <c r="L532" t="n">
        <v>0</v>
      </c>
      <c r="M532" t="n">
        <v>0</v>
      </c>
      <c r="N532" t="n">
        <v>0</v>
      </c>
      <c r="O532" t="n">
        <v>0</v>
      </c>
      <c r="P532" t="n">
        <v>0</v>
      </c>
      <c r="Q532" t="n">
        <v>0</v>
      </c>
      <c r="R532" s="2" t="inlineStr"/>
    </row>
    <row r="533" ht="15" customHeight="1">
      <c r="A533" t="inlineStr">
        <is>
          <t>A 54469-2020</t>
        </is>
      </c>
      <c r="B533" s="1" t="n">
        <v>44126</v>
      </c>
      <c r="C533" s="1" t="n">
        <v>45574</v>
      </c>
      <c r="D533" t="inlineStr">
        <is>
          <t>VÄSTERNORRLANDS LÄN</t>
        </is>
      </c>
      <c r="E533" t="inlineStr">
        <is>
          <t>ÅNGE</t>
        </is>
      </c>
      <c r="G533" t="n">
        <v>4</v>
      </c>
      <c r="H533" t="n">
        <v>0</v>
      </c>
      <c r="I533" t="n">
        <v>0</v>
      </c>
      <c r="J533" t="n">
        <v>0</v>
      </c>
      <c r="K533" t="n">
        <v>0</v>
      </c>
      <c r="L533" t="n">
        <v>0</v>
      </c>
      <c r="M533" t="n">
        <v>0</v>
      </c>
      <c r="N533" t="n">
        <v>0</v>
      </c>
      <c r="O533" t="n">
        <v>0</v>
      </c>
      <c r="P533" t="n">
        <v>0</v>
      </c>
      <c r="Q533" t="n">
        <v>0</v>
      </c>
      <c r="R533" s="2" t="inlineStr"/>
    </row>
    <row r="534" ht="15" customHeight="1">
      <c r="A534" t="inlineStr">
        <is>
          <t>A 55317-2020</t>
        </is>
      </c>
      <c r="B534" s="1" t="n">
        <v>44130</v>
      </c>
      <c r="C534" s="1" t="n">
        <v>45574</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57111-2020</t>
        </is>
      </c>
      <c r="B535" s="1" t="n">
        <v>44139</v>
      </c>
      <c r="C535" s="1" t="n">
        <v>45574</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59222-2020</t>
        </is>
      </c>
      <c r="B536" s="1" t="n">
        <v>44147</v>
      </c>
      <c r="C536" s="1" t="n">
        <v>45574</v>
      </c>
      <c r="D536" t="inlineStr">
        <is>
          <t>VÄSTERNORRLANDS LÄN</t>
        </is>
      </c>
      <c r="E536" t="inlineStr">
        <is>
          <t>ÅNGE</t>
        </is>
      </c>
      <c r="G536" t="n">
        <v>7.6</v>
      </c>
      <c r="H536" t="n">
        <v>0</v>
      </c>
      <c r="I536" t="n">
        <v>0</v>
      </c>
      <c r="J536" t="n">
        <v>0</v>
      </c>
      <c r="K536" t="n">
        <v>0</v>
      </c>
      <c r="L536" t="n">
        <v>0</v>
      </c>
      <c r="M536" t="n">
        <v>0</v>
      </c>
      <c r="N536" t="n">
        <v>0</v>
      </c>
      <c r="O536" t="n">
        <v>0</v>
      </c>
      <c r="P536" t="n">
        <v>0</v>
      </c>
      <c r="Q536" t="n">
        <v>0</v>
      </c>
      <c r="R536" s="2" t="inlineStr"/>
    </row>
    <row r="537" ht="15" customHeight="1">
      <c r="A537" t="inlineStr">
        <is>
          <t>A 60064-2020</t>
        </is>
      </c>
      <c r="B537" s="1" t="n">
        <v>44151</v>
      </c>
      <c r="C537" s="1" t="n">
        <v>45574</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60401-2020</t>
        </is>
      </c>
      <c r="B538" s="1" t="n">
        <v>44152</v>
      </c>
      <c r="C538" s="1" t="n">
        <v>45574</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62640-2020</t>
        </is>
      </c>
      <c r="B539" s="1" t="n">
        <v>44161</v>
      </c>
      <c r="C539" s="1" t="n">
        <v>45574</v>
      </c>
      <c r="D539" t="inlineStr">
        <is>
          <t>VÄSTERNORRLANDS LÄN</t>
        </is>
      </c>
      <c r="E539" t="inlineStr">
        <is>
          <t>ÅNGE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63497-2020</t>
        </is>
      </c>
      <c r="B540" s="1" t="n">
        <v>44161</v>
      </c>
      <c r="C540" s="1" t="n">
        <v>45574</v>
      </c>
      <c r="D540" t="inlineStr">
        <is>
          <t>VÄSTERNORRLANDS LÄN</t>
        </is>
      </c>
      <c r="E540" t="inlineStr">
        <is>
          <t>ÅNGE</t>
        </is>
      </c>
      <c r="G540" t="n">
        <v>6.9</v>
      </c>
      <c r="H540" t="n">
        <v>0</v>
      </c>
      <c r="I540" t="n">
        <v>0</v>
      </c>
      <c r="J540" t="n">
        <v>0</v>
      </c>
      <c r="K540" t="n">
        <v>0</v>
      </c>
      <c r="L540" t="n">
        <v>0</v>
      </c>
      <c r="M540" t="n">
        <v>0</v>
      </c>
      <c r="N540" t="n">
        <v>0</v>
      </c>
      <c r="O540" t="n">
        <v>0</v>
      </c>
      <c r="P540" t="n">
        <v>0</v>
      </c>
      <c r="Q540" t="n">
        <v>0</v>
      </c>
      <c r="R540" s="2" t="inlineStr"/>
    </row>
    <row r="541" ht="15" customHeight="1">
      <c r="A541" t="inlineStr">
        <is>
          <t>A 64612-2020</t>
        </is>
      </c>
      <c r="B541" s="1" t="n">
        <v>44169</v>
      </c>
      <c r="C541" s="1" t="n">
        <v>45574</v>
      </c>
      <c r="D541" t="inlineStr">
        <is>
          <t>VÄSTERNORRLANDS LÄN</t>
        </is>
      </c>
      <c r="E541" t="inlineStr">
        <is>
          <t>ÅNGE</t>
        </is>
      </c>
      <c r="G541" t="n">
        <v>2</v>
      </c>
      <c r="H541" t="n">
        <v>0</v>
      </c>
      <c r="I541" t="n">
        <v>0</v>
      </c>
      <c r="J541" t="n">
        <v>0</v>
      </c>
      <c r="K541" t="n">
        <v>0</v>
      </c>
      <c r="L541" t="n">
        <v>0</v>
      </c>
      <c r="M541" t="n">
        <v>0</v>
      </c>
      <c r="N541" t="n">
        <v>0</v>
      </c>
      <c r="O541" t="n">
        <v>0</v>
      </c>
      <c r="P541" t="n">
        <v>0</v>
      </c>
      <c r="Q541" t="n">
        <v>0</v>
      </c>
      <c r="R541" s="2" t="inlineStr"/>
    </row>
    <row r="542" ht="15" customHeight="1">
      <c r="A542" t="inlineStr">
        <is>
          <t>A 65277-2020</t>
        </is>
      </c>
      <c r="B542" s="1" t="n">
        <v>44172</v>
      </c>
      <c r="C542" s="1" t="n">
        <v>45574</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65149-2020</t>
        </is>
      </c>
      <c r="B543" s="1" t="n">
        <v>44172</v>
      </c>
      <c r="C543" s="1" t="n">
        <v>45574</v>
      </c>
      <c r="D543" t="inlineStr">
        <is>
          <t>VÄSTERNORRLANDS LÄN</t>
        </is>
      </c>
      <c r="E543" t="inlineStr">
        <is>
          <t>ÅNGE</t>
        </is>
      </c>
      <c r="G543" t="n">
        <v>9.5</v>
      </c>
      <c r="H543" t="n">
        <v>0</v>
      </c>
      <c r="I543" t="n">
        <v>0</v>
      </c>
      <c r="J543" t="n">
        <v>0</v>
      </c>
      <c r="K543" t="n">
        <v>0</v>
      </c>
      <c r="L543" t="n">
        <v>0</v>
      </c>
      <c r="M543" t="n">
        <v>0</v>
      </c>
      <c r="N543" t="n">
        <v>0</v>
      </c>
      <c r="O543" t="n">
        <v>0</v>
      </c>
      <c r="P543" t="n">
        <v>0</v>
      </c>
      <c r="Q543" t="n">
        <v>0</v>
      </c>
      <c r="R543" s="2" t="inlineStr"/>
    </row>
    <row r="544" ht="15" customHeight="1">
      <c r="A544" t="inlineStr">
        <is>
          <t>A 65272-2020</t>
        </is>
      </c>
      <c r="B544" s="1" t="n">
        <v>44172</v>
      </c>
      <c r="C544" s="1" t="n">
        <v>45574</v>
      </c>
      <c r="D544" t="inlineStr">
        <is>
          <t>VÄSTERNORRLANDS LÄN</t>
        </is>
      </c>
      <c r="E544" t="inlineStr">
        <is>
          <t>ÅNGE</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65280-2020</t>
        </is>
      </c>
      <c r="B545" s="1" t="n">
        <v>44172</v>
      </c>
      <c r="C545" s="1" t="n">
        <v>45574</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65594-2020</t>
        </is>
      </c>
      <c r="B546" s="1" t="n">
        <v>44173</v>
      </c>
      <c r="C546" s="1" t="n">
        <v>45574</v>
      </c>
      <c r="D546" t="inlineStr">
        <is>
          <t>VÄSTERNORRLANDS LÄN</t>
        </is>
      </c>
      <c r="E546" t="inlineStr">
        <is>
          <t>ÅNGE</t>
        </is>
      </c>
      <c r="G546" t="n">
        <v>5.9</v>
      </c>
      <c r="H546" t="n">
        <v>0</v>
      </c>
      <c r="I546" t="n">
        <v>0</v>
      </c>
      <c r="J546" t="n">
        <v>0</v>
      </c>
      <c r="K546" t="n">
        <v>0</v>
      </c>
      <c r="L546" t="n">
        <v>0</v>
      </c>
      <c r="M546" t="n">
        <v>0</v>
      </c>
      <c r="N546" t="n">
        <v>0</v>
      </c>
      <c r="O546" t="n">
        <v>0</v>
      </c>
      <c r="P546" t="n">
        <v>0</v>
      </c>
      <c r="Q546" t="n">
        <v>0</v>
      </c>
      <c r="R546" s="2" t="inlineStr"/>
    </row>
    <row r="547" ht="15" customHeight="1">
      <c r="A547" t="inlineStr">
        <is>
          <t>A 65593-2020</t>
        </is>
      </c>
      <c r="B547" s="1" t="n">
        <v>44173</v>
      </c>
      <c r="C547" s="1" t="n">
        <v>45574</v>
      </c>
      <c r="D547" t="inlineStr">
        <is>
          <t>VÄSTERNORRLANDS LÄN</t>
        </is>
      </c>
      <c r="E547" t="inlineStr">
        <is>
          <t>ÅNGE</t>
        </is>
      </c>
      <c r="G547" t="n">
        <v>4</v>
      </c>
      <c r="H547" t="n">
        <v>0</v>
      </c>
      <c r="I547" t="n">
        <v>0</v>
      </c>
      <c r="J547" t="n">
        <v>0</v>
      </c>
      <c r="K547" t="n">
        <v>0</v>
      </c>
      <c r="L547" t="n">
        <v>0</v>
      </c>
      <c r="M547" t="n">
        <v>0</v>
      </c>
      <c r="N547" t="n">
        <v>0</v>
      </c>
      <c r="O547" t="n">
        <v>0</v>
      </c>
      <c r="P547" t="n">
        <v>0</v>
      </c>
      <c r="Q547" t="n">
        <v>0</v>
      </c>
      <c r="R547" s="2" t="inlineStr"/>
    </row>
    <row r="548" ht="15" customHeight="1">
      <c r="A548" t="inlineStr">
        <is>
          <t>A 65770-2020</t>
        </is>
      </c>
      <c r="B548" s="1" t="n">
        <v>44174</v>
      </c>
      <c r="C548" s="1" t="n">
        <v>45574</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66601-2020</t>
        </is>
      </c>
      <c r="B549" s="1" t="n">
        <v>44175</v>
      </c>
      <c r="C549" s="1" t="n">
        <v>45574</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68378-2020</t>
        </is>
      </c>
      <c r="B550" s="1" t="n">
        <v>44186</v>
      </c>
      <c r="C550" s="1" t="n">
        <v>45574</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68715-2020</t>
        </is>
      </c>
      <c r="B551" s="1" t="n">
        <v>44187</v>
      </c>
      <c r="C551" s="1" t="n">
        <v>45574</v>
      </c>
      <c r="D551" t="inlineStr">
        <is>
          <t>VÄSTERNORRLANDS LÄN</t>
        </is>
      </c>
      <c r="E551" t="inlineStr">
        <is>
          <t>ÅNGE</t>
        </is>
      </c>
      <c r="G551" t="n">
        <v>19.1</v>
      </c>
      <c r="H551" t="n">
        <v>0</v>
      </c>
      <c r="I551" t="n">
        <v>0</v>
      </c>
      <c r="J551" t="n">
        <v>0</v>
      </c>
      <c r="K551" t="n">
        <v>0</v>
      </c>
      <c r="L551" t="n">
        <v>0</v>
      </c>
      <c r="M551" t="n">
        <v>0</v>
      </c>
      <c r="N551" t="n">
        <v>0</v>
      </c>
      <c r="O551" t="n">
        <v>0</v>
      </c>
      <c r="P551" t="n">
        <v>0</v>
      </c>
      <c r="Q551" t="n">
        <v>0</v>
      </c>
      <c r="R551" s="2" t="inlineStr"/>
    </row>
    <row r="552" ht="15" customHeight="1">
      <c r="A552" t="inlineStr">
        <is>
          <t>A 68812-2020</t>
        </is>
      </c>
      <c r="B552" s="1" t="n">
        <v>44187</v>
      </c>
      <c r="C552" s="1" t="n">
        <v>45574</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69271-2020</t>
        </is>
      </c>
      <c r="B553" s="1" t="n">
        <v>44193</v>
      </c>
      <c r="C553" s="1" t="n">
        <v>45574</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45574</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3352-2021</t>
        </is>
      </c>
      <c r="B555" s="1" t="n">
        <v>44217</v>
      </c>
      <c r="C555" s="1" t="n">
        <v>45574</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5822-2021</t>
        </is>
      </c>
      <c r="B556" s="1" t="n">
        <v>44230</v>
      </c>
      <c r="C556" s="1" t="n">
        <v>45574</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45574</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6805-2021</t>
        </is>
      </c>
      <c r="B558" s="1" t="n">
        <v>44236</v>
      </c>
      <c r="C558" s="1" t="n">
        <v>45574</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8057-2021</t>
        </is>
      </c>
      <c r="B559" s="1" t="n">
        <v>44238</v>
      </c>
      <c r="C559" s="1" t="n">
        <v>45574</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7857-2021</t>
        </is>
      </c>
      <c r="B560" s="1" t="n">
        <v>44242</v>
      </c>
      <c r="C560" s="1" t="n">
        <v>45574</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9619-2021</t>
        </is>
      </c>
      <c r="B561" s="1" t="n">
        <v>44251</v>
      </c>
      <c r="C561" s="1" t="n">
        <v>45574</v>
      </c>
      <c r="D561" t="inlineStr">
        <is>
          <t>VÄSTERNORRLANDS LÄN</t>
        </is>
      </c>
      <c r="E561" t="inlineStr">
        <is>
          <t>ÅNGE</t>
        </is>
      </c>
      <c r="G561" t="n">
        <v>10.4</v>
      </c>
      <c r="H561" t="n">
        <v>0</v>
      </c>
      <c r="I561" t="n">
        <v>0</v>
      </c>
      <c r="J561" t="n">
        <v>0</v>
      </c>
      <c r="K561" t="n">
        <v>0</v>
      </c>
      <c r="L561" t="n">
        <v>0</v>
      </c>
      <c r="M561" t="n">
        <v>0</v>
      </c>
      <c r="N561" t="n">
        <v>0</v>
      </c>
      <c r="O561" t="n">
        <v>0</v>
      </c>
      <c r="P561" t="n">
        <v>0</v>
      </c>
      <c r="Q561" t="n">
        <v>0</v>
      </c>
      <c r="R561" s="2" t="inlineStr"/>
    </row>
    <row r="562" ht="15" customHeight="1">
      <c r="A562" t="inlineStr">
        <is>
          <t>A 10342-2021</t>
        </is>
      </c>
      <c r="B562" s="1" t="n">
        <v>44257</v>
      </c>
      <c r="C562" s="1" t="n">
        <v>45574</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11763-2021</t>
        </is>
      </c>
      <c r="B563" s="1" t="n">
        <v>44265</v>
      </c>
      <c r="C563" s="1" t="n">
        <v>45574</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12799-2021</t>
        </is>
      </c>
      <c r="B564" s="1" t="n">
        <v>44270</v>
      </c>
      <c r="C564" s="1" t="n">
        <v>45574</v>
      </c>
      <c r="D564" t="inlineStr">
        <is>
          <t>VÄSTERNORRLANDS LÄN</t>
        </is>
      </c>
      <c r="E564" t="inlineStr">
        <is>
          <t>ÅNGE</t>
        </is>
      </c>
      <c r="G564" t="n">
        <v>2</v>
      </c>
      <c r="H564" t="n">
        <v>0</v>
      </c>
      <c r="I564" t="n">
        <v>0</v>
      </c>
      <c r="J564" t="n">
        <v>0</v>
      </c>
      <c r="K564" t="n">
        <v>0</v>
      </c>
      <c r="L564" t="n">
        <v>0</v>
      </c>
      <c r="M564" t="n">
        <v>0</v>
      </c>
      <c r="N564" t="n">
        <v>0</v>
      </c>
      <c r="O564" t="n">
        <v>0</v>
      </c>
      <c r="P564" t="n">
        <v>0</v>
      </c>
      <c r="Q564" t="n">
        <v>0</v>
      </c>
      <c r="R564" s="2" t="inlineStr"/>
    </row>
    <row r="565" ht="15" customHeight="1">
      <c r="A565" t="inlineStr">
        <is>
          <t>A 12800-2021</t>
        </is>
      </c>
      <c r="B565" s="1" t="n">
        <v>44270</v>
      </c>
      <c r="C565" s="1" t="n">
        <v>45574</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13149-2021</t>
        </is>
      </c>
      <c r="B566" s="1" t="n">
        <v>44272</v>
      </c>
      <c r="C566" s="1" t="n">
        <v>45574</v>
      </c>
      <c r="D566" t="inlineStr">
        <is>
          <t>VÄSTERNORRLANDS LÄN</t>
        </is>
      </c>
      <c r="E566" t="inlineStr">
        <is>
          <t>ÅNGE</t>
        </is>
      </c>
      <c r="G566" t="n">
        <v>3.4</v>
      </c>
      <c r="H566" t="n">
        <v>0</v>
      </c>
      <c r="I566" t="n">
        <v>0</v>
      </c>
      <c r="J566" t="n">
        <v>0</v>
      </c>
      <c r="K566" t="n">
        <v>0</v>
      </c>
      <c r="L566" t="n">
        <v>0</v>
      </c>
      <c r="M566" t="n">
        <v>0</v>
      </c>
      <c r="N566" t="n">
        <v>0</v>
      </c>
      <c r="O566" t="n">
        <v>0</v>
      </c>
      <c r="P566" t="n">
        <v>0</v>
      </c>
      <c r="Q566" t="n">
        <v>0</v>
      </c>
      <c r="R566" s="2" t="inlineStr"/>
    </row>
    <row r="567" ht="15" customHeight="1">
      <c r="A567" t="inlineStr">
        <is>
          <t>A 13501-2021</t>
        </is>
      </c>
      <c r="B567" s="1" t="n">
        <v>44273</v>
      </c>
      <c r="C567" s="1" t="n">
        <v>45574</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13510-2021</t>
        </is>
      </c>
      <c r="B568" s="1" t="n">
        <v>44273</v>
      </c>
      <c r="C568" s="1" t="n">
        <v>45574</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13522-2021</t>
        </is>
      </c>
      <c r="B569" s="1" t="n">
        <v>44273</v>
      </c>
      <c r="C569" s="1" t="n">
        <v>45574</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13479-2021</t>
        </is>
      </c>
      <c r="B570" s="1" t="n">
        <v>44273</v>
      </c>
      <c r="C570" s="1" t="n">
        <v>45574</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13792-2021</t>
        </is>
      </c>
      <c r="B571" s="1" t="n">
        <v>44274</v>
      </c>
      <c r="C571" s="1" t="n">
        <v>45574</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14587-2021</t>
        </is>
      </c>
      <c r="B572" s="1" t="n">
        <v>44279</v>
      </c>
      <c r="C572" s="1" t="n">
        <v>45574</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14812-2021</t>
        </is>
      </c>
      <c r="B573" s="1" t="n">
        <v>44280</v>
      </c>
      <c r="C573" s="1" t="n">
        <v>45574</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16389-2021</t>
        </is>
      </c>
      <c r="B574" s="1" t="n">
        <v>44293</v>
      </c>
      <c r="C574" s="1" t="n">
        <v>45574</v>
      </c>
      <c r="D574" t="inlineStr">
        <is>
          <t>VÄSTERNORRLANDS LÄN</t>
        </is>
      </c>
      <c r="E574" t="inlineStr">
        <is>
          <t>ÅNGE</t>
        </is>
      </c>
      <c r="G574" t="n">
        <v>16.9</v>
      </c>
      <c r="H574" t="n">
        <v>0</v>
      </c>
      <c r="I574" t="n">
        <v>0</v>
      </c>
      <c r="J574" t="n">
        <v>0</v>
      </c>
      <c r="K574" t="n">
        <v>0</v>
      </c>
      <c r="L574" t="n">
        <v>0</v>
      </c>
      <c r="M574" t="n">
        <v>0</v>
      </c>
      <c r="N574" t="n">
        <v>0</v>
      </c>
      <c r="O574" t="n">
        <v>0</v>
      </c>
      <c r="P574" t="n">
        <v>0</v>
      </c>
      <c r="Q574" t="n">
        <v>0</v>
      </c>
      <c r="R574" s="2" t="inlineStr"/>
    </row>
    <row r="575" ht="15" customHeight="1">
      <c r="A575" t="inlineStr">
        <is>
          <t>A 17594-2021</t>
        </is>
      </c>
      <c r="B575" s="1" t="n">
        <v>44299</v>
      </c>
      <c r="C575" s="1" t="n">
        <v>45574</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17844-2021</t>
        </is>
      </c>
      <c r="B576" s="1" t="n">
        <v>44301</v>
      </c>
      <c r="C576" s="1" t="n">
        <v>45574</v>
      </c>
      <c r="D576" t="inlineStr">
        <is>
          <t>VÄSTERNORRLANDS LÄN</t>
        </is>
      </c>
      <c r="E576" t="inlineStr">
        <is>
          <t>ÅNGE</t>
        </is>
      </c>
      <c r="G576" t="n">
        <v>3.3</v>
      </c>
      <c r="H576" t="n">
        <v>0</v>
      </c>
      <c r="I576" t="n">
        <v>0</v>
      </c>
      <c r="J576" t="n">
        <v>0</v>
      </c>
      <c r="K576" t="n">
        <v>0</v>
      </c>
      <c r="L576" t="n">
        <v>0</v>
      </c>
      <c r="M576" t="n">
        <v>0</v>
      </c>
      <c r="N576" t="n">
        <v>0</v>
      </c>
      <c r="O576" t="n">
        <v>0</v>
      </c>
      <c r="P576" t="n">
        <v>0</v>
      </c>
      <c r="Q576" t="n">
        <v>0</v>
      </c>
      <c r="R576" s="2" t="inlineStr"/>
    </row>
    <row r="577" ht="15" customHeight="1">
      <c r="A577" t="inlineStr">
        <is>
          <t>A 18368-2021</t>
        </is>
      </c>
      <c r="B577" s="1" t="n">
        <v>44305</v>
      </c>
      <c r="C577" s="1" t="n">
        <v>45574</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18379-2021</t>
        </is>
      </c>
      <c r="B578" s="1" t="n">
        <v>44305</v>
      </c>
      <c r="C578" s="1" t="n">
        <v>45574</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18422-2021</t>
        </is>
      </c>
      <c r="B579" s="1" t="n">
        <v>44305</v>
      </c>
      <c r="C579" s="1" t="n">
        <v>45574</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19102-2021</t>
        </is>
      </c>
      <c r="B580" s="1" t="n">
        <v>44308</v>
      </c>
      <c r="C580" s="1" t="n">
        <v>45574</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20354-2021</t>
        </is>
      </c>
      <c r="B581" s="1" t="n">
        <v>44312</v>
      </c>
      <c r="C581" s="1" t="n">
        <v>45574</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19970-2021</t>
        </is>
      </c>
      <c r="B582" s="1" t="n">
        <v>44313</v>
      </c>
      <c r="C582" s="1" t="n">
        <v>45574</v>
      </c>
      <c r="D582" t="inlineStr">
        <is>
          <t>VÄSTERNORRLANDS LÄN</t>
        </is>
      </c>
      <c r="E582" t="inlineStr">
        <is>
          <t>ÅNGE</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20576-2021</t>
        </is>
      </c>
      <c r="B583" s="1" t="n">
        <v>44316</v>
      </c>
      <c r="C583" s="1" t="n">
        <v>45574</v>
      </c>
      <c r="D583" t="inlineStr">
        <is>
          <t>VÄSTERNORRLANDS LÄN</t>
        </is>
      </c>
      <c r="E583" t="inlineStr">
        <is>
          <t>ÅNGE</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20807-2021</t>
        </is>
      </c>
      <c r="B584" s="1" t="n">
        <v>44317</v>
      </c>
      <c r="C584" s="1" t="n">
        <v>45574</v>
      </c>
      <c r="D584" t="inlineStr">
        <is>
          <t>VÄSTERNORRLANDS LÄN</t>
        </is>
      </c>
      <c r="E584" t="inlineStr">
        <is>
          <t>ÅNGE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21189-2021</t>
        </is>
      </c>
      <c r="B585" s="1" t="n">
        <v>44320</v>
      </c>
      <c r="C585" s="1" t="n">
        <v>45574</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21642-2021</t>
        </is>
      </c>
      <c r="B586" s="1" t="n">
        <v>44322</v>
      </c>
      <c r="C586" s="1" t="n">
        <v>45574</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21625-2021</t>
        </is>
      </c>
      <c r="B587" s="1" t="n">
        <v>44322</v>
      </c>
      <c r="C587" s="1" t="n">
        <v>45574</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21960-2021</t>
        </is>
      </c>
      <c r="B588" s="1" t="n">
        <v>44323</v>
      </c>
      <c r="C588" s="1" t="n">
        <v>45574</v>
      </c>
      <c r="D588" t="inlineStr">
        <is>
          <t>VÄSTERNORRLANDS LÄN</t>
        </is>
      </c>
      <c r="E588" t="inlineStr">
        <is>
          <t>ÅNGE</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22237-2021</t>
        </is>
      </c>
      <c r="B589" s="1" t="n">
        <v>44326</v>
      </c>
      <c r="C589" s="1" t="n">
        <v>45574</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22597-2021</t>
        </is>
      </c>
      <c r="B590" s="1" t="n">
        <v>44326</v>
      </c>
      <c r="C590" s="1" t="n">
        <v>45574</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23018-2021</t>
        </is>
      </c>
      <c r="B591" s="1" t="n">
        <v>44328</v>
      </c>
      <c r="C591" s="1" t="n">
        <v>45574</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23017-2021</t>
        </is>
      </c>
      <c r="B592" s="1" t="n">
        <v>44329</v>
      </c>
      <c r="C592" s="1" t="n">
        <v>45574</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23016-2021</t>
        </is>
      </c>
      <c r="B593" s="1" t="n">
        <v>44329</v>
      </c>
      <c r="C593" s="1" t="n">
        <v>45574</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24233-2021</t>
        </is>
      </c>
      <c r="B594" s="1" t="n">
        <v>44336</v>
      </c>
      <c r="C594" s="1" t="n">
        <v>45574</v>
      </c>
      <c r="D594" t="inlineStr">
        <is>
          <t>VÄSTERNORRLANDS LÄN</t>
        </is>
      </c>
      <c r="E594" t="inlineStr">
        <is>
          <t>ÅNGE</t>
        </is>
      </c>
      <c r="G594" t="n">
        <v>3.2</v>
      </c>
      <c r="H594" t="n">
        <v>0</v>
      </c>
      <c r="I594" t="n">
        <v>0</v>
      </c>
      <c r="J594" t="n">
        <v>0</v>
      </c>
      <c r="K594" t="n">
        <v>0</v>
      </c>
      <c r="L594" t="n">
        <v>0</v>
      </c>
      <c r="M594" t="n">
        <v>0</v>
      </c>
      <c r="N594" t="n">
        <v>0</v>
      </c>
      <c r="O594" t="n">
        <v>0</v>
      </c>
      <c r="P594" t="n">
        <v>0</v>
      </c>
      <c r="Q594" t="n">
        <v>0</v>
      </c>
      <c r="R594" s="2" t="inlineStr"/>
    </row>
    <row r="595" ht="15" customHeight="1">
      <c r="A595" t="inlineStr">
        <is>
          <t>A 24819-2021</t>
        </is>
      </c>
      <c r="B595" s="1" t="n">
        <v>44340</v>
      </c>
      <c r="C595" s="1" t="n">
        <v>45574</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24831-2021</t>
        </is>
      </c>
      <c r="B596" s="1" t="n">
        <v>44340</v>
      </c>
      <c r="C596" s="1" t="n">
        <v>45574</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25020-2021</t>
        </is>
      </c>
      <c r="B597" s="1" t="n">
        <v>44341</v>
      </c>
      <c r="C597" s="1" t="n">
        <v>45574</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24953-2021</t>
        </is>
      </c>
      <c r="B598" s="1" t="n">
        <v>44341</v>
      </c>
      <c r="C598" s="1" t="n">
        <v>45574</v>
      </c>
      <c r="D598" t="inlineStr">
        <is>
          <t>VÄSTERNORRLANDS LÄN</t>
        </is>
      </c>
      <c r="E598" t="inlineStr">
        <is>
          <t>ÅNGE</t>
        </is>
      </c>
      <c r="G598" t="n">
        <v>6.1</v>
      </c>
      <c r="H598" t="n">
        <v>0</v>
      </c>
      <c r="I598" t="n">
        <v>0</v>
      </c>
      <c r="J598" t="n">
        <v>0</v>
      </c>
      <c r="K598" t="n">
        <v>0</v>
      </c>
      <c r="L598" t="n">
        <v>0</v>
      </c>
      <c r="M598" t="n">
        <v>0</v>
      </c>
      <c r="N598" t="n">
        <v>0</v>
      </c>
      <c r="O598" t="n">
        <v>0</v>
      </c>
      <c r="P598" t="n">
        <v>0</v>
      </c>
      <c r="Q598" t="n">
        <v>0</v>
      </c>
      <c r="R598" s="2" t="inlineStr"/>
    </row>
    <row r="599" ht="15" customHeight="1">
      <c r="A599" t="inlineStr">
        <is>
          <t>A 24977-2021</t>
        </is>
      </c>
      <c r="B599" s="1" t="n">
        <v>44341</v>
      </c>
      <c r="C599" s="1" t="n">
        <v>45574</v>
      </c>
      <c r="D599" t="inlineStr">
        <is>
          <t>VÄSTERNORRLANDS LÄN</t>
        </is>
      </c>
      <c r="E599" t="inlineStr">
        <is>
          <t>ÅNGE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26088-2021</t>
        </is>
      </c>
      <c r="B600" s="1" t="n">
        <v>44345</v>
      </c>
      <c r="C600" s="1" t="n">
        <v>45574</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26193-2021</t>
        </is>
      </c>
      <c r="B601" s="1" t="n">
        <v>44347</v>
      </c>
      <c r="C601" s="1" t="n">
        <v>45574</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26966-2021</t>
        </is>
      </c>
      <c r="B602" s="1" t="n">
        <v>44350</v>
      </c>
      <c r="C602" s="1" t="n">
        <v>45574</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26969-2021</t>
        </is>
      </c>
      <c r="B603" s="1" t="n">
        <v>44350</v>
      </c>
      <c r="C603" s="1" t="n">
        <v>45574</v>
      </c>
      <c r="D603" t="inlineStr">
        <is>
          <t>VÄSTERNORRLANDS LÄN</t>
        </is>
      </c>
      <c r="E603" t="inlineStr">
        <is>
          <t>ÅNGE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27288-2021</t>
        </is>
      </c>
      <c r="B604" s="1" t="n">
        <v>44351</v>
      </c>
      <c r="C604" s="1" t="n">
        <v>45574</v>
      </c>
      <c r="D604" t="inlineStr">
        <is>
          <t>VÄSTERNORRLANDS LÄN</t>
        </is>
      </c>
      <c r="E604" t="inlineStr">
        <is>
          <t>ÅNGE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45574</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27953-2021</t>
        </is>
      </c>
      <c r="B606" s="1" t="n">
        <v>44355</v>
      </c>
      <c r="C606" s="1" t="n">
        <v>45574</v>
      </c>
      <c r="D606" t="inlineStr">
        <is>
          <t>VÄSTERNORRLANDS LÄN</t>
        </is>
      </c>
      <c r="E606" t="inlineStr">
        <is>
          <t>ÅNGE</t>
        </is>
      </c>
      <c r="G606" t="n">
        <v>2.9</v>
      </c>
      <c r="H606" t="n">
        <v>0</v>
      </c>
      <c r="I606" t="n">
        <v>0</v>
      </c>
      <c r="J606" t="n">
        <v>0</v>
      </c>
      <c r="K606" t="n">
        <v>0</v>
      </c>
      <c r="L606" t="n">
        <v>0</v>
      </c>
      <c r="M606" t="n">
        <v>0</v>
      </c>
      <c r="N606" t="n">
        <v>0</v>
      </c>
      <c r="O606" t="n">
        <v>0</v>
      </c>
      <c r="P606" t="n">
        <v>0</v>
      </c>
      <c r="Q606" t="n">
        <v>0</v>
      </c>
      <c r="R606" s="2" t="inlineStr"/>
    </row>
    <row r="607" ht="15" customHeight="1">
      <c r="A607" t="inlineStr">
        <is>
          <t>A 27957-2021</t>
        </is>
      </c>
      <c r="B607" s="1" t="n">
        <v>44354</v>
      </c>
      <c r="C607" s="1" t="n">
        <v>45574</v>
      </c>
      <c r="D607" t="inlineStr">
        <is>
          <t>VÄSTERNORRLANDS LÄN</t>
        </is>
      </c>
      <c r="E607" t="inlineStr">
        <is>
          <t>ÅNGE</t>
        </is>
      </c>
      <c r="G607" t="n">
        <v>13.5</v>
      </c>
      <c r="H607" t="n">
        <v>0</v>
      </c>
      <c r="I607" t="n">
        <v>0</v>
      </c>
      <c r="J607" t="n">
        <v>0</v>
      </c>
      <c r="K607" t="n">
        <v>0</v>
      </c>
      <c r="L607" t="n">
        <v>0</v>
      </c>
      <c r="M607" t="n">
        <v>0</v>
      </c>
      <c r="N607" t="n">
        <v>0</v>
      </c>
      <c r="O607" t="n">
        <v>0</v>
      </c>
      <c r="P607" t="n">
        <v>0</v>
      </c>
      <c r="Q607" t="n">
        <v>0</v>
      </c>
      <c r="R607" s="2" t="inlineStr"/>
    </row>
    <row r="608" ht="15" customHeight="1">
      <c r="A608" t="inlineStr">
        <is>
          <t>A 29048-2021</t>
        </is>
      </c>
      <c r="B608" s="1" t="n">
        <v>44358</v>
      </c>
      <c r="C608" s="1" t="n">
        <v>45574</v>
      </c>
      <c r="D608" t="inlineStr">
        <is>
          <t>VÄSTERNORRLANDS LÄN</t>
        </is>
      </c>
      <c r="E608" t="inlineStr">
        <is>
          <t>ÅNGE</t>
        </is>
      </c>
      <c r="G608" t="n">
        <v>2.5</v>
      </c>
      <c r="H608" t="n">
        <v>0</v>
      </c>
      <c r="I608" t="n">
        <v>0</v>
      </c>
      <c r="J608" t="n">
        <v>0</v>
      </c>
      <c r="K608" t="n">
        <v>0</v>
      </c>
      <c r="L608" t="n">
        <v>0</v>
      </c>
      <c r="M608" t="n">
        <v>0</v>
      </c>
      <c r="N608" t="n">
        <v>0</v>
      </c>
      <c r="O608" t="n">
        <v>0</v>
      </c>
      <c r="P608" t="n">
        <v>0</v>
      </c>
      <c r="Q608" t="n">
        <v>0</v>
      </c>
      <c r="R608" s="2" t="inlineStr"/>
    </row>
    <row r="609" ht="15" customHeight="1">
      <c r="A609" t="inlineStr">
        <is>
          <t>A 29180-2021</t>
        </is>
      </c>
      <c r="B609" s="1" t="n">
        <v>44358</v>
      </c>
      <c r="C609" s="1" t="n">
        <v>45574</v>
      </c>
      <c r="D609" t="inlineStr">
        <is>
          <t>VÄSTERNORRLANDS LÄN</t>
        </is>
      </c>
      <c r="E609" t="inlineStr">
        <is>
          <t>ÅNGE</t>
        </is>
      </c>
      <c r="G609" t="n">
        <v>5.3</v>
      </c>
      <c r="H609" t="n">
        <v>0</v>
      </c>
      <c r="I609" t="n">
        <v>0</v>
      </c>
      <c r="J609" t="n">
        <v>0</v>
      </c>
      <c r="K609" t="n">
        <v>0</v>
      </c>
      <c r="L609" t="n">
        <v>0</v>
      </c>
      <c r="M609" t="n">
        <v>0</v>
      </c>
      <c r="N609" t="n">
        <v>0</v>
      </c>
      <c r="O609" t="n">
        <v>0</v>
      </c>
      <c r="P609" t="n">
        <v>0</v>
      </c>
      <c r="Q609" t="n">
        <v>0</v>
      </c>
      <c r="R609" s="2" t="inlineStr"/>
    </row>
    <row r="610" ht="15" customHeight="1">
      <c r="A610" t="inlineStr">
        <is>
          <t>A 29187-2021</t>
        </is>
      </c>
      <c r="B610" s="1" t="n">
        <v>44358</v>
      </c>
      <c r="C610" s="1" t="n">
        <v>45574</v>
      </c>
      <c r="D610" t="inlineStr">
        <is>
          <t>VÄSTERNORRLANDS LÄN</t>
        </is>
      </c>
      <c r="E610" t="inlineStr">
        <is>
          <t>ÅNGE</t>
        </is>
      </c>
      <c r="G610" t="n">
        <v>0.3</v>
      </c>
      <c r="H610" t="n">
        <v>0</v>
      </c>
      <c r="I610" t="n">
        <v>0</v>
      </c>
      <c r="J610" t="n">
        <v>0</v>
      </c>
      <c r="K610" t="n">
        <v>0</v>
      </c>
      <c r="L610" t="n">
        <v>0</v>
      </c>
      <c r="M610" t="n">
        <v>0</v>
      </c>
      <c r="N610" t="n">
        <v>0</v>
      </c>
      <c r="O610" t="n">
        <v>0</v>
      </c>
      <c r="P610" t="n">
        <v>0</v>
      </c>
      <c r="Q610" t="n">
        <v>0</v>
      </c>
      <c r="R610" s="2" t="inlineStr"/>
    </row>
    <row r="611" ht="15" customHeight="1">
      <c r="A611" t="inlineStr">
        <is>
          <t>A 29191-2021</t>
        </is>
      </c>
      <c r="B611" s="1" t="n">
        <v>44358</v>
      </c>
      <c r="C611" s="1" t="n">
        <v>45574</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29390-2021</t>
        </is>
      </c>
      <c r="B612" s="1" t="n">
        <v>44361</v>
      </c>
      <c r="C612" s="1" t="n">
        <v>45574</v>
      </c>
      <c r="D612" t="inlineStr">
        <is>
          <t>VÄSTERNORRLANDS LÄN</t>
        </is>
      </c>
      <c r="E612" t="inlineStr">
        <is>
          <t>ÅNGE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29509-2021</t>
        </is>
      </c>
      <c r="B613" s="1" t="n">
        <v>44361</v>
      </c>
      <c r="C613" s="1" t="n">
        <v>45574</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30286-2021</t>
        </is>
      </c>
      <c r="B614" s="1" t="n">
        <v>44363</v>
      </c>
      <c r="C614" s="1" t="n">
        <v>45574</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30339-2021</t>
        </is>
      </c>
      <c r="B615" s="1" t="n">
        <v>44364</v>
      </c>
      <c r="C615" s="1" t="n">
        <v>45574</v>
      </c>
      <c r="D615" t="inlineStr">
        <is>
          <t>VÄSTERNORRLANDS LÄN</t>
        </is>
      </c>
      <c r="E615" t="inlineStr">
        <is>
          <t>ÅNGE</t>
        </is>
      </c>
      <c r="G615" t="n">
        <v>23.8</v>
      </c>
      <c r="H615" t="n">
        <v>0</v>
      </c>
      <c r="I615" t="n">
        <v>0</v>
      </c>
      <c r="J615" t="n">
        <v>0</v>
      </c>
      <c r="K615" t="n">
        <v>0</v>
      </c>
      <c r="L615" t="n">
        <v>0</v>
      </c>
      <c r="M615" t="n">
        <v>0</v>
      </c>
      <c r="N615" t="n">
        <v>0</v>
      </c>
      <c r="O615" t="n">
        <v>0</v>
      </c>
      <c r="P615" t="n">
        <v>0</v>
      </c>
      <c r="Q615" t="n">
        <v>0</v>
      </c>
      <c r="R615" s="2" t="inlineStr"/>
    </row>
    <row r="616" ht="15" customHeight="1">
      <c r="A616" t="inlineStr">
        <is>
          <t>A 30345-2021</t>
        </is>
      </c>
      <c r="B616" s="1" t="n">
        <v>44364</v>
      </c>
      <c r="C616" s="1" t="n">
        <v>45574</v>
      </c>
      <c r="D616" t="inlineStr">
        <is>
          <t>VÄSTERNORRLANDS LÄN</t>
        </is>
      </c>
      <c r="E616" t="inlineStr">
        <is>
          <t>ÅNGE</t>
        </is>
      </c>
      <c r="G616" t="n">
        <v>7.7</v>
      </c>
      <c r="H616" t="n">
        <v>0</v>
      </c>
      <c r="I616" t="n">
        <v>0</v>
      </c>
      <c r="J616" t="n">
        <v>0</v>
      </c>
      <c r="K616" t="n">
        <v>0</v>
      </c>
      <c r="L616" t="n">
        <v>0</v>
      </c>
      <c r="M616" t="n">
        <v>0</v>
      </c>
      <c r="N616" t="n">
        <v>0</v>
      </c>
      <c r="O616" t="n">
        <v>0</v>
      </c>
      <c r="P616" t="n">
        <v>0</v>
      </c>
      <c r="Q616" t="n">
        <v>0</v>
      </c>
      <c r="R616" s="2" t="inlineStr"/>
    </row>
    <row r="617" ht="15" customHeight="1">
      <c r="A617" t="inlineStr">
        <is>
          <t>A 30365-2021</t>
        </is>
      </c>
      <c r="B617" s="1" t="n">
        <v>44364</v>
      </c>
      <c r="C617" s="1" t="n">
        <v>45574</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31191-2021</t>
        </is>
      </c>
      <c r="B618" s="1" t="n">
        <v>44368</v>
      </c>
      <c r="C618" s="1" t="n">
        <v>45574</v>
      </c>
      <c r="D618" t="inlineStr">
        <is>
          <t>VÄSTERNORRLANDS LÄN</t>
        </is>
      </c>
      <c r="E618" t="inlineStr">
        <is>
          <t>ÅNGE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31668-2021</t>
        </is>
      </c>
      <c r="B619" s="1" t="n">
        <v>44369</v>
      </c>
      <c r="C619" s="1" t="n">
        <v>45574</v>
      </c>
      <c r="D619" t="inlineStr">
        <is>
          <t>VÄSTERNORRLANDS LÄN</t>
        </is>
      </c>
      <c r="E619" t="inlineStr">
        <is>
          <t>ÅNGE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32328-2021</t>
        </is>
      </c>
      <c r="B620" s="1" t="n">
        <v>44371</v>
      </c>
      <c r="C620" s="1" t="n">
        <v>45574</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33408-2021</t>
        </is>
      </c>
      <c r="B621" s="1" t="n">
        <v>44377</v>
      </c>
      <c r="C621" s="1" t="n">
        <v>45574</v>
      </c>
      <c r="D621" t="inlineStr">
        <is>
          <t>VÄSTERNORRLANDS LÄN</t>
        </is>
      </c>
      <c r="E621" t="inlineStr">
        <is>
          <t>ÅNGE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34315-2021</t>
        </is>
      </c>
      <c r="B622" s="1" t="n">
        <v>44379</v>
      </c>
      <c r="C622" s="1" t="n">
        <v>45574</v>
      </c>
      <c r="D622" t="inlineStr">
        <is>
          <t>VÄSTERNORRLANDS LÄN</t>
        </is>
      </c>
      <c r="E622" t="inlineStr">
        <is>
          <t>ÅNGE</t>
        </is>
      </c>
      <c r="G622" t="n">
        <v>16.4</v>
      </c>
      <c r="H622" t="n">
        <v>0</v>
      </c>
      <c r="I622" t="n">
        <v>0</v>
      </c>
      <c r="J622" t="n">
        <v>0</v>
      </c>
      <c r="K622" t="n">
        <v>0</v>
      </c>
      <c r="L622" t="n">
        <v>0</v>
      </c>
      <c r="M622" t="n">
        <v>0</v>
      </c>
      <c r="N622" t="n">
        <v>0</v>
      </c>
      <c r="O622" t="n">
        <v>0</v>
      </c>
      <c r="P622" t="n">
        <v>0</v>
      </c>
      <c r="Q622" t="n">
        <v>0</v>
      </c>
      <c r="R622" s="2" t="inlineStr"/>
    </row>
    <row r="623" ht="15" customHeight="1">
      <c r="A623" t="inlineStr">
        <is>
          <t>A 34320-2021</t>
        </is>
      </c>
      <c r="B623" s="1" t="n">
        <v>44379</v>
      </c>
      <c r="C623" s="1" t="n">
        <v>45574</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34783-2021</t>
        </is>
      </c>
      <c r="B624" s="1" t="n">
        <v>44382</v>
      </c>
      <c r="C624" s="1" t="n">
        <v>45574</v>
      </c>
      <c r="D624" t="inlineStr">
        <is>
          <t>VÄSTERNORRLANDS LÄN</t>
        </is>
      </c>
      <c r="E624" t="inlineStr">
        <is>
          <t>ÅNGE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35058-2021</t>
        </is>
      </c>
      <c r="B625" s="1" t="n">
        <v>44383</v>
      </c>
      <c r="C625" s="1" t="n">
        <v>45574</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35079-2021</t>
        </is>
      </c>
      <c r="B626" s="1" t="n">
        <v>44383</v>
      </c>
      <c r="C626" s="1" t="n">
        <v>45574</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35339-2021</t>
        </is>
      </c>
      <c r="B627" s="1" t="n">
        <v>44384</v>
      </c>
      <c r="C627" s="1" t="n">
        <v>45574</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35359-2021</t>
        </is>
      </c>
      <c r="B628" s="1" t="n">
        <v>44385</v>
      </c>
      <c r="C628" s="1" t="n">
        <v>45574</v>
      </c>
      <c r="D628" t="inlineStr">
        <is>
          <t>VÄSTERNORRLANDS LÄN</t>
        </is>
      </c>
      <c r="E628" t="inlineStr">
        <is>
          <t>ÅNGE</t>
        </is>
      </c>
      <c r="F628" t="inlineStr">
        <is>
          <t>SCA</t>
        </is>
      </c>
      <c r="G628" t="n">
        <v>10.1</v>
      </c>
      <c r="H628" t="n">
        <v>0</v>
      </c>
      <c r="I628" t="n">
        <v>0</v>
      </c>
      <c r="J628" t="n">
        <v>0</v>
      </c>
      <c r="K628" t="n">
        <v>0</v>
      </c>
      <c r="L628" t="n">
        <v>0</v>
      </c>
      <c r="M628" t="n">
        <v>0</v>
      </c>
      <c r="N628" t="n">
        <v>0</v>
      </c>
      <c r="O628" t="n">
        <v>0</v>
      </c>
      <c r="P628" t="n">
        <v>0</v>
      </c>
      <c r="Q628" t="n">
        <v>0</v>
      </c>
      <c r="R628" s="2" t="inlineStr"/>
    </row>
    <row r="629" ht="15" customHeight="1">
      <c r="A629" t="inlineStr">
        <is>
          <t>A 36457-2021</t>
        </is>
      </c>
      <c r="B629" s="1" t="n">
        <v>44391</v>
      </c>
      <c r="C629" s="1" t="n">
        <v>45574</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37010-2021</t>
        </is>
      </c>
      <c r="B630" s="1" t="n">
        <v>44393</v>
      </c>
      <c r="C630" s="1" t="n">
        <v>45574</v>
      </c>
      <c r="D630" t="inlineStr">
        <is>
          <t>VÄSTERNORRLANDS LÄN</t>
        </is>
      </c>
      <c r="E630" t="inlineStr">
        <is>
          <t>ÅNGE</t>
        </is>
      </c>
      <c r="F630" t="inlineStr">
        <is>
          <t>Kyrkan</t>
        </is>
      </c>
      <c r="G630" t="n">
        <v>16.8</v>
      </c>
      <c r="H630" t="n">
        <v>0</v>
      </c>
      <c r="I630" t="n">
        <v>0</v>
      </c>
      <c r="J630" t="n">
        <v>0</v>
      </c>
      <c r="K630" t="n">
        <v>0</v>
      </c>
      <c r="L630" t="n">
        <v>0</v>
      </c>
      <c r="M630" t="n">
        <v>0</v>
      </c>
      <c r="N630" t="n">
        <v>0</v>
      </c>
      <c r="O630" t="n">
        <v>0</v>
      </c>
      <c r="P630" t="n">
        <v>0</v>
      </c>
      <c r="Q630" t="n">
        <v>0</v>
      </c>
      <c r="R630" s="2" t="inlineStr"/>
    </row>
    <row r="631" ht="15" customHeight="1">
      <c r="A631" t="inlineStr">
        <is>
          <t>A 37051-2021</t>
        </is>
      </c>
      <c r="B631" s="1" t="n">
        <v>44393</v>
      </c>
      <c r="C631" s="1" t="n">
        <v>45574</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37013-2021</t>
        </is>
      </c>
      <c r="B632" s="1" t="n">
        <v>44393</v>
      </c>
      <c r="C632" s="1" t="n">
        <v>45574</v>
      </c>
      <c r="D632" t="inlineStr">
        <is>
          <t>VÄSTERNORRLANDS LÄN</t>
        </is>
      </c>
      <c r="E632" t="inlineStr">
        <is>
          <t>ÅNGE</t>
        </is>
      </c>
      <c r="G632" t="n">
        <v>8.6</v>
      </c>
      <c r="H632" t="n">
        <v>0</v>
      </c>
      <c r="I632" t="n">
        <v>0</v>
      </c>
      <c r="J632" t="n">
        <v>0</v>
      </c>
      <c r="K632" t="n">
        <v>0</v>
      </c>
      <c r="L632" t="n">
        <v>0</v>
      </c>
      <c r="M632" t="n">
        <v>0</v>
      </c>
      <c r="N632" t="n">
        <v>0</v>
      </c>
      <c r="O632" t="n">
        <v>0</v>
      </c>
      <c r="P632" t="n">
        <v>0</v>
      </c>
      <c r="Q632" t="n">
        <v>0</v>
      </c>
      <c r="R632" s="2" t="inlineStr"/>
    </row>
    <row r="633" ht="15" customHeight="1">
      <c r="A633" t="inlineStr">
        <is>
          <t>A 37382-2021</t>
        </is>
      </c>
      <c r="B633" s="1" t="n">
        <v>44397</v>
      </c>
      <c r="C633" s="1" t="n">
        <v>45574</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37605-2021</t>
        </is>
      </c>
      <c r="B634" s="1" t="n">
        <v>44399</v>
      </c>
      <c r="C634" s="1" t="n">
        <v>45574</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37620-2021</t>
        </is>
      </c>
      <c r="B635" s="1" t="n">
        <v>44399</v>
      </c>
      <c r="C635" s="1" t="n">
        <v>45574</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37624-2021</t>
        </is>
      </c>
      <c r="B636" s="1" t="n">
        <v>44399</v>
      </c>
      <c r="C636" s="1" t="n">
        <v>45574</v>
      </c>
      <c r="D636" t="inlineStr">
        <is>
          <t>VÄSTERNORRLANDS LÄN</t>
        </is>
      </c>
      <c r="E636" t="inlineStr">
        <is>
          <t>ÅNGE</t>
        </is>
      </c>
      <c r="G636" t="n">
        <v>4.1</v>
      </c>
      <c r="H636" t="n">
        <v>0</v>
      </c>
      <c r="I636" t="n">
        <v>0</v>
      </c>
      <c r="J636" t="n">
        <v>0</v>
      </c>
      <c r="K636" t="n">
        <v>0</v>
      </c>
      <c r="L636" t="n">
        <v>0</v>
      </c>
      <c r="M636" t="n">
        <v>0</v>
      </c>
      <c r="N636" t="n">
        <v>0</v>
      </c>
      <c r="O636" t="n">
        <v>0</v>
      </c>
      <c r="P636" t="n">
        <v>0</v>
      </c>
      <c r="Q636" t="n">
        <v>0</v>
      </c>
      <c r="R636" s="2" t="inlineStr"/>
    </row>
    <row r="637" ht="15" customHeight="1">
      <c r="A637" t="inlineStr">
        <is>
          <t>A 37621-2021</t>
        </is>
      </c>
      <c r="B637" s="1" t="n">
        <v>44399</v>
      </c>
      <c r="C637" s="1" t="n">
        <v>45574</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38237-2021</t>
        </is>
      </c>
      <c r="B638" s="1" t="n">
        <v>44405</v>
      </c>
      <c r="C638" s="1" t="n">
        <v>45574</v>
      </c>
      <c r="D638" t="inlineStr">
        <is>
          <t>VÄSTERNORRLANDS LÄN</t>
        </is>
      </c>
      <c r="E638" t="inlineStr">
        <is>
          <t>ÅNGE</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38369-2021</t>
        </is>
      </c>
      <c r="B639" s="1" t="n">
        <v>44406</v>
      </c>
      <c r="C639" s="1" t="n">
        <v>45574</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38432-2021</t>
        </is>
      </c>
      <c r="B640" s="1" t="n">
        <v>44406</v>
      </c>
      <c r="C640" s="1" t="n">
        <v>45574</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45574</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39729-2021</t>
        </is>
      </c>
      <c r="B642" s="1" t="n">
        <v>44417</v>
      </c>
      <c r="C642" s="1" t="n">
        <v>45574</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39744-2021</t>
        </is>
      </c>
      <c r="B643" s="1" t="n">
        <v>44417</v>
      </c>
      <c r="C643" s="1" t="n">
        <v>45574</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41070-2021</t>
        </is>
      </c>
      <c r="B644" s="1" t="n">
        <v>44422</v>
      </c>
      <c r="C644" s="1" t="n">
        <v>45574</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41831-2021</t>
        </is>
      </c>
      <c r="B645" s="1" t="n">
        <v>44426</v>
      </c>
      <c r="C645" s="1" t="n">
        <v>45574</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41829-2021</t>
        </is>
      </c>
      <c r="B646" s="1" t="n">
        <v>44426</v>
      </c>
      <c r="C646" s="1" t="n">
        <v>45574</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43076-2021</t>
        </is>
      </c>
      <c r="B647" s="1" t="n">
        <v>44431</v>
      </c>
      <c r="C647" s="1" t="n">
        <v>45574</v>
      </c>
      <c r="D647" t="inlineStr">
        <is>
          <t>VÄSTERNORRLANDS LÄN</t>
        </is>
      </c>
      <c r="E647" t="inlineStr">
        <is>
          <t>ÅNGE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42881-2021</t>
        </is>
      </c>
      <c r="B648" s="1" t="n">
        <v>44431</v>
      </c>
      <c r="C648" s="1" t="n">
        <v>45574</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43849-2021</t>
        </is>
      </c>
      <c r="B649" s="1" t="n">
        <v>44433</v>
      </c>
      <c r="C649" s="1" t="n">
        <v>45574</v>
      </c>
      <c r="D649" t="inlineStr">
        <is>
          <t>VÄSTERNORRLANDS LÄN</t>
        </is>
      </c>
      <c r="E649" t="inlineStr">
        <is>
          <t>ÅNGE</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44415-2021</t>
        </is>
      </c>
      <c r="B650" s="1" t="n">
        <v>44435</v>
      </c>
      <c r="C650" s="1" t="n">
        <v>45574</v>
      </c>
      <c r="D650" t="inlineStr">
        <is>
          <t>VÄSTERNORRLANDS LÄN</t>
        </is>
      </c>
      <c r="E650" t="inlineStr">
        <is>
          <t>ÅNGE</t>
        </is>
      </c>
      <c r="G650" t="n">
        <v>5.2</v>
      </c>
      <c r="H650" t="n">
        <v>0</v>
      </c>
      <c r="I650" t="n">
        <v>0</v>
      </c>
      <c r="J650" t="n">
        <v>0</v>
      </c>
      <c r="K650" t="n">
        <v>0</v>
      </c>
      <c r="L650" t="n">
        <v>0</v>
      </c>
      <c r="M650" t="n">
        <v>0</v>
      </c>
      <c r="N650" t="n">
        <v>0</v>
      </c>
      <c r="O650" t="n">
        <v>0</v>
      </c>
      <c r="P650" t="n">
        <v>0</v>
      </c>
      <c r="Q650" t="n">
        <v>0</v>
      </c>
      <c r="R650" s="2" t="inlineStr"/>
    </row>
    <row r="651" ht="15" customHeight="1">
      <c r="A651" t="inlineStr">
        <is>
          <t>A 44608-2021</t>
        </is>
      </c>
      <c r="B651" s="1" t="n">
        <v>44436</v>
      </c>
      <c r="C651" s="1" t="n">
        <v>45574</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45145-2021</t>
        </is>
      </c>
      <c r="B652" s="1" t="n">
        <v>44439</v>
      </c>
      <c r="C652" s="1" t="n">
        <v>45574</v>
      </c>
      <c r="D652" t="inlineStr">
        <is>
          <t>VÄSTERNORRLANDS LÄN</t>
        </is>
      </c>
      <c r="E652" t="inlineStr">
        <is>
          <t>ÅNGE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45353-2021</t>
        </is>
      </c>
      <c r="B653" s="1" t="n">
        <v>44439</v>
      </c>
      <c r="C653" s="1" t="n">
        <v>45574</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45631-2021</t>
        </is>
      </c>
      <c r="B654" s="1" t="n">
        <v>44441</v>
      </c>
      <c r="C654" s="1" t="n">
        <v>45574</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45735-2021</t>
        </is>
      </c>
      <c r="B655" s="1" t="n">
        <v>44441</v>
      </c>
      <c r="C655" s="1" t="n">
        <v>45574</v>
      </c>
      <c r="D655" t="inlineStr">
        <is>
          <t>VÄSTERNORRLANDS LÄN</t>
        </is>
      </c>
      <c r="E655" t="inlineStr">
        <is>
          <t>ÅNGE</t>
        </is>
      </c>
      <c r="F655" t="inlineStr">
        <is>
          <t>Sveaskog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45890-2021</t>
        </is>
      </c>
      <c r="B656" s="1" t="n">
        <v>44441</v>
      </c>
      <c r="C656" s="1" t="n">
        <v>45574</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46053-2021</t>
        </is>
      </c>
      <c r="B657" s="1" t="n">
        <v>44441</v>
      </c>
      <c r="C657" s="1" t="n">
        <v>45574</v>
      </c>
      <c r="D657" t="inlineStr">
        <is>
          <t>VÄSTERNORRLANDS LÄN</t>
        </is>
      </c>
      <c r="E657" t="inlineStr">
        <is>
          <t>ÅNGE</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46865-2021</t>
        </is>
      </c>
      <c r="B658" s="1" t="n">
        <v>44446</v>
      </c>
      <c r="C658" s="1" t="n">
        <v>45574</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46824-2021</t>
        </is>
      </c>
      <c r="B659" s="1" t="n">
        <v>44446</v>
      </c>
      <c r="C659" s="1" t="n">
        <v>45574</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48876-2021</t>
        </is>
      </c>
      <c r="B660" s="1" t="n">
        <v>44452</v>
      </c>
      <c r="C660" s="1" t="n">
        <v>45574</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48990-2021</t>
        </is>
      </c>
      <c r="B661" s="1" t="n">
        <v>44453</v>
      </c>
      <c r="C661" s="1" t="n">
        <v>45574</v>
      </c>
      <c r="D661" t="inlineStr">
        <is>
          <t>VÄSTERNORRLANDS LÄN</t>
        </is>
      </c>
      <c r="E661" t="inlineStr">
        <is>
          <t>ÅNGE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48988-2021</t>
        </is>
      </c>
      <c r="B662" s="1" t="n">
        <v>44453</v>
      </c>
      <c r="C662" s="1" t="n">
        <v>45574</v>
      </c>
      <c r="D662" t="inlineStr">
        <is>
          <t>VÄSTERNORRLANDS LÄN</t>
        </is>
      </c>
      <c r="E662" t="inlineStr">
        <is>
          <t>ÅNGE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49137-2021</t>
        </is>
      </c>
      <c r="B663" s="1" t="n">
        <v>44453</v>
      </c>
      <c r="C663" s="1" t="n">
        <v>45574</v>
      </c>
      <c r="D663" t="inlineStr">
        <is>
          <t>VÄSTERNORRLANDS LÄN</t>
        </is>
      </c>
      <c r="E663" t="inlineStr">
        <is>
          <t>ÅNGE</t>
        </is>
      </c>
      <c r="G663" t="n">
        <v>2.3</v>
      </c>
      <c r="H663" t="n">
        <v>0</v>
      </c>
      <c r="I663" t="n">
        <v>0</v>
      </c>
      <c r="J663" t="n">
        <v>0</v>
      </c>
      <c r="K663" t="n">
        <v>0</v>
      </c>
      <c r="L663" t="n">
        <v>0</v>
      </c>
      <c r="M663" t="n">
        <v>0</v>
      </c>
      <c r="N663" t="n">
        <v>0</v>
      </c>
      <c r="O663" t="n">
        <v>0</v>
      </c>
      <c r="P663" t="n">
        <v>0</v>
      </c>
      <c r="Q663" t="n">
        <v>0</v>
      </c>
      <c r="R663" s="2" t="inlineStr"/>
    </row>
    <row r="664" ht="15" customHeight="1">
      <c r="A664" t="inlineStr">
        <is>
          <t>A 50333-2021</t>
        </is>
      </c>
      <c r="B664" s="1" t="n">
        <v>44454</v>
      </c>
      <c r="C664" s="1" t="n">
        <v>45574</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50125-2021</t>
        </is>
      </c>
      <c r="B665" s="1" t="n">
        <v>44456</v>
      </c>
      <c r="C665" s="1" t="n">
        <v>45574</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50196-2021</t>
        </is>
      </c>
      <c r="B666" s="1" t="n">
        <v>44457</v>
      </c>
      <c r="C666" s="1" t="n">
        <v>45574</v>
      </c>
      <c r="D666" t="inlineStr">
        <is>
          <t>VÄSTERNORRLANDS LÄN</t>
        </is>
      </c>
      <c r="E666" t="inlineStr">
        <is>
          <t>ÅNGE</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50186-2021</t>
        </is>
      </c>
      <c r="B667" s="1" t="n">
        <v>44456</v>
      </c>
      <c r="C667" s="1" t="n">
        <v>45574</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50234-2021</t>
        </is>
      </c>
      <c r="B668" s="1" t="n">
        <v>44458</v>
      </c>
      <c r="C668" s="1" t="n">
        <v>45574</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50235-2021</t>
        </is>
      </c>
      <c r="B669" s="1" t="n">
        <v>44457</v>
      </c>
      <c r="C669" s="1" t="n">
        <v>45574</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50651-2021</t>
        </is>
      </c>
      <c r="B670" s="1" t="n">
        <v>44459</v>
      </c>
      <c r="C670" s="1" t="n">
        <v>45574</v>
      </c>
      <c r="D670" t="inlineStr">
        <is>
          <t>VÄSTERNORRLANDS LÄN</t>
        </is>
      </c>
      <c r="E670" t="inlineStr">
        <is>
          <t>ÅNGE</t>
        </is>
      </c>
      <c r="G670" t="n">
        <v>20.6</v>
      </c>
      <c r="H670" t="n">
        <v>0</v>
      </c>
      <c r="I670" t="n">
        <v>0</v>
      </c>
      <c r="J670" t="n">
        <v>0</v>
      </c>
      <c r="K670" t="n">
        <v>0</v>
      </c>
      <c r="L670" t="n">
        <v>0</v>
      </c>
      <c r="M670" t="n">
        <v>0</v>
      </c>
      <c r="N670" t="n">
        <v>0</v>
      </c>
      <c r="O670" t="n">
        <v>0</v>
      </c>
      <c r="P670" t="n">
        <v>0</v>
      </c>
      <c r="Q670" t="n">
        <v>0</v>
      </c>
      <c r="R670" s="2" t="inlineStr"/>
    </row>
    <row r="671" ht="15" customHeight="1">
      <c r="A671" t="inlineStr">
        <is>
          <t>A 50733-2021</t>
        </is>
      </c>
      <c r="B671" s="1" t="n">
        <v>44460</v>
      </c>
      <c r="C671" s="1" t="n">
        <v>45574</v>
      </c>
      <c r="D671" t="inlineStr">
        <is>
          <t>VÄSTERNORRLANDS LÄN</t>
        </is>
      </c>
      <c r="E671" t="inlineStr">
        <is>
          <t>ÅNGE</t>
        </is>
      </c>
      <c r="G671" t="n">
        <v>2.1</v>
      </c>
      <c r="H671" t="n">
        <v>0</v>
      </c>
      <c r="I671" t="n">
        <v>0</v>
      </c>
      <c r="J671" t="n">
        <v>0</v>
      </c>
      <c r="K671" t="n">
        <v>0</v>
      </c>
      <c r="L671" t="n">
        <v>0</v>
      </c>
      <c r="M671" t="n">
        <v>0</v>
      </c>
      <c r="N671" t="n">
        <v>0</v>
      </c>
      <c r="O671" t="n">
        <v>0</v>
      </c>
      <c r="P671" t="n">
        <v>0</v>
      </c>
      <c r="Q671" t="n">
        <v>0</v>
      </c>
      <c r="R671" s="2" t="inlineStr"/>
    </row>
    <row r="672" ht="15" customHeight="1">
      <c r="A672" t="inlineStr">
        <is>
          <t>A 50960-2021</t>
        </is>
      </c>
      <c r="B672" s="1" t="n">
        <v>44460</v>
      </c>
      <c r="C672" s="1" t="n">
        <v>45574</v>
      </c>
      <c r="D672" t="inlineStr">
        <is>
          <t>VÄSTERNORRLANDS LÄN</t>
        </is>
      </c>
      <c r="E672" t="inlineStr">
        <is>
          <t>ÅNGE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51179-2021</t>
        </is>
      </c>
      <c r="B673" s="1" t="n">
        <v>44461</v>
      </c>
      <c r="C673" s="1" t="n">
        <v>45574</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51163-2021</t>
        </is>
      </c>
      <c r="B674" s="1" t="n">
        <v>44461</v>
      </c>
      <c r="C674" s="1" t="n">
        <v>45574</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51428-2021</t>
        </is>
      </c>
      <c r="B675" s="1" t="n">
        <v>44461</v>
      </c>
      <c r="C675" s="1" t="n">
        <v>45574</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51427-2021</t>
        </is>
      </c>
      <c r="B676" s="1" t="n">
        <v>44461</v>
      </c>
      <c r="C676" s="1" t="n">
        <v>45574</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52705-2021</t>
        </is>
      </c>
      <c r="B677" s="1" t="n">
        <v>44466</v>
      </c>
      <c r="C677" s="1" t="n">
        <v>45574</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52726-2021</t>
        </is>
      </c>
      <c r="B678" s="1" t="n">
        <v>44466</v>
      </c>
      <c r="C678" s="1" t="n">
        <v>45574</v>
      </c>
      <c r="D678" t="inlineStr">
        <is>
          <t>VÄSTERNORRLANDS LÄN</t>
        </is>
      </c>
      <c r="E678" t="inlineStr">
        <is>
          <t>ÅNGE</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53970-2021</t>
        </is>
      </c>
      <c r="B679" s="1" t="n">
        <v>44469</v>
      </c>
      <c r="C679" s="1" t="n">
        <v>45574</v>
      </c>
      <c r="D679" t="inlineStr">
        <is>
          <t>VÄSTERNORRLANDS LÄN</t>
        </is>
      </c>
      <c r="E679" t="inlineStr">
        <is>
          <t>ÅNGE</t>
        </is>
      </c>
      <c r="G679" t="n">
        <v>3.4</v>
      </c>
      <c r="H679" t="n">
        <v>0</v>
      </c>
      <c r="I679" t="n">
        <v>0</v>
      </c>
      <c r="J679" t="n">
        <v>0</v>
      </c>
      <c r="K679" t="n">
        <v>0</v>
      </c>
      <c r="L679" t="n">
        <v>0</v>
      </c>
      <c r="M679" t="n">
        <v>0</v>
      </c>
      <c r="N679" t="n">
        <v>0</v>
      </c>
      <c r="O679" t="n">
        <v>0</v>
      </c>
      <c r="P679" t="n">
        <v>0</v>
      </c>
      <c r="Q679" t="n">
        <v>0</v>
      </c>
      <c r="R679" s="2" t="inlineStr"/>
    </row>
    <row r="680" ht="15" customHeight="1">
      <c r="A680" t="inlineStr">
        <is>
          <t>A 53969-2021</t>
        </is>
      </c>
      <c r="B680" s="1" t="n">
        <v>44469</v>
      </c>
      <c r="C680" s="1" t="n">
        <v>45574</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54750-2021</t>
        </is>
      </c>
      <c r="B681" s="1" t="n">
        <v>44473</v>
      </c>
      <c r="C681" s="1" t="n">
        <v>45574</v>
      </c>
      <c r="D681" t="inlineStr">
        <is>
          <t>VÄSTERNORRLANDS LÄN</t>
        </is>
      </c>
      <c r="E681" t="inlineStr">
        <is>
          <t>ÅNGE</t>
        </is>
      </c>
      <c r="G681" t="n">
        <v>4.8</v>
      </c>
      <c r="H681" t="n">
        <v>0</v>
      </c>
      <c r="I681" t="n">
        <v>0</v>
      </c>
      <c r="J681" t="n">
        <v>0</v>
      </c>
      <c r="K681" t="n">
        <v>0</v>
      </c>
      <c r="L681" t="n">
        <v>0</v>
      </c>
      <c r="M681" t="n">
        <v>0</v>
      </c>
      <c r="N681" t="n">
        <v>0</v>
      </c>
      <c r="O681" t="n">
        <v>0</v>
      </c>
      <c r="P681" t="n">
        <v>0</v>
      </c>
      <c r="Q681" t="n">
        <v>0</v>
      </c>
      <c r="R681" s="2" t="inlineStr"/>
    </row>
    <row r="682" ht="15" customHeight="1">
      <c r="A682" t="inlineStr">
        <is>
          <t>A 54800-2021</t>
        </is>
      </c>
      <c r="B682" s="1" t="n">
        <v>44474</v>
      </c>
      <c r="C682" s="1" t="n">
        <v>45574</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54908-2021</t>
        </is>
      </c>
      <c r="B683" s="1" t="n">
        <v>44474</v>
      </c>
      <c r="C683" s="1" t="n">
        <v>45574</v>
      </c>
      <c r="D683" t="inlineStr">
        <is>
          <t>VÄSTERNORRLANDS LÄN</t>
        </is>
      </c>
      <c r="E683" t="inlineStr">
        <is>
          <t>ÅNGE</t>
        </is>
      </c>
      <c r="G683" t="n">
        <v>7.8</v>
      </c>
      <c r="H683" t="n">
        <v>0</v>
      </c>
      <c r="I683" t="n">
        <v>0</v>
      </c>
      <c r="J683" t="n">
        <v>0</v>
      </c>
      <c r="K683" t="n">
        <v>0</v>
      </c>
      <c r="L683" t="n">
        <v>0</v>
      </c>
      <c r="M683" t="n">
        <v>0</v>
      </c>
      <c r="N683" t="n">
        <v>0</v>
      </c>
      <c r="O683" t="n">
        <v>0</v>
      </c>
      <c r="P683" t="n">
        <v>0</v>
      </c>
      <c r="Q683" t="n">
        <v>0</v>
      </c>
      <c r="R683" s="2" t="inlineStr"/>
    </row>
    <row r="684" ht="15" customHeight="1">
      <c r="A684" t="inlineStr">
        <is>
          <t>A 54946-2021</t>
        </is>
      </c>
      <c r="B684" s="1" t="n">
        <v>44474</v>
      </c>
      <c r="C684" s="1" t="n">
        <v>45574</v>
      </c>
      <c r="D684" t="inlineStr">
        <is>
          <t>VÄSTERNORRLANDS LÄN</t>
        </is>
      </c>
      <c r="E684" t="inlineStr">
        <is>
          <t>ÅNGE</t>
        </is>
      </c>
      <c r="G684" t="n">
        <v>5.4</v>
      </c>
      <c r="H684" t="n">
        <v>0</v>
      </c>
      <c r="I684" t="n">
        <v>0</v>
      </c>
      <c r="J684" t="n">
        <v>0</v>
      </c>
      <c r="K684" t="n">
        <v>0</v>
      </c>
      <c r="L684" t="n">
        <v>0</v>
      </c>
      <c r="M684" t="n">
        <v>0</v>
      </c>
      <c r="N684" t="n">
        <v>0</v>
      </c>
      <c r="O684" t="n">
        <v>0</v>
      </c>
      <c r="P684" t="n">
        <v>0</v>
      </c>
      <c r="Q684" t="n">
        <v>0</v>
      </c>
      <c r="R684" s="2" t="inlineStr"/>
    </row>
    <row r="685" ht="15" customHeight="1">
      <c r="A685" t="inlineStr">
        <is>
          <t>A 55316-2021</t>
        </is>
      </c>
      <c r="B685" s="1" t="n">
        <v>44475</v>
      </c>
      <c r="C685" s="1" t="n">
        <v>45574</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55593-2021</t>
        </is>
      </c>
      <c r="B686" s="1" t="n">
        <v>44476</v>
      </c>
      <c r="C686" s="1" t="n">
        <v>45574</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55905-2021</t>
        </is>
      </c>
      <c r="B687" s="1" t="n">
        <v>44477</v>
      </c>
      <c r="C687" s="1" t="n">
        <v>45574</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55912-2021</t>
        </is>
      </c>
      <c r="B688" s="1" t="n">
        <v>44477</v>
      </c>
      <c r="C688" s="1" t="n">
        <v>45574</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56434-2021</t>
        </is>
      </c>
      <c r="B689" s="1" t="n">
        <v>44477</v>
      </c>
      <c r="C689" s="1" t="n">
        <v>45574</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56437-2021</t>
        </is>
      </c>
      <c r="B690" s="1" t="n">
        <v>44477</v>
      </c>
      <c r="C690" s="1" t="n">
        <v>45574</v>
      </c>
      <c r="D690" t="inlineStr">
        <is>
          <t>VÄSTERNORRLANDS LÄN</t>
        </is>
      </c>
      <c r="E690" t="inlineStr">
        <is>
          <t>ÅNGE</t>
        </is>
      </c>
      <c r="G690" t="n">
        <v>18.7</v>
      </c>
      <c r="H690" t="n">
        <v>0</v>
      </c>
      <c r="I690" t="n">
        <v>0</v>
      </c>
      <c r="J690" t="n">
        <v>0</v>
      </c>
      <c r="K690" t="n">
        <v>0</v>
      </c>
      <c r="L690" t="n">
        <v>0</v>
      </c>
      <c r="M690" t="n">
        <v>0</v>
      </c>
      <c r="N690" t="n">
        <v>0</v>
      </c>
      <c r="O690" t="n">
        <v>0</v>
      </c>
      <c r="P690" t="n">
        <v>0</v>
      </c>
      <c r="Q690" t="n">
        <v>0</v>
      </c>
      <c r="R690" s="2" t="inlineStr"/>
    </row>
    <row r="691" ht="15" customHeight="1">
      <c r="A691" t="inlineStr">
        <is>
          <t>A 56907-2021</t>
        </is>
      </c>
      <c r="B691" s="1" t="n">
        <v>44482</v>
      </c>
      <c r="C691" s="1" t="n">
        <v>45574</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56908-2021</t>
        </is>
      </c>
      <c r="B692" s="1" t="n">
        <v>44482</v>
      </c>
      <c r="C692" s="1" t="n">
        <v>45574</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57162-2021</t>
        </is>
      </c>
      <c r="B693" s="1" t="n">
        <v>44482</v>
      </c>
      <c r="C693" s="1" t="n">
        <v>45574</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57418-2021</t>
        </is>
      </c>
      <c r="B694" s="1" t="n">
        <v>44483</v>
      </c>
      <c r="C694" s="1" t="n">
        <v>45574</v>
      </c>
      <c r="D694" t="inlineStr">
        <is>
          <t>VÄSTERNORRLANDS LÄN</t>
        </is>
      </c>
      <c r="E694" t="inlineStr">
        <is>
          <t>ÅNGE</t>
        </is>
      </c>
      <c r="G694" t="n">
        <v>4.4</v>
      </c>
      <c r="H694" t="n">
        <v>0</v>
      </c>
      <c r="I694" t="n">
        <v>0</v>
      </c>
      <c r="J694" t="n">
        <v>0</v>
      </c>
      <c r="K694" t="n">
        <v>0</v>
      </c>
      <c r="L694" t="n">
        <v>0</v>
      </c>
      <c r="M694" t="n">
        <v>0</v>
      </c>
      <c r="N694" t="n">
        <v>0</v>
      </c>
      <c r="O694" t="n">
        <v>0</v>
      </c>
      <c r="P694" t="n">
        <v>0</v>
      </c>
      <c r="Q694" t="n">
        <v>0</v>
      </c>
      <c r="R694" s="2" t="inlineStr"/>
    </row>
    <row r="695" ht="15" customHeight="1">
      <c r="A695" t="inlineStr">
        <is>
          <t>A 58939-2021</t>
        </is>
      </c>
      <c r="B695" s="1" t="n">
        <v>44489</v>
      </c>
      <c r="C695" s="1" t="n">
        <v>45574</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58941-2021</t>
        </is>
      </c>
      <c r="B696" s="1" t="n">
        <v>44490</v>
      </c>
      <c r="C696" s="1" t="n">
        <v>45574</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58942-2021</t>
        </is>
      </c>
      <c r="B697" s="1" t="n">
        <v>44490</v>
      </c>
      <c r="C697" s="1" t="n">
        <v>45574</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59982-2021</t>
        </is>
      </c>
      <c r="B698" s="1" t="n">
        <v>44495</v>
      </c>
      <c r="C698" s="1" t="n">
        <v>45574</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59972-2021</t>
        </is>
      </c>
      <c r="B699" s="1" t="n">
        <v>44495</v>
      </c>
      <c r="C699" s="1" t="n">
        <v>45574</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59979-2021</t>
        </is>
      </c>
      <c r="B700" s="1" t="n">
        <v>44494</v>
      </c>
      <c r="C700" s="1" t="n">
        <v>45574</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59986-2021</t>
        </is>
      </c>
      <c r="B701" s="1" t="n">
        <v>44494</v>
      </c>
      <c r="C701" s="1" t="n">
        <v>45574</v>
      </c>
      <c r="D701" t="inlineStr">
        <is>
          <t>VÄSTERNORRLANDS LÄN</t>
        </is>
      </c>
      <c r="E701" t="inlineStr">
        <is>
          <t>ÅNGE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60296-2021</t>
        </is>
      </c>
      <c r="B702" s="1" t="n">
        <v>44495</v>
      </c>
      <c r="C702" s="1" t="n">
        <v>45574</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61404-2021</t>
        </is>
      </c>
      <c r="B703" s="1" t="n">
        <v>44500</v>
      </c>
      <c r="C703" s="1" t="n">
        <v>45574</v>
      </c>
      <c r="D703" t="inlineStr">
        <is>
          <t>VÄSTERNORRLANDS LÄN</t>
        </is>
      </c>
      <c r="E703" t="inlineStr">
        <is>
          <t>ÅNGE</t>
        </is>
      </c>
      <c r="G703" t="n">
        <v>6.1</v>
      </c>
      <c r="H703" t="n">
        <v>0</v>
      </c>
      <c r="I703" t="n">
        <v>0</v>
      </c>
      <c r="J703" t="n">
        <v>0</v>
      </c>
      <c r="K703" t="n">
        <v>0</v>
      </c>
      <c r="L703" t="n">
        <v>0</v>
      </c>
      <c r="M703" t="n">
        <v>0</v>
      </c>
      <c r="N703" t="n">
        <v>0</v>
      </c>
      <c r="O703" t="n">
        <v>0</v>
      </c>
      <c r="P703" t="n">
        <v>0</v>
      </c>
      <c r="Q703" t="n">
        <v>0</v>
      </c>
      <c r="R703" s="2" t="inlineStr"/>
    </row>
    <row r="704" ht="15" customHeight="1">
      <c r="A704" t="inlineStr">
        <is>
          <t>A 61761-2021</t>
        </is>
      </c>
      <c r="B704" s="1" t="n">
        <v>44501</v>
      </c>
      <c r="C704" s="1" t="n">
        <v>45574</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61909-2021</t>
        </is>
      </c>
      <c r="B705" s="1" t="n">
        <v>44502</v>
      </c>
      <c r="C705" s="1" t="n">
        <v>45574</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61928-2021</t>
        </is>
      </c>
      <c r="B706" s="1" t="n">
        <v>44502</v>
      </c>
      <c r="C706" s="1" t="n">
        <v>45574</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62069-2021</t>
        </is>
      </c>
      <c r="B707" s="1" t="n">
        <v>44502</v>
      </c>
      <c r="C707" s="1" t="n">
        <v>45574</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62127-2021</t>
        </is>
      </c>
      <c r="B708" s="1" t="n">
        <v>44502</v>
      </c>
      <c r="C708" s="1" t="n">
        <v>45574</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62834-2021</t>
        </is>
      </c>
      <c r="B709" s="1" t="n">
        <v>44503</v>
      </c>
      <c r="C709" s="1" t="n">
        <v>45574</v>
      </c>
      <c r="D709" t="inlineStr">
        <is>
          <t>VÄSTERNORRLANDS LÄN</t>
        </is>
      </c>
      <c r="E709" t="inlineStr">
        <is>
          <t>ÅNGE</t>
        </is>
      </c>
      <c r="F709" t="inlineStr">
        <is>
          <t>Övriga statliga verk och myndigheter</t>
        </is>
      </c>
      <c r="G709" t="n">
        <v>2.6</v>
      </c>
      <c r="H709" t="n">
        <v>0</v>
      </c>
      <c r="I709" t="n">
        <v>0</v>
      </c>
      <c r="J709" t="n">
        <v>0</v>
      </c>
      <c r="K709" t="n">
        <v>0</v>
      </c>
      <c r="L709" t="n">
        <v>0</v>
      </c>
      <c r="M709" t="n">
        <v>0</v>
      </c>
      <c r="N709" t="n">
        <v>0</v>
      </c>
      <c r="O709" t="n">
        <v>0</v>
      </c>
      <c r="P709" t="n">
        <v>0</v>
      </c>
      <c r="Q709" t="n">
        <v>0</v>
      </c>
      <c r="R709" s="2" t="inlineStr"/>
    </row>
    <row r="710" ht="15" customHeight="1">
      <c r="A710" t="inlineStr">
        <is>
          <t>A 62870-2021</t>
        </is>
      </c>
      <c r="B710" s="1" t="n">
        <v>44503</v>
      </c>
      <c r="C710" s="1" t="n">
        <v>45574</v>
      </c>
      <c r="D710" t="inlineStr">
        <is>
          <t>VÄSTERNORRLANDS LÄN</t>
        </is>
      </c>
      <c r="E710" t="inlineStr">
        <is>
          <t>ÅNGE</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63148-2021</t>
        </is>
      </c>
      <c r="B711" s="1" t="n">
        <v>44505</v>
      </c>
      <c r="C711" s="1" t="n">
        <v>45574</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63550-2021</t>
        </is>
      </c>
      <c r="B712" s="1" t="n">
        <v>44508</v>
      </c>
      <c r="C712" s="1" t="n">
        <v>45574</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63597-2021</t>
        </is>
      </c>
      <c r="B713" s="1" t="n">
        <v>44508</v>
      </c>
      <c r="C713" s="1" t="n">
        <v>45574</v>
      </c>
      <c r="D713" t="inlineStr">
        <is>
          <t>VÄSTERNORRLANDS LÄN</t>
        </is>
      </c>
      <c r="E713" t="inlineStr">
        <is>
          <t>ÅNGE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63522-2021</t>
        </is>
      </c>
      <c r="B714" s="1" t="n">
        <v>44508</v>
      </c>
      <c r="C714" s="1" t="n">
        <v>45574</v>
      </c>
      <c r="D714" t="inlineStr">
        <is>
          <t>VÄSTERNORRLANDS LÄN</t>
        </is>
      </c>
      <c r="E714" t="inlineStr">
        <is>
          <t>ÅNGE</t>
        </is>
      </c>
      <c r="F714" t="inlineStr">
        <is>
          <t>Övriga Aktiebolag</t>
        </is>
      </c>
      <c r="G714" t="n">
        <v>3.5</v>
      </c>
      <c r="H714" t="n">
        <v>0</v>
      </c>
      <c r="I714" t="n">
        <v>0</v>
      </c>
      <c r="J714" t="n">
        <v>0</v>
      </c>
      <c r="K714" t="n">
        <v>0</v>
      </c>
      <c r="L714" t="n">
        <v>0</v>
      </c>
      <c r="M714" t="n">
        <v>0</v>
      </c>
      <c r="N714" t="n">
        <v>0</v>
      </c>
      <c r="O714" t="n">
        <v>0</v>
      </c>
      <c r="P714" t="n">
        <v>0</v>
      </c>
      <c r="Q714" t="n">
        <v>0</v>
      </c>
      <c r="R714" s="2" t="inlineStr"/>
    </row>
    <row r="715" ht="15" customHeight="1">
      <c r="A715" t="inlineStr">
        <is>
          <t>A 63556-2021</t>
        </is>
      </c>
      <c r="B715" s="1" t="n">
        <v>44508</v>
      </c>
      <c r="C715" s="1" t="n">
        <v>45574</v>
      </c>
      <c r="D715" t="inlineStr">
        <is>
          <t>VÄSTERNORRLANDS LÄN</t>
        </is>
      </c>
      <c r="E715" t="inlineStr">
        <is>
          <t>ÅNGE</t>
        </is>
      </c>
      <c r="G715" t="n">
        <v>4.2</v>
      </c>
      <c r="H715" t="n">
        <v>0</v>
      </c>
      <c r="I715" t="n">
        <v>0</v>
      </c>
      <c r="J715" t="n">
        <v>0</v>
      </c>
      <c r="K715" t="n">
        <v>0</v>
      </c>
      <c r="L715" t="n">
        <v>0</v>
      </c>
      <c r="M715" t="n">
        <v>0</v>
      </c>
      <c r="N715" t="n">
        <v>0</v>
      </c>
      <c r="O715" t="n">
        <v>0</v>
      </c>
      <c r="P715" t="n">
        <v>0</v>
      </c>
      <c r="Q715" t="n">
        <v>0</v>
      </c>
      <c r="R715" s="2" t="inlineStr"/>
    </row>
    <row r="716" ht="15" customHeight="1">
      <c r="A716" t="inlineStr">
        <is>
          <t>A 63598-2021</t>
        </is>
      </c>
      <c r="B716" s="1" t="n">
        <v>44508</v>
      </c>
      <c r="C716" s="1" t="n">
        <v>45574</v>
      </c>
      <c r="D716" t="inlineStr">
        <is>
          <t>VÄSTERNORRLANDS LÄN</t>
        </is>
      </c>
      <c r="E716" t="inlineStr">
        <is>
          <t>ÅNGE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63607-2021</t>
        </is>
      </c>
      <c r="B717" s="1" t="n">
        <v>44508</v>
      </c>
      <c r="C717" s="1" t="n">
        <v>45574</v>
      </c>
      <c r="D717" t="inlineStr">
        <is>
          <t>VÄSTERNORRLANDS LÄN</t>
        </is>
      </c>
      <c r="E717" t="inlineStr">
        <is>
          <t>ÅNGE</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63599-2021</t>
        </is>
      </c>
      <c r="B718" s="1" t="n">
        <v>44508</v>
      </c>
      <c r="C718" s="1" t="n">
        <v>45574</v>
      </c>
      <c r="D718" t="inlineStr">
        <is>
          <t>VÄSTERNORRLANDS LÄN</t>
        </is>
      </c>
      <c r="E718" t="inlineStr">
        <is>
          <t>ÅNGE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63608-2021</t>
        </is>
      </c>
      <c r="B719" s="1" t="n">
        <v>44508</v>
      </c>
      <c r="C719" s="1" t="n">
        <v>45574</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63609-2021</t>
        </is>
      </c>
      <c r="B720" s="1" t="n">
        <v>44508</v>
      </c>
      <c r="C720" s="1" t="n">
        <v>45574</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63836-2021</t>
        </is>
      </c>
      <c r="B721" s="1" t="n">
        <v>44509</v>
      </c>
      <c r="C721" s="1" t="n">
        <v>45574</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63897-2021</t>
        </is>
      </c>
      <c r="B722" s="1" t="n">
        <v>44509</v>
      </c>
      <c r="C722" s="1" t="n">
        <v>45574</v>
      </c>
      <c r="D722" t="inlineStr">
        <is>
          <t>VÄSTERNORRLANDS LÄN</t>
        </is>
      </c>
      <c r="E722" t="inlineStr">
        <is>
          <t>ÅNGE</t>
        </is>
      </c>
      <c r="G722" t="n">
        <v>4.1</v>
      </c>
      <c r="H722" t="n">
        <v>0</v>
      </c>
      <c r="I722" t="n">
        <v>0</v>
      </c>
      <c r="J722" t="n">
        <v>0</v>
      </c>
      <c r="K722" t="n">
        <v>0</v>
      </c>
      <c r="L722" t="n">
        <v>0</v>
      </c>
      <c r="M722" t="n">
        <v>0</v>
      </c>
      <c r="N722" t="n">
        <v>0</v>
      </c>
      <c r="O722" t="n">
        <v>0</v>
      </c>
      <c r="P722" t="n">
        <v>0</v>
      </c>
      <c r="Q722" t="n">
        <v>0</v>
      </c>
      <c r="R722" s="2" t="inlineStr"/>
    </row>
    <row r="723" ht="15" customHeight="1">
      <c r="A723" t="inlineStr">
        <is>
          <t>A 64121-2021</t>
        </is>
      </c>
      <c r="B723" s="1" t="n">
        <v>44510</v>
      </c>
      <c r="C723" s="1" t="n">
        <v>45574</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64962-2021</t>
        </is>
      </c>
      <c r="B724" s="1" t="n">
        <v>44512</v>
      </c>
      <c r="C724" s="1" t="n">
        <v>45574</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65229-2021</t>
        </is>
      </c>
      <c r="B725" s="1" t="n">
        <v>44515</v>
      </c>
      <c r="C725" s="1" t="n">
        <v>45574</v>
      </c>
      <c r="D725" t="inlineStr">
        <is>
          <t>VÄSTERNORRLANDS LÄN</t>
        </is>
      </c>
      <c r="E725" t="inlineStr">
        <is>
          <t>ÅNGE</t>
        </is>
      </c>
      <c r="G725" t="n">
        <v>12.1</v>
      </c>
      <c r="H725" t="n">
        <v>0</v>
      </c>
      <c r="I725" t="n">
        <v>0</v>
      </c>
      <c r="J725" t="n">
        <v>0</v>
      </c>
      <c r="K725" t="n">
        <v>0</v>
      </c>
      <c r="L725" t="n">
        <v>0</v>
      </c>
      <c r="M725" t="n">
        <v>0</v>
      </c>
      <c r="N725" t="n">
        <v>0</v>
      </c>
      <c r="O725" t="n">
        <v>0</v>
      </c>
      <c r="P725" t="n">
        <v>0</v>
      </c>
      <c r="Q725" t="n">
        <v>0</v>
      </c>
      <c r="R725" s="2" t="inlineStr"/>
    </row>
    <row r="726" ht="15" customHeight="1">
      <c r="A726" t="inlineStr">
        <is>
          <t>A 65425-2021</t>
        </is>
      </c>
      <c r="B726" s="1" t="n">
        <v>44515</v>
      </c>
      <c r="C726" s="1" t="n">
        <v>45574</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65435-2021</t>
        </is>
      </c>
      <c r="B727" s="1" t="n">
        <v>44515</v>
      </c>
      <c r="C727" s="1" t="n">
        <v>45574</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65437-2021</t>
        </is>
      </c>
      <c r="B728" s="1" t="n">
        <v>44515</v>
      </c>
      <c r="C728" s="1" t="n">
        <v>45574</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65633-2021</t>
        </is>
      </c>
      <c r="B729" s="1" t="n">
        <v>44516</v>
      </c>
      <c r="C729" s="1" t="n">
        <v>45574</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65790-2021</t>
        </is>
      </c>
      <c r="B730" s="1" t="n">
        <v>44516</v>
      </c>
      <c r="C730" s="1" t="n">
        <v>45574</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66229-2021</t>
        </is>
      </c>
      <c r="B731" s="1" t="n">
        <v>44518</v>
      </c>
      <c r="C731" s="1" t="n">
        <v>45574</v>
      </c>
      <c r="D731" t="inlineStr">
        <is>
          <t>VÄSTERNORRLANDS LÄN</t>
        </is>
      </c>
      <c r="E731" t="inlineStr">
        <is>
          <t>ÅNGE</t>
        </is>
      </c>
      <c r="G731" t="n">
        <v>3.5</v>
      </c>
      <c r="H731" t="n">
        <v>0</v>
      </c>
      <c r="I731" t="n">
        <v>0</v>
      </c>
      <c r="J731" t="n">
        <v>0</v>
      </c>
      <c r="K731" t="n">
        <v>0</v>
      </c>
      <c r="L731" t="n">
        <v>0</v>
      </c>
      <c r="M731" t="n">
        <v>0</v>
      </c>
      <c r="N731" t="n">
        <v>0</v>
      </c>
      <c r="O731" t="n">
        <v>0</v>
      </c>
      <c r="P731" t="n">
        <v>0</v>
      </c>
      <c r="Q731" t="n">
        <v>0</v>
      </c>
      <c r="R731" s="2" t="inlineStr"/>
    </row>
    <row r="732" ht="15" customHeight="1">
      <c r="A732" t="inlineStr">
        <is>
          <t>A 66233-2021</t>
        </is>
      </c>
      <c r="B732" s="1" t="n">
        <v>44518</v>
      </c>
      <c r="C732" s="1" t="n">
        <v>45574</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66262-2021</t>
        </is>
      </c>
      <c r="B733" s="1" t="n">
        <v>44518</v>
      </c>
      <c r="C733" s="1" t="n">
        <v>45574</v>
      </c>
      <c r="D733" t="inlineStr">
        <is>
          <t>VÄSTERNORRLANDS LÄN</t>
        </is>
      </c>
      <c r="E733" t="inlineStr">
        <is>
          <t>ÅNGE</t>
        </is>
      </c>
      <c r="G733" t="n">
        <v>4.9</v>
      </c>
      <c r="H733" t="n">
        <v>0</v>
      </c>
      <c r="I733" t="n">
        <v>0</v>
      </c>
      <c r="J733" t="n">
        <v>0</v>
      </c>
      <c r="K733" t="n">
        <v>0</v>
      </c>
      <c r="L733" t="n">
        <v>0</v>
      </c>
      <c r="M733" t="n">
        <v>0</v>
      </c>
      <c r="N733" t="n">
        <v>0</v>
      </c>
      <c r="O733" t="n">
        <v>0</v>
      </c>
      <c r="P733" t="n">
        <v>0</v>
      </c>
      <c r="Q733" t="n">
        <v>0</v>
      </c>
      <c r="R733" s="2" t="inlineStr"/>
    </row>
    <row r="734" ht="15" customHeight="1">
      <c r="A734" t="inlineStr">
        <is>
          <t>A 66265-2021</t>
        </is>
      </c>
      <c r="B734" s="1" t="n">
        <v>44518</v>
      </c>
      <c r="C734" s="1" t="n">
        <v>45574</v>
      </c>
      <c r="D734" t="inlineStr">
        <is>
          <t>VÄSTERNORRLANDS LÄN</t>
        </is>
      </c>
      <c r="E734" t="inlineStr">
        <is>
          <t>ÅNGE</t>
        </is>
      </c>
      <c r="G734" t="n">
        <v>6</v>
      </c>
      <c r="H734" t="n">
        <v>0</v>
      </c>
      <c r="I734" t="n">
        <v>0</v>
      </c>
      <c r="J734" t="n">
        <v>0</v>
      </c>
      <c r="K734" t="n">
        <v>0</v>
      </c>
      <c r="L734" t="n">
        <v>0</v>
      </c>
      <c r="M734" t="n">
        <v>0</v>
      </c>
      <c r="N734" t="n">
        <v>0</v>
      </c>
      <c r="O734" t="n">
        <v>0</v>
      </c>
      <c r="P734" t="n">
        <v>0</v>
      </c>
      <c r="Q734" t="n">
        <v>0</v>
      </c>
      <c r="R734" s="2" t="inlineStr"/>
    </row>
    <row r="735" ht="15" customHeight="1">
      <c r="A735" t="inlineStr">
        <is>
          <t>A 66560-2021</t>
        </is>
      </c>
      <c r="B735" s="1" t="n">
        <v>44519</v>
      </c>
      <c r="C735" s="1" t="n">
        <v>45574</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67396-2021</t>
        </is>
      </c>
      <c r="B736" s="1" t="n">
        <v>44523</v>
      </c>
      <c r="C736" s="1" t="n">
        <v>45574</v>
      </c>
      <c r="D736" t="inlineStr">
        <is>
          <t>VÄSTERNORRLANDS LÄN</t>
        </is>
      </c>
      <c r="E736" t="inlineStr">
        <is>
          <t>ÅNGE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67546-2021</t>
        </is>
      </c>
      <c r="B737" s="1" t="n">
        <v>44524</v>
      </c>
      <c r="C737" s="1" t="n">
        <v>45574</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67708-2021</t>
        </is>
      </c>
      <c r="B738" s="1" t="n">
        <v>44524</v>
      </c>
      <c r="C738" s="1" t="n">
        <v>45574</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67712-2021</t>
        </is>
      </c>
      <c r="B739" s="1" t="n">
        <v>44524</v>
      </c>
      <c r="C739" s="1" t="n">
        <v>45574</v>
      </c>
      <c r="D739" t="inlineStr">
        <is>
          <t>VÄSTERNORRLANDS LÄN</t>
        </is>
      </c>
      <c r="E739" t="inlineStr">
        <is>
          <t>ÅNGE</t>
        </is>
      </c>
      <c r="G739" t="n">
        <v>3</v>
      </c>
      <c r="H739" t="n">
        <v>0</v>
      </c>
      <c r="I739" t="n">
        <v>0</v>
      </c>
      <c r="J739" t="n">
        <v>0</v>
      </c>
      <c r="K739" t="n">
        <v>0</v>
      </c>
      <c r="L739" t="n">
        <v>0</v>
      </c>
      <c r="M739" t="n">
        <v>0</v>
      </c>
      <c r="N739" t="n">
        <v>0</v>
      </c>
      <c r="O739" t="n">
        <v>0</v>
      </c>
      <c r="P739" t="n">
        <v>0</v>
      </c>
      <c r="Q739" t="n">
        <v>0</v>
      </c>
      <c r="R739" s="2" t="inlineStr"/>
    </row>
    <row r="740" ht="15" customHeight="1">
      <c r="A740" t="inlineStr">
        <is>
          <t>A 68743-2021</t>
        </is>
      </c>
      <c r="B740" s="1" t="n">
        <v>44529</v>
      </c>
      <c r="C740" s="1" t="n">
        <v>45574</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69736-2021</t>
        </is>
      </c>
      <c r="B741" s="1" t="n">
        <v>44532</v>
      </c>
      <c r="C741" s="1" t="n">
        <v>45574</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69790-2021</t>
        </is>
      </c>
      <c r="B742" s="1" t="n">
        <v>44532</v>
      </c>
      <c r="C742" s="1" t="n">
        <v>45574</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70809-2021</t>
        </is>
      </c>
      <c r="B743" s="1" t="n">
        <v>44537</v>
      </c>
      <c r="C743" s="1" t="n">
        <v>45574</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70899-2021</t>
        </is>
      </c>
      <c r="B744" s="1" t="n">
        <v>44537</v>
      </c>
      <c r="C744" s="1" t="n">
        <v>45574</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70893-2021</t>
        </is>
      </c>
      <c r="B745" s="1" t="n">
        <v>44538</v>
      </c>
      <c r="C745" s="1" t="n">
        <v>45574</v>
      </c>
      <c r="D745" t="inlineStr">
        <is>
          <t>VÄSTERNORRLANDS LÄN</t>
        </is>
      </c>
      <c r="E745" t="inlineStr">
        <is>
          <t>ÅNGE</t>
        </is>
      </c>
      <c r="G745" t="n">
        <v>6.2</v>
      </c>
      <c r="H745" t="n">
        <v>0</v>
      </c>
      <c r="I745" t="n">
        <v>0</v>
      </c>
      <c r="J745" t="n">
        <v>0</v>
      </c>
      <c r="K745" t="n">
        <v>0</v>
      </c>
      <c r="L745" t="n">
        <v>0</v>
      </c>
      <c r="M745" t="n">
        <v>0</v>
      </c>
      <c r="N745" t="n">
        <v>0</v>
      </c>
      <c r="O745" t="n">
        <v>0</v>
      </c>
      <c r="P745" t="n">
        <v>0</v>
      </c>
      <c r="Q745" t="n">
        <v>0</v>
      </c>
      <c r="R745" s="2" t="inlineStr"/>
    </row>
    <row r="746" ht="15" customHeight="1">
      <c r="A746" t="inlineStr">
        <is>
          <t>A 71651-2021</t>
        </is>
      </c>
      <c r="B746" s="1" t="n">
        <v>44538</v>
      </c>
      <c r="C746" s="1" t="n">
        <v>45574</v>
      </c>
      <c r="D746" t="inlineStr">
        <is>
          <t>VÄSTERNORRLANDS LÄN</t>
        </is>
      </c>
      <c r="E746" t="inlineStr">
        <is>
          <t>ÅNGE</t>
        </is>
      </c>
      <c r="G746" t="n">
        <v>4.4</v>
      </c>
      <c r="H746" t="n">
        <v>0</v>
      </c>
      <c r="I746" t="n">
        <v>0</v>
      </c>
      <c r="J746" t="n">
        <v>0</v>
      </c>
      <c r="K746" t="n">
        <v>0</v>
      </c>
      <c r="L746" t="n">
        <v>0</v>
      </c>
      <c r="M746" t="n">
        <v>0</v>
      </c>
      <c r="N746" t="n">
        <v>0</v>
      </c>
      <c r="O746" t="n">
        <v>0</v>
      </c>
      <c r="P746" t="n">
        <v>0</v>
      </c>
      <c r="Q746" t="n">
        <v>0</v>
      </c>
      <c r="R746" s="2" t="inlineStr"/>
    </row>
    <row r="747" ht="15" customHeight="1">
      <c r="A747" t="inlineStr">
        <is>
          <t>A 71669-2021</t>
        </is>
      </c>
      <c r="B747" s="1" t="n">
        <v>44538</v>
      </c>
      <c r="C747" s="1" t="n">
        <v>45574</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71302-2021</t>
        </is>
      </c>
      <c r="B748" s="1" t="n">
        <v>44539</v>
      </c>
      <c r="C748" s="1" t="n">
        <v>45574</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71357-2021</t>
        </is>
      </c>
      <c r="B749" s="1" t="n">
        <v>44539</v>
      </c>
      <c r="C749" s="1" t="n">
        <v>45574</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71396-2021</t>
        </is>
      </c>
      <c r="B750" s="1" t="n">
        <v>44540</v>
      </c>
      <c r="C750" s="1" t="n">
        <v>45574</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71449-2021</t>
        </is>
      </c>
      <c r="B751" s="1" t="n">
        <v>44540</v>
      </c>
      <c r="C751" s="1" t="n">
        <v>45574</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71965-2021</t>
        </is>
      </c>
      <c r="B752" s="1" t="n">
        <v>44544</v>
      </c>
      <c r="C752" s="1" t="n">
        <v>45574</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72239-2021</t>
        </is>
      </c>
      <c r="B753" s="1" t="n">
        <v>44544</v>
      </c>
      <c r="C753" s="1" t="n">
        <v>45574</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74088-2021</t>
        </is>
      </c>
      <c r="B754" s="1" t="n">
        <v>44557</v>
      </c>
      <c r="C754" s="1" t="n">
        <v>45574</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74109-2021</t>
        </is>
      </c>
      <c r="B755" s="1" t="n">
        <v>44557</v>
      </c>
      <c r="C755" s="1" t="n">
        <v>45574</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74194-2021</t>
        </is>
      </c>
      <c r="B756" s="1" t="n">
        <v>44558</v>
      </c>
      <c r="C756" s="1" t="n">
        <v>45574</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1081-2022</t>
        </is>
      </c>
      <c r="B757" s="1" t="n">
        <v>44571</v>
      </c>
      <c r="C757" s="1" t="n">
        <v>45574</v>
      </c>
      <c r="D757" t="inlineStr">
        <is>
          <t>VÄSTERNORRLANDS LÄN</t>
        </is>
      </c>
      <c r="E757" t="inlineStr">
        <is>
          <t>ÅNGE</t>
        </is>
      </c>
      <c r="G757" t="n">
        <v>2.2</v>
      </c>
      <c r="H757" t="n">
        <v>0</v>
      </c>
      <c r="I757" t="n">
        <v>0</v>
      </c>
      <c r="J757" t="n">
        <v>0</v>
      </c>
      <c r="K757" t="n">
        <v>0</v>
      </c>
      <c r="L757" t="n">
        <v>0</v>
      </c>
      <c r="M757" t="n">
        <v>0</v>
      </c>
      <c r="N757" t="n">
        <v>0</v>
      </c>
      <c r="O757" t="n">
        <v>0</v>
      </c>
      <c r="P757" t="n">
        <v>0</v>
      </c>
      <c r="Q757" t="n">
        <v>0</v>
      </c>
      <c r="R757" s="2" t="inlineStr"/>
    </row>
    <row r="758" ht="15" customHeight="1">
      <c r="A758" t="inlineStr">
        <is>
          <t>A 1297-2022</t>
        </is>
      </c>
      <c r="B758" s="1" t="n">
        <v>44572</v>
      </c>
      <c r="C758" s="1" t="n">
        <v>45574</v>
      </c>
      <c r="D758" t="inlineStr">
        <is>
          <t>VÄSTERNORRLANDS LÄN</t>
        </is>
      </c>
      <c r="E758" t="inlineStr">
        <is>
          <t>ÅNGE</t>
        </is>
      </c>
      <c r="G758" t="n">
        <v>2.3</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45574</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1964-2022</t>
        </is>
      </c>
      <c r="B760" s="1" t="n">
        <v>44575</v>
      </c>
      <c r="C760" s="1" t="n">
        <v>45574</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4651-2022</t>
        </is>
      </c>
      <c r="B761" s="1" t="n">
        <v>44592</v>
      </c>
      <c r="C761" s="1" t="n">
        <v>45574</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4939-2022</t>
        </is>
      </c>
      <c r="B762" s="1" t="n">
        <v>44593</v>
      </c>
      <c r="C762" s="1" t="n">
        <v>45574</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5113-2022</t>
        </is>
      </c>
      <c r="B763" s="1" t="n">
        <v>44593</v>
      </c>
      <c r="C763" s="1" t="n">
        <v>45574</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5112-2022</t>
        </is>
      </c>
      <c r="B764" s="1" t="n">
        <v>44593</v>
      </c>
      <c r="C764" s="1" t="n">
        <v>45574</v>
      </c>
      <c r="D764" t="inlineStr">
        <is>
          <t>VÄSTERNORRLANDS LÄN</t>
        </is>
      </c>
      <c r="E764" t="inlineStr">
        <is>
          <t>ÅNGE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5279-2022</t>
        </is>
      </c>
      <c r="B765" s="1" t="n">
        <v>44594</v>
      </c>
      <c r="C765" s="1" t="n">
        <v>45574</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5369-2022</t>
        </is>
      </c>
      <c r="B766" s="1" t="n">
        <v>44594</v>
      </c>
      <c r="C766" s="1" t="n">
        <v>45574</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5381-2022</t>
        </is>
      </c>
      <c r="B767" s="1" t="n">
        <v>44594</v>
      </c>
      <c r="C767" s="1" t="n">
        <v>45574</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5367-2022</t>
        </is>
      </c>
      <c r="B768" s="1" t="n">
        <v>44594</v>
      </c>
      <c r="C768" s="1" t="n">
        <v>45574</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5366-2022</t>
        </is>
      </c>
      <c r="B769" s="1" t="n">
        <v>44594</v>
      </c>
      <c r="C769" s="1" t="n">
        <v>45574</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5520-2022</t>
        </is>
      </c>
      <c r="B770" s="1" t="n">
        <v>44595</v>
      </c>
      <c r="C770" s="1" t="n">
        <v>45574</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5552-2022</t>
        </is>
      </c>
      <c r="B771" s="1" t="n">
        <v>44595</v>
      </c>
      <c r="C771" s="1" t="n">
        <v>45574</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5565-2022</t>
        </is>
      </c>
      <c r="B772" s="1" t="n">
        <v>44595</v>
      </c>
      <c r="C772" s="1" t="n">
        <v>45574</v>
      </c>
      <c r="D772" t="inlineStr">
        <is>
          <t>VÄSTERNORRLANDS LÄN</t>
        </is>
      </c>
      <c r="E772" t="inlineStr">
        <is>
          <t>ÅNGE</t>
        </is>
      </c>
      <c r="G772" t="n">
        <v>0.3</v>
      </c>
      <c r="H772" t="n">
        <v>0</v>
      </c>
      <c r="I772" t="n">
        <v>0</v>
      </c>
      <c r="J772" t="n">
        <v>0</v>
      </c>
      <c r="K772" t="n">
        <v>0</v>
      </c>
      <c r="L772" t="n">
        <v>0</v>
      </c>
      <c r="M772" t="n">
        <v>0</v>
      </c>
      <c r="N772" t="n">
        <v>0</v>
      </c>
      <c r="O772" t="n">
        <v>0</v>
      </c>
      <c r="P772" t="n">
        <v>0</v>
      </c>
      <c r="Q772" t="n">
        <v>0</v>
      </c>
      <c r="R772" s="2" t="inlineStr"/>
    </row>
    <row r="773" ht="15" customHeight="1">
      <c r="A773" t="inlineStr">
        <is>
          <t>A 6113-2022</t>
        </is>
      </c>
      <c r="B773" s="1" t="n">
        <v>44599</v>
      </c>
      <c r="C773" s="1" t="n">
        <v>45574</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6112-2022</t>
        </is>
      </c>
      <c r="B774" s="1" t="n">
        <v>44599</v>
      </c>
      <c r="C774" s="1" t="n">
        <v>45574</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6115-2022</t>
        </is>
      </c>
      <c r="B775" s="1" t="n">
        <v>44599</v>
      </c>
      <c r="C775" s="1" t="n">
        <v>45574</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6263-2022</t>
        </is>
      </c>
      <c r="B776" s="1" t="n">
        <v>44600</v>
      </c>
      <c r="C776" s="1" t="n">
        <v>45574</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6443-2022</t>
        </is>
      </c>
      <c r="B777" s="1" t="n">
        <v>44601</v>
      </c>
      <c r="C777" s="1" t="n">
        <v>45574</v>
      </c>
      <c r="D777" t="inlineStr">
        <is>
          <t>VÄSTERNORRLANDS LÄN</t>
        </is>
      </c>
      <c r="E777" t="inlineStr">
        <is>
          <t>ÅNGE</t>
        </is>
      </c>
      <c r="G777" t="n">
        <v>3.3</v>
      </c>
      <c r="H777" t="n">
        <v>0</v>
      </c>
      <c r="I777" t="n">
        <v>0</v>
      </c>
      <c r="J777" t="n">
        <v>0</v>
      </c>
      <c r="K777" t="n">
        <v>0</v>
      </c>
      <c r="L777" t="n">
        <v>0</v>
      </c>
      <c r="M777" t="n">
        <v>0</v>
      </c>
      <c r="N777" t="n">
        <v>0</v>
      </c>
      <c r="O777" t="n">
        <v>0</v>
      </c>
      <c r="P777" t="n">
        <v>0</v>
      </c>
      <c r="Q777" t="n">
        <v>0</v>
      </c>
      <c r="R777" s="2" t="inlineStr"/>
    </row>
    <row r="778" ht="15" customHeight="1">
      <c r="A778" t="inlineStr">
        <is>
          <t>A 6677-2022</t>
        </is>
      </c>
      <c r="B778" s="1" t="n">
        <v>44602</v>
      </c>
      <c r="C778" s="1" t="n">
        <v>45574</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6732-2022</t>
        </is>
      </c>
      <c r="B779" s="1" t="n">
        <v>44602</v>
      </c>
      <c r="C779" s="1" t="n">
        <v>45574</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6899-2022</t>
        </is>
      </c>
      <c r="B780" s="1" t="n">
        <v>44602</v>
      </c>
      <c r="C780" s="1" t="n">
        <v>45574</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6898-2022</t>
        </is>
      </c>
      <c r="B781" s="1" t="n">
        <v>44602</v>
      </c>
      <c r="C781" s="1" t="n">
        <v>45574</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7158-2022</t>
        </is>
      </c>
      <c r="B782" s="1" t="n">
        <v>44604</v>
      </c>
      <c r="C782" s="1" t="n">
        <v>45574</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7205-2022</t>
        </is>
      </c>
      <c r="B783" s="1" t="n">
        <v>44606</v>
      </c>
      <c r="C783" s="1" t="n">
        <v>45574</v>
      </c>
      <c r="D783" t="inlineStr">
        <is>
          <t>VÄSTERNORRLANDS LÄN</t>
        </is>
      </c>
      <c r="E783" t="inlineStr">
        <is>
          <t>ÅNGE</t>
        </is>
      </c>
      <c r="G783" t="n">
        <v>20.5</v>
      </c>
      <c r="H783" t="n">
        <v>0</v>
      </c>
      <c r="I783" t="n">
        <v>0</v>
      </c>
      <c r="J783" t="n">
        <v>0</v>
      </c>
      <c r="K783" t="n">
        <v>0</v>
      </c>
      <c r="L783" t="n">
        <v>0</v>
      </c>
      <c r="M783" t="n">
        <v>0</v>
      </c>
      <c r="N783" t="n">
        <v>0</v>
      </c>
      <c r="O783" t="n">
        <v>0</v>
      </c>
      <c r="P783" t="n">
        <v>0</v>
      </c>
      <c r="Q783" t="n">
        <v>0</v>
      </c>
      <c r="R783" s="2" t="inlineStr"/>
    </row>
    <row r="784" ht="15" customHeight="1">
      <c r="A784" t="inlineStr">
        <is>
          <t>A 7298-2022</t>
        </is>
      </c>
      <c r="B784" s="1" t="n">
        <v>44606</v>
      </c>
      <c r="C784" s="1" t="n">
        <v>45574</v>
      </c>
      <c r="D784" t="inlineStr">
        <is>
          <t>VÄSTERNORRLANDS LÄN</t>
        </is>
      </c>
      <c r="E784" t="inlineStr">
        <is>
          <t>ÅNGE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7633-2022</t>
        </is>
      </c>
      <c r="B785" s="1" t="n">
        <v>44607</v>
      </c>
      <c r="C785" s="1" t="n">
        <v>45574</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7649-2022</t>
        </is>
      </c>
      <c r="B786" s="1" t="n">
        <v>44607</v>
      </c>
      <c r="C786" s="1" t="n">
        <v>45574</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8070-2022</t>
        </is>
      </c>
      <c r="B787" s="1" t="n">
        <v>44609</v>
      </c>
      <c r="C787" s="1" t="n">
        <v>45574</v>
      </c>
      <c r="D787" t="inlineStr">
        <is>
          <t>VÄSTERNORRLANDS LÄN</t>
        </is>
      </c>
      <c r="E787" t="inlineStr">
        <is>
          <t>ÅNGE</t>
        </is>
      </c>
      <c r="G787" t="n">
        <v>3.5</v>
      </c>
      <c r="H787" t="n">
        <v>0</v>
      </c>
      <c r="I787" t="n">
        <v>0</v>
      </c>
      <c r="J787" t="n">
        <v>0</v>
      </c>
      <c r="K787" t="n">
        <v>0</v>
      </c>
      <c r="L787" t="n">
        <v>0</v>
      </c>
      <c r="M787" t="n">
        <v>0</v>
      </c>
      <c r="N787" t="n">
        <v>0</v>
      </c>
      <c r="O787" t="n">
        <v>0</v>
      </c>
      <c r="P787" t="n">
        <v>0</v>
      </c>
      <c r="Q787" t="n">
        <v>0</v>
      </c>
      <c r="R787" s="2" t="inlineStr"/>
    </row>
    <row r="788" ht="15" customHeight="1">
      <c r="A788" t="inlineStr">
        <is>
          <t>A 8755-2022</t>
        </is>
      </c>
      <c r="B788" s="1" t="n">
        <v>44614</v>
      </c>
      <c r="C788" s="1" t="n">
        <v>45574</v>
      </c>
      <c r="D788" t="inlineStr">
        <is>
          <t>VÄSTERNORRLANDS LÄN</t>
        </is>
      </c>
      <c r="E788" t="inlineStr">
        <is>
          <t>ÅNGE</t>
        </is>
      </c>
      <c r="G788" t="n">
        <v>2</v>
      </c>
      <c r="H788" t="n">
        <v>0</v>
      </c>
      <c r="I788" t="n">
        <v>0</v>
      </c>
      <c r="J788" t="n">
        <v>0</v>
      </c>
      <c r="K788" t="n">
        <v>0</v>
      </c>
      <c r="L788" t="n">
        <v>0</v>
      </c>
      <c r="M788" t="n">
        <v>0</v>
      </c>
      <c r="N788" t="n">
        <v>0</v>
      </c>
      <c r="O788" t="n">
        <v>0</v>
      </c>
      <c r="P788" t="n">
        <v>0</v>
      </c>
      <c r="Q788" t="n">
        <v>0</v>
      </c>
      <c r="R788" s="2" t="inlineStr"/>
    </row>
    <row r="789" ht="15" customHeight="1">
      <c r="A789" t="inlineStr">
        <is>
          <t>A 8747-2022</t>
        </is>
      </c>
      <c r="B789" s="1" t="n">
        <v>44614</v>
      </c>
      <c r="C789" s="1" t="n">
        <v>45574</v>
      </c>
      <c r="D789" t="inlineStr">
        <is>
          <t>VÄSTERNORRLANDS LÄN</t>
        </is>
      </c>
      <c r="E789" t="inlineStr">
        <is>
          <t>ÅNGE</t>
        </is>
      </c>
      <c r="G789" t="n">
        <v>1.5</v>
      </c>
      <c r="H789" t="n">
        <v>0</v>
      </c>
      <c r="I789" t="n">
        <v>0</v>
      </c>
      <c r="J789" t="n">
        <v>0</v>
      </c>
      <c r="K789" t="n">
        <v>0</v>
      </c>
      <c r="L789" t="n">
        <v>0</v>
      </c>
      <c r="M789" t="n">
        <v>0</v>
      </c>
      <c r="N789" t="n">
        <v>0</v>
      </c>
      <c r="O789" t="n">
        <v>0</v>
      </c>
      <c r="P789" t="n">
        <v>0</v>
      </c>
      <c r="Q789" t="n">
        <v>0</v>
      </c>
      <c r="R789" s="2" t="inlineStr"/>
    </row>
    <row r="790" ht="15" customHeight="1">
      <c r="A790" t="inlineStr">
        <is>
          <t>A 9480-2022</t>
        </is>
      </c>
      <c r="B790" s="1" t="n">
        <v>44616</v>
      </c>
      <c r="C790" s="1" t="n">
        <v>45574</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9544-2022</t>
        </is>
      </c>
      <c r="B791" s="1" t="n">
        <v>44617</v>
      </c>
      <c r="C791" s="1" t="n">
        <v>45574</v>
      </c>
      <c r="D791" t="inlineStr">
        <is>
          <t>VÄSTERNORRLANDS LÄN</t>
        </is>
      </c>
      <c r="E791" t="inlineStr">
        <is>
          <t>ÅNGE</t>
        </is>
      </c>
      <c r="G791" t="n">
        <v>2.4</v>
      </c>
      <c r="H791" t="n">
        <v>0</v>
      </c>
      <c r="I791" t="n">
        <v>0</v>
      </c>
      <c r="J791" t="n">
        <v>0</v>
      </c>
      <c r="K791" t="n">
        <v>0</v>
      </c>
      <c r="L791" t="n">
        <v>0</v>
      </c>
      <c r="M791" t="n">
        <v>0</v>
      </c>
      <c r="N791" t="n">
        <v>0</v>
      </c>
      <c r="O791" t="n">
        <v>0</v>
      </c>
      <c r="P791" t="n">
        <v>0</v>
      </c>
      <c r="Q791" t="n">
        <v>0</v>
      </c>
      <c r="R791" s="2" t="inlineStr"/>
    </row>
    <row r="792" ht="15" customHeight="1">
      <c r="A792" t="inlineStr">
        <is>
          <t>A 9911-2022</t>
        </is>
      </c>
      <c r="B792" s="1" t="n">
        <v>44620</v>
      </c>
      <c r="C792" s="1" t="n">
        <v>45574</v>
      </c>
      <c r="D792" t="inlineStr">
        <is>
          <t>VÄSTERNORRLANDS LÄN</t>
        </is>
      </c>
      <c r="E792" t="inlineStr">
        <is>
          <t>ÅNGE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9998-2022</t>
        </is>
      </c>
      <c r="B793" s="1" t="n">
        <v>44621</v>
      </c>
      <c r="C793" s="1" t="n">
        <v>45574</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10113-2022</t>
        </is>
      </c>
      <c r="B794" s="1" t="n">
        <v>44621</v>
      </c>
      <c r="C794" s="1" t="n">
        <v>45574</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10313-2022</t>
        </is>
      </c>
      <c r="B795" s="1" t="n">
        <v>44622</v>
      </c>
      <c r="C795" s="1" t="n">
        <v>45574</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10331-2022</t>
        </is>
      </c>
      <c r="B796" s="1" t="n">
        <v>44622</v>
      </c>
      <c r="C796" s="1" t="n">
        <v>45574</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10680-2022</t>
        </is>
      </c>
      <c r="B797" s="1" t="n">
        <v>44624</v>
      </c>
      <c r="C797" s="1" t="n">
        <v>45574</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10686-2022</t>
        </is>
      </c>
      <c r="B798" s="1" t="n">
        <v>44624</v>
      </c>
      <c r="C798" s="1" t="n">
        <v>45574</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10687-2022</t>
        </is>
      </c>
      <c r="B799" s="1" t="n">
        <v>44624</v>
      </c>
      <c r="C799" s="1" t="n">
        <v>45574</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10933-2022</t>
        </is>
      </c>
      <c r="B800" s="1" t="n">
        <v>44627</v>
      </c>
      <c r="C800" s="1" t="n">
        <v>45574</v>
      </c>
      <c r="D800" t="inlineStr">
        <is>
          <t>VÄSTERNORRLANDS LÄN</t>
        </is>
      </c>
      <c r="E800" t="inlineStr">
        <is>
          <t>ÅNGE</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11098-2022</t>
        </is>
      </c>
      <c r="B801" s="1" t="n">
        <v>44628</v>
      </c>
      <c r="C801" s="1" t="n">
        <v>45574</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11306-2022</t>
        </is>
      </c>
      <c r="B802" s="1" t="n">
        <v>44629</v>
      </c>
      <c r="C802" s="1" t="n">
        <v>45574</v>
      </c>
      <c r="D802" t="inlineStr">
        <is>
          <t>VÄSTERNORRLANDS LÄN</t>
        </is>
      </c>
      <c r="E802" t="inlineStr">
        <is>
          <t>ÅNGE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11843-2022</t>
        </is>
      </c>
      <c r="B803" s="1" t="n">
        <v>44634</v>
      </c>
      <c r="C803" s="1" t="n">
        <v>45574</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12021-2022</t>
        </is>
      </c>
      <c r="B804" s="1" t="n">
        <v>44635</v>
      </c>
      <c r="C804" s="1" t="n">
        <v>45574</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12797-2022</t>
        </is>
      </c>
      <c r="B805" s="1" t="n">
        <v>44641</v>
      </c>
      <c r="C805" s="1" t="n">
        <v>45574</v>
      </c>
      <c r="D805" t="inlineStr">
        <is>
          <t>VÄSTERNORRLANDS LÄN</t>
        </is>
      </c>
      <c r="E805" t="inlineStr">
        <is>
          <t>ÅNGE</t>
        </is>
      </c>
      <c r="G805" t="n">
        <v>7.1</v>
      </c>
      <c r="H805" t="n">
        <v>0</v>
      </c>
      <c r="I805" t="n">
        <v>0</v>
      </c>
      <c r="J805" t="n">
        <v>0</v>
      </c>
      <c r="K805" t="n">
        <v>0</v>
      </c>
      <c r="L805" t="n">
        <v>0</v>
      </c>
      <c r="M805" t="n">
        <v>0</v>
      </c>
      <c r="N805" t="n">
        <v>0</v>
      </c>
      <c r="O805" t="n">
        <v>0</v>
      </c>
      <c r="P805" t="n">
        <v>0</v>
      </c>
      <c r="Q805" t="n">
        <v>0</v>
      </c>
      <c r="R805" s="2" t="inlineStr"/>
    </row>
    <row r="806" ht="15" customHeight="1">
      <c r="A806" t="inlineStr">
        <is>
          <t>A 12948-2022</t>
        </is>
      </c>
      <c r="B806" s="1" t="n">
        <v>44642</v>
      </c>
      <c r="C806" s="1" t="n">
        <v>45574</v>
      </c>
      <c r="D806" t="inlineStr">
        <is>
          <t>VÄSTERNORRLANDS LÄN</t>
        </is>
      </c>
      <c r="E806" t="inlineStr">
        <is>
          <t>ÅNGE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13164-2022</t>
        </is>
      </c>
      <c r="B807" s="1" t="n">
        <v>44644</v>
      </c>
      <c r="C807" s="1" t="n">
        <v>45574</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13628-2022</t>
        </is>
      </c>
      <c r="B808" s="1" t="n">
        <v>44648</v>
      </c>
      <c r="C808" s="1" t="n">
        <v>45574</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13648-2022</t>
        </is>
      </c>
      <c r="B809" s="1" t="n">
        <v>44648</v>
      </c>
      <c r="C809" s="1" t="n">
        <v>45574</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13641-2022</t>
        </is>
      </c>
      <c r="B810" s="1" t="n">
        <v>44648</v>
      </c>
      <c r="C810" s="1" t="n">
        <v>45574</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13680-2022</t>
        </is>
      </c>
      <c r="B811" s="1" t="n">
        <v>44648</v>
      </c>
      <c r="C811" s="1" t="n">
        <v>45574</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13872-2022</t>
        </is>
      </c>
      <c r="B812" s="1" t="n">
        <v>44650</v>
      </c>
      <c r="C812" s="1" t="n">
        <v>45574</v>
      </c>
      <c r="D812" t="inlineStr">
        <is>
          <t>VÄSTERNORRLANDS LÄN</t>
        </is>
      </c>
      <c r="E812" t="inlineStr">
        <is>
          <t>ÅNGE</t>
        </is>
      </c>
      <c r="G812" t="n">
        <v>10.3</v>
      </c>
      <c r="H812" t="n">
        <v>0</v>
      </c>
      <c r="I812" t="n">
        <v>0</v>
      </c>
      <c r="J812" t="n">
        <v>0</v>
      </c>
      <c r="K812" t="n">
        <v>0</v>
      </c>
      <c r="L812" t="n">
        <v>0</v>
      </c>
      <c r="M812" t="n">
        <v>0</v>
      </c>
      <c r="N812" t="n">
        <v>0</v>
      </c>
      <c r="O812" t="n">
        <v>0</v>
      </c>
      <c r="P812" t="n">
        <v>0</v>
      </c>
      <c r="Q812" t="n">
        <v>0</v>
      </c>
      <c r="R812" s="2" t="inlineStr"/>
    </row>
    <row r="813" ht="15" customHeight="1">
      <c r="A813" t="inlineStr">
        <is>
          <t>A 13874-2022</t>
        </is>
      </c>
      <c r="B813" s="1" t="n">
        <v>44649</v>
      </c>
      <c r="C813" s="1" t="n">
        <v>45574</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13875-2022</t>
        </is>
      </c>
      <c r="B814" s="1" t="n">
        <v>44649</v>
      </c>
      <c r="C814" s="1" t="n">
        <v>45574</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14091-2022</t>
        </is>
      </c>
      <c r="B815" s="1" t="n">
        <v>44651</v>
      </c>
      <c r="C815" s="1" t="n">
        <v>45574</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14097-2022</t>
        </is>
      </c>
      <c r="B816" s="1" t="n">
        <v>44651</v>
      </c>
      <c r="C816" s="1" t="n">
        <v>45574</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14084-2022</t>
        </is>
      </c>
      <c r="B817" s="1" t="n">
        <v>44651</v>
      </c>
      <c r="C817" s="1" t="n">
        <v>45574</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14433-2022</t>
        </is>
      </c>
      <c r="B818" s="1" t="n">
        <v>44652</v>
      </c>
      <c r="C818" s="1" t="n">
        <v>45574</v>
      </c>
      <c r="D818" t="inlineStr">
        <is>
          <t>VÄSTERNORRLANDS LÄN</t>
        </is>
      </c>
      <c r="E818" t="inlineStr">
        <is>
          <t>ÅNGE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14813-2022</t>
        </is>
      </c>
      <c r="B819" s="1" t="n">
        <v>44656</v>
      </c>
      <c r="C819" s="1" t="n">
        <v>45574</v>
      </c>
      <c r="D819" t="inlineStr">
        <is>
          <t>VÄSTERNORRLANDS LÄN</t>
        </is>
      </c>
      <c r="E819" t="inlineStr">
        <is>
          <t>ÅNGE</t>
        </is>
      </c>
      <c r="G819" t="n">
        <v>2.2</v>
      </c>
      <c r="H819" t="n">
        <v>0</v>
      </c>
      <c r="I819" t="n">
        <v>0</v>
      </c>
      <c r="J819" t="n">
        <v>0</v>
      </c>
      <c r="K819" t="n">
        <v>0</v>
      </c>
      <c r="L819" t="n">
        <v>0</v>
      </c>
      <c r="M819" t="n">
        <v>0</v>
      </c>
      <c r="N819" t="n">
        <v>0</v>
      </c>
      <c r="O819" t="n">
        <v>0</v>
      </c>
      <c r="P819" t="n">
        <v>0</v>
      </c>
      <c r="Q819" t="n">
        <v>0</v>
      </c>
      <c r="R819" s="2" t="inlineStr"/>
    </row>
    <row r="820" ht="15" customHeight="1">
      <c r="A820" t="inlineStr">
        <is>
          <t>A 14888-2022</t>
        </is>
      </c>
      <c r="B820" s="1" t="n">
        <v>44656</v>
      </c>
      <c r="C820" s="1" t="n">
        <v>45574</v>
      </c>
      <c r="D820" t="inlineStr">
        <is>
          <t>VÄSTERNORRLANDS LÄN</t>
        </is>
      </c>
      <c r="E820" t="inlineStr">
        <is>
          <t>ÅNGE</t>
        </is>
      </c>
      <c r="G820" t="n">
        <v>6.2</v>
      </c>
      <c r="H820" t="n">
        <v>0</v>
      </c>
      <c r="I820" t="n">
        <v>0</v>
      </c>
      <c r="J820" t="n">
        <v>0</v>
      </c>
      <c r="K820" t="n">
        <v>0</v>
      </c>
      <c r="L820" t="n">
        <v>0</v>
      </c>
      <c r="M820" t="n">
        <v>0</v>
      </c>
      <c r="N820" t="n">
        <v>0</v>
      </c>
      <c r="O820" t="n">
        <v>0</v>
      </c>
      <c r="P820" t="n">
        <v>0</v>
      </c>
      <c r="Q820" t="n">
        <v>0</v>
      </c>
      <c r="R820" s="2" t="inlineStr"/>
    </row>
    <row r="821" ht="15" customHeight="1">
      <c r="A821" t="inlineStr">
        <is>
          <t>A 14885-2022</t>
        </is>
      </c>
      <c r="B821" s="1" t="n">
        <v>44656</v>
      </c>
      <c r="C821" s="1" t="n">
        <v>45574</v>
      </c>
      <c r="D821" t="inlineStr">
        <is>
          <t>VÄSTERNORRLANDS LÄN</t>
        </is>
      </c>
      <c r="E821" t="inlineStr">
        <is>
          <t>ÅNGE</t>
        </is>
      </c>
      <c r="G821" t="n">
        <v>4</v>
      </c>
      <c r="H821" t="n">
        <v>0</v>
      </c>
      <c r="I821" t="n">
        <v>0</v>
      </c>
      <c r="J821" t="n">
        <v>0</v>
      </c>
      <c r="K821" t="n">
        <v>0</v>
      </c>
      <c r="L821" t="n">
        <v>0</v>
      </c>
      <c r="M821" t="n">
        <v>0</v>
      </c>
      <c r="N821" t="n">
        <v>0</v>
      </c>
      <c r="O821" t="n">
        <v>0</v>
      </c>
      <c r="P821" t="n">
        <v>0</v>
      </c>
      <c r="Q821" t="n">
        <v>0</v>
      </c>
      <c r="R821" s="2" t="inlineStr"/>
    </row>
    <row r="822" ht="15" customHeight="1">
      <c r="A822" t="inlineStr">
        <is>
          <t>A 14889-2022</t>
        </is>
      </c>
      <c r="B822" s="1" t="n">
        <v>44656</v>
      </c>
      <c r="C822" s="1" t="n">
        <v>45574</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14949-2022</t>
        </is>
      </c>
      <c r="B823" s="1" t="n">
        <v>44657</v>
      </c>
      <c r="C823" s="1" t="n">
        <v>45574</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15863-2022</t>
        </is>
      </c>
      <c r="B824" s="1" t="n">
        <v>44664</v>
      </c>
      <c r="C824" s="1" t="n">
        <v>45574</v>
      </c>
      <c r="D824" t="inlineStr">
        <is>
          <t>VÄSTERNORRLANDS LÄN</t>
        </is>
      </c>
      <c r="E824" t="inlineStr">
        <is>
          <t>ÅNGE</t>
        </is>
      </c>
      <c r="G824" t="n">
        <v>3.6</v>
      </c>
      <c r="H824" t="n">
        <v>0</v>
      </c>
      <c r="I824" t="n">
        <v>0</v>
      </c>
      <c r="J824" t="n">
        <v>0</v>
      </c>
      <c r="K824" t="n">
        <v>0</v>
      </c>
      <c r="L824" t="n">
        <v>0</v>
      </c>
      <c r="M824" t="n">
        <v>0</v>
      </c>
      <c r="N824" t="n">
        <v>0</v>
      </c>
      <c r="O824" t="n">
        <v>0</v>
      </c>
      <c r="P824" t="n">
        <v>0</v>
      </c>
      <c r="Q824" t="n">
        <v>0</v>
      </c>
      <c r="R824" s="2" t="inlineStr"/>
    </row>
    <row r="825" ht="15" customHeight="1">
      <c r="A825" t="inlineStr">
        <is>
          <t>A 16038-2022</t>
        </is>
      </c>
      <c r="B825" s="1" t="n">
        <v>44665</v>
      </c>
      <c r="C825" s="1" t="n">
        <v>45574</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16058-2022</t>
        </is>
      </c>
      <c r="B826" s="1" t="n">
        <v>44665</v>
      </c>
      <c r="C826" s="1" t="n">
        <v>45574</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17047-2022</t>
        </is>
      </c>
      <c r="B827" s="1" t="n">
        <v>44677</v>
      </c>
      <c r="C827" s="1" t="n">
        <v>45574</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17044-2022</t>
        </is>
      </c>
      <c r="B828" s="1" t="n">
        <v>44676</v>
      </c>
      <c r="C828" s="1" t="n">
        <v>45574</v>
      </c>
      <c r="D828" t="inlineStr">
        <is>
          <t>VÄSTERNORRLANDS LÄN</t>
        </is>
      </c>
      <c r="E828" t="inlineStr">
        <is>
          <t>ÅNGE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17144-2022</t>
        </is>
      </c>
      <c r="B829" s="1" t="n">
        <v>44677</v>
      </c>
      <c r="C829" s="1" t="n">
        <v>45574</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17210-2022</t>
        </is>
      </c>
      <c r="B830" s="1" t="n">
        <v>44678</v>
      </c>
      <c r="C830" s="1" t="n">
        <v>45574</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17220-2022</t>
        </is>
      </c>
      <c r="B831" s="1" t="n">
        <v>44678</v>
      </c>
      <c r="C831" s="1" t="n">
        <v>45574</v>
      </c>
      <c r="D831" t="inlineStr">
        <is>
          <t>VÄSTERNORRLANDS LÄN</t>
        </is>
      </c>
      <c r="E831" t="inlineStr">
        <is>
          <t>ÅNGE</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17242-2022</t>
        </is>
      </c>
      <c r="B832" s="1" t="n">
        <v>44679</v>
      </c>
      <c r="C832" s="1" t="n">
        <v>45574</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17580-2022</t>
        </is>
      </c>
      <c r="B833" s="1" t="n">
        <v>44679</v>
      </c>
      <c r="C833" s="1" t="n">
        <v>45574</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18020-2022</t>
        </is>
      </c>
      <c r="B834" s="1" t="n">
        <v>44684</v>
      </c>
      <c r="C834" s="1" t="n">
        <v>45574</v>
      </c>
      <c r="D834" t="inlineStr">
        <is>
          <t>VÄSTERNORRLANDS LÄN</t>
        </is>
      </c>
      <c r="E834" t="inlineStr">
        <is>
          <t>ÅNGE</t>
        </is>
      </c>
      <c r="F834" t="inlineStr">
        <is>
          <t>SCA</t>
        </is>
      </c>
      <c r="G834" t="n">
        <v>28.8</v>
      </c>
      <c r="H834" t="n">
        <v>0</v>
      </c>
      <c r="I834" t="n">
        <v>0</v>
      </c>
      <c r="J834" t="n">
        <v>0</v>
      </c>
      <c r="K834" t="n">
        <v>0</v>
      </c>
      <c r="L834" t="n">
        <v>0</v>
      </c>
      <c r="M834" t="n">
        <v>0</v>
      </c>
      <c r="N834" t="n">
        <v>0</v>
      </c>
      <c r="O834" t="n">
        <v>0</v>
      </c>
      <c r="P834" t="n">
        <v>0</v>
      </c>
      <c r="Q834" t="n">
        <v>0</v>
      </c>
      <c r="R834" s="2" t="inlineStr"/>
    </row>
    <row r="835" ht="15" customHeight="1">
      <c r="A835" t="inlineStr">
        <is>
          <t>A 18024-2022</t>
        </is>
      </c>
      <c r="B835" s="1" t="n">
        <v>44684</v>
      </c>
      <c r="C835" s="1" t="n">
        <v>45574</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17963-2022</t>
        </is>
      </c>
      <c r="B836" s="1" t="n">
        <v>44683</v>
      </c>
      <c r="C836" s="1" t="n">
        <v>45574</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18562-2022</t>
        </is>
      </c>
      <c r="B837" s="1" t="n">
        <v>44686</v>
      </c>
      <c r="C837" s="1" t="n">
        <v>45574</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18542-2022</t>
        </is>
      </c>
      <c r="B838" s="1" t="n">
        <v>44686</v>
      </c>
      <c r="C838" s="1" t="n">
        <v>45574</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18989-2022</t>
        </is>
      </c>
      <c r="B839" s="1" t="n">
        <v>44690</v>
      </c>
      <c r="C839" s="1" t="n">
        <v>45574</v>
      </c>
      <c r="D839" t="inlineStr">
        <is>
          <t>VÄSTERNORRLANDS LÄN</t>
        </is>
      </c>
      <c r="E839" t="inlineStr">
        <is>
          <t>ÅNGE</t>
        </is>
      </c>
      <c r="F839" t="inlineStr">
        <is>
          <t>SCA</t>
        </is>
      </c>
      <c r="G839" t="n">
        <v>37.8</v>
      </c>
      <c r="H839" t="n">
        <v>0</v>
      </c>
      <c r="I839" t="n">
        <v>0</v>
      </c>
      <c r="J839" t="n">
        <v>0</v>
      </c>
      <c r="K839" t="n">
        <v>0</v>
      </c>
      <c r="L839" t="n">
        <v>0</v>
      </c>
      <c r="M839" t="n">
        <v>0</v>
      </c>
      <c r="N839" t="n">
        <v>0</v>
      </c>
      <c r="O839" t="n">
        <v>0</v>
      </c>
      <c r="P839" t="n">
        <v>0</v>
      </c>
      <c r="Q839" t="n">
        <v>0</v>
      </c>
      <c r="R839" s="2" t="inlineStr"/>
      <c r="U839">
        <f>HYPERLINK("https://klasma.github.io/Logging_2260/knärot/A 18989-2022 karta knärot.png", "A 18989-2022")</f>
        <v/>
      </c>
      <c r="V839">
        <f>HYPERLINK("https://klasma.github.io/Logging_2260/klagomål/A 18989-2022 FSC-klagomål.docx", "A 18989-2022")</f>
        <v/>
      </c>
      <c r="W839">
        <f>HYPERLINK("https://klasma.github.io/Logging_2260/klagomålsmail/A 18989-2022 FSC-klagomål mail.docx", "A 18989-2022")</f>
        <v/>
      </c>
      <c r="X839">
        <f>HYPERLINK("https://klasma.github.io/Logging_2260/tillsyn/A 18989-2022 tillsynsbegäran.docx", "A 18989-2022")</f>
        <v/>
      </c>
      <c r="Y839">
        <f>HYPERLINK("https://klasma.github.io/Logging_2260/tillsynsmail/A 18989-2022 tillsynsbegäran mail.docx", "A 18989-2022")</f>
        <v/>
      </c>
    </row>
    <row r="840" ht="15" customHeight="1">
      <c r="A840" t="inlineStr">
        <is>
          <t>A 19166-2022</t>
        </is>
      </c>
      <c r="B840" s="1" t="n">
        <v>44691</v>
      </c>
      <c r="C840" s="1" t="n">
        <v>45574</v>
      </c>
      <c r="D840" t="inlineStr">
        <is>
          <t>VÄSTERNORRLANDS LÄN</t>
        </is>
      </c>
      <c r="E840" t="inlineStr">
        <is>
          <t>ÅNGE</t>
        </is>
      </c>
      <c r="F840" t="inlineStr">
        <is>
          <t>Holmen skog AB</t>
        </is>
      </c>
      <c r="G840" t="n">
        <v>5.4</v>
      </c>
      <c r="H840" t="n">
        <v>0</v>
      </c>
      <c r="I840" t="n">
        <v>0</v>
      </c>
      <c r="J840" t="n">
        <v>0</v>
      </c>
      <c r="K840" t="n">
        <v>0</v>
      </c>
      <c r="L840" t="n">
        <v>0</v>
      </c>
      <c r="M840" t="n">
        <v>0</v>
      </c>
      <c r="N840" t="n">
        <v>0</v>
      </c>
      <c r="O840" t="n">
        <v>0</v>
      </c>
      <c r="P840" t="n">
        <v>0</v>
      </c>
      <c r="Q840" t="n">
        <v>0</v>
      </c>
      <c r="R840" s="2" t="inlineStr"/>
    </row>
    <row r="841" ht="15" customHeight="1">
      <c r="A841" t="inlineStr">
        <is>
          <t>A 19035-2022</t>
        </is>
      </c>
      <c r="B841" s="1" t="n">
        <v>44691</v>
      </c>
      <c r="C841" s="1" t="n">
        <v>45574</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19236-2022</t>
        </is>
      </c>
      <c r="B842" s="1" t="n">
        <v>44692</v>
      </c>
      <c r="C842" s="1" t="n">
        <v>45574</v>
      </c>
      <c r="D842" t="inlineStr">
        <is>
          <t>VÄSTERNORRLANDS LÄN</t>
        </is>
      </c>
      <c r="E842" t="inlineStr">
        <is>
          <t>ÅNGE</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19592-2022</t>
        </is>
      </c>
      <c r="B843" s="1" t="n">
        <v>44694</v>
      </c>
      <c r="C843" s="1" t="n">
        <v>45574</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45574</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20229-2022</t>
        </is>
      </c>
      <c r="B845" s="1" t="n">
        <v>44698</v>
      </c>
      <c r="C845" s="1" t="n">
        <v>45574</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20369-2022</t>
        </is>
      </c>
      <c r="B846" s="1" t="n">
        <v>44699</v>
      </c>
      <c r="C846" s="1" t="n">
        <v>45574</v>
      </c>
      <c r="D846" t="inlineStr">
        <is>
          <t>VÄSTERNORRLANDS LÄN</t>
        </is>
      </c>
      <c r="E846" t="inlineStr">
        <is>
          <t>ÅNGE</t>
        </is>
      </c>
      <c r="G846" t="n">
        <v>5.5</v>
      </c>
      <c r="H846" t="n">
        <v>0</v>
      </c>
      <c r="I846" t="n">
        <v>0</v>
      </c>
      <c r="J846" t="n">
        <v>0</v>
      </c>
      <c r="K846" t="n">
        <v>0</v>
      </c>
      <c r="L846" t="n">
        <v>0</v>
      </c>
      <c r="M846" t="n">
        <v>0</v>
      </c>
      <c r="N846" t="n">
        <v>0</v>
      </c>
      <c r="O846" t="n">
        <v>0</v>
      </c>
      <c r="P846" t="n">
        <v>0</v>
      </c>
      <c r="Q846" t="n">
        <v>0</v>
      </c>
      <c r="R846" s="2" t="inlineStr"/>
    </row>
    <row r="847" ht="15" customHeight="1">
      <c r="A847" t="inlineStr">
        <is>
          <t>A 20393-2022</t>
        </is>
      </c>
      <c r="B847" s="1" t="n">
        <v>44699</v>
      </c>
      <c r="C847" s="1" t="n">
        <v>45574</v>
      </c>
      <c r="D847" t="inlineStr">
        <is>
          <t>VÄSTERNORRLANDS LÄN</t>
        </is>
      </c>
      <c r="E847" t="inlineStr">
        <is>
          <t>ÅNGE</t>
        </is>
      </c>
      <c r="G847" t="n">
        <v>6.9</v>
      </c>
      <c r="H847" t="n">
        <v>0</v>
      </c>
      <c r="I847" t="n">
        <v>0</v>
      </c>
      <c r="J847" t="n">
        <v>0</v>
      </c>
      <c r="K847" t="n">
        <v>0</v>
      </c>
      <c r="L847" t="n">
        <v>0</v>
      </c>
      <c r="M847" t="n">
        <v>0</v>
      </c>
      <c r="N847" t="n">
        <v>0</v>
      </c>
      <c r="O847" t="n">
        <v>0</v>
      </c>
      <c r="P847" t="n">
        <v>0</v>
      </c>
      <c r="Q847" t="n">
        <v>0</v>
      </c>
      <c r="R847" s="2" t="inlineStr"/>
    </row>
    <row r="848" ht="15" customHeight="1">
      <c r="A848" t="inlineStr">
        <is>
          <t>A 20943-2022</t>
        </is>
      </c>
      <c r="B848" s="1" t="n">
        <v>44701</v>
      </c>
      <c r="C848" s="1" t="n">
        <v>45574</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21412-2022</t>
        </is>
      </c>
      <c r="B849" s="1" t="n">
        <v>44705</v>
      </c>
      <c r="C849" s="1" t="n">
        <v>45574</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21406-2022</t>
        </is>
      </c>
      <c r="B850" s="1" t="n">
        <v>44706</v>
      </c>
      <c r="C850" s="1" t="n">
        <v>45574</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21409-2022</t>
        </is>
      </c>
      <c r="B851" s="1" t="n">
        <v>44706</v>
      </c>
      <c r="C851" s="1" t="n">
        <v>45574</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21740-2022</t>
        </is>
      </c>
      <c r="B852" s="1" t="n">
        <v>44708</v>
      </c>
      <c r="C852" s="1" t="n">
        <v>45574</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21744-2022</t>
        </is>
      </c>
      <c r="B853" s="1" t="n">
        <v>44708</v>
      </c>
      <c r="C853" s="1" t="n">
        <v>45574</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23999-2022</t>
        </is>
      </c>
      <c r="B854" s="1" t="n">
        <v>44723</v>
      </c>
      <c r="C854" s="1" t="n">
        <v>45574</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24324-2022</t>
        </is>
      </c>
      <c r="B855" s="1" t="n">
        <v>44726</v>
      </c>
      <c r="C855" s="1" t="n">
        <v>45574</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24325-2022</t>
        </is>
      </c>
      <c r="B856" s="1" t="n">
        <v>44726</v>
      </c>
      <c r="C856" s="1" t="n">
        <v>45574</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24355-2022</t>
        </is>
      </c>
      <c r="B857" s="1" t="n">
        <v>44726</v>
      </c>
      <c r="C857" s="1" t="n">
        <v>45574</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24353-2022</t>
        </is>
      </c>
      <c r="B858" s="1" t="n">
        <v>44726</v>
      </c>
      <c r="C858" s="1" t="n">
        <v>45574</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24527-2022</t>
        </is>
      </c>
      <c r="B859" s="1" t="n">
        <v>44726</v>
      </c>
      <c r="C859" s="1" t="n">
        <v>45574</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25023-2022</t>
        </is>
      </c>
      <c r="B860" s="1" t="n">
        <v>44728</v>
      </c>
      <c r="C860" s="1" t="n">
        <v>45574</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25903-2022</t>
        </is>
      </c>
      <c r="B861" s="1" t="n">
        <v>44733</v>
      </c>
      <c r="C861" s="1" t="n">
        <v>45574</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25900-2022</t>
        </is>
      </c>
      <c r="B862" s="1" t="n">
        <v>44734</v>
      </c>
      <c r="C862" s="1" t="n">
        <v>45574</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25973-2022</t>
        </is>
      </c>
      <c r="B863" s="1" t="n">
        <v>44734</v>
      </c>
      <c r="C863" s="1" t="n">
        <v>45574</v>
      </c>
      <c r="D863" t="inlineStr">
        <is>
          <t>VÄSTERNORRLANDS LÄN</t>
        </is>
      </c>
      <c r="E863" t="inlineStr">
        <is>
          <t>ÅNGE</t>
        </is>
      </c>
      <c r="G863" t="n">
        <v>4.1</v>
      </c>
      <c r="H863" t="n">
        <v>0</v>
      </c>
      <c r="I863" t="n">
        <v>0</v>
      </c>
      <c r="J863" t="n">
        <v>0</v>
      </c>
      <c r="K863" t="n">
        <v>0</v>
      </c>
      <c r="L863" t="n">
        <v>0</v>
      </c>
      <c r="M863" t="n">
        <v>0</v>
      </c>
      <c r="N863" t="n">
        <v>0</v>
      </c>
      <c r="O863" t="n">
        <v>0</v>
      </c>
      <c r="P863" t="n">
        <v>0</v>
      </c>
      <c r="Q863" t="n">
        <v>0</v>
      </c>
      <c r="R863" s="2" t="inlineStr"/>
    </row>
    <row r="864" ht="15" customHeight="1">
      <c r="A864" t="inlineStr">
        <is>
          <t>A 26489-2022</t>
        </is>
      </c>
      <c r="B864" s="1" t="n">
        <v>44739</v>
      </c>
      <c r="C864" s="1" t="n">
        <v>45574</v>
      </c>
      <c r="D864" t="inlineStr">
        <is>
          <t>VÄSTERNORRLANDS LÄN</t>
        </is>
      </c>
      <c r="E864" t="inlineStr">
        <is>
          <t>ÅNGE</t>
        </is>
      </c>
      <c r="F864" t="inlineStr">
        <is>
          <t>Sveaskog</t>
        </is>
      </c>
      <c r="G864" t="n">
        <v>18.5</v>
      </c>
      <c r="H864" t="n">
        <v>0</v>
      </c>
      <c r="I864" t="n">
        <v>0</v>
      </c>
      <c r="J864" t="n">
        <v>0</v>
      </c>
      <c r="K864" t="n">
        <v>0</v>
      </c>
      <c r="L864" t="n">
        <v>0</v>
      </c>
      <c r="M864" t="n">
        <v>0</v>
      </c>
      <c r="N864" t="n">
        <v>0</v>
      </c>
      <c r="O864" t="n">
        <v>0</v>
      </c>
      <c r="P864" t="n">
        <v>0</v>
      </c>
      <c r="Q864" t="n">
        <v>0</v>
      </c>
      <c r="R864" s="2" t="inlineStr"/>
    </row>
    <row r="865" ht="15" customHeight="1">
      <c r="A865" t="inlineStr">
        <is>
          <t>A 26676-2022</t>
        </is>
      </c>
      <c r="B865" s="1" t="n">
        <v>44739</v>
      </c>
      <c r="C865" s="1" t="n">
        <v>45574</v>
      </c>
      <c r="D865" t="inlineStr">
        <is>
          <t>VÄSTERNORRLANDS LÄN</t>
        </is>
      </c>
      <c r="E865" t="inlineStr">
        <is>
          <t>ÅNGE</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26498-2022</t>
        </is>
      </c>
      <c r="B866" s="1" t="n">
        <v>44739</v>
      </c>
      <c r="C866" s="1" t="n">
        <v>45574</v>
      </c>
      <c r="D866" t="inlineStr">
        <is>
          <t>VÄSTERNORRLANDS LÄN</t>
        </is>
      </c>
      <c r="E866" t="inlineStr">
        <is>
          <t>ÅNGE</t>
        </is>
      </c>
      <c r="F866" t="inlineStr">
        <is>
          <t>Sveaskog</t>
        </is>
      </c>
      <c r="G866" t="n">
        <v>6.9</v>
      </c>
      <c r="H866" t="n">
        <v>0</v>
      </c>
      <c r="I866" t="n">
        <v>0</v>
      </c>
      <c r="J866" t="n">
        <v>0</v>
      </c>
      <c r="K866" t="n">
        <v>0</v>
      </c>
      <c r="L866" t="n">
        <v>0</v>
      </c>
      <c r="M866" t="n">
        <v>0</v>
      </c>
      <c r="N866" t="n">
        <v>0</v>
      </c>
      <c r="O866" t="n">
        <v>0</v>
      </c>
      <c r="P866" t="n">
        <v>0</v>
      </c>
      <c r="Q866" t="n">
        <v>0</v>
      </c>
      <c r="R866" s="2" t="inlineStr"/>
    </row>
    <row r="867" ht="15" customHeight="1">
      <c r="A867" t="inlineStr">
        <is>
          <t>A 27357-2022</t>
        </is>
      </c>
      <c r="B867" s="1" t="n">
        <v>44742</v>
      </c>
      <c r="C867" s="1" t="n">
        <v>45574</v>
      </c>
      <c r="D867" t="inlineStr">
        <is>
          <t>VÄSTERNORRLANDS LÄN</t>
        </is>
      </c>
      <c r="E867" t="inlineStr">
        <is>
          <t>ÅNGE</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27588-2022</t>
        </is>
      </c>
      <c r="B868" s="1" t="n">
        <v>44743</v>
      </c>
      <c r="C868" s="1" t="n">
        <v>45574</v>
      </c>
      <c r="D868" t="inlineStr">
        <is>
          <t>VÄSTERNORRLANDS LÄN</t>
        </is>
      </c>
      <c r="E868" t="inlineStr">
        <is>
          <t>ÅNGE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29221-2022</t>
        </is>
      </c>
      <c r="B869" s="1" t="n">
        <v>44750</v>
      </c>
      <c r="C869" s="1" t="n">
        <v>45574</v>
      </c>
      <c r="D869" t="inlineStr">
        <is>
          <t>VÄSTERNORRLANDS LÄN</t>
        </is>
      </c>
      <c r="E869" t="inlineStr">
        <is>
          <t>ÅNGE</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29216-2022</t>
        </is>
      </c>
      <c r="B870" s="1" t="n">
        <v>44750</v>
      </c>
      <c r="C870" s="1" t="n">
        <v>45574</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29500-2022</t>
        </is>
      </c>
      <c r="B871" s="1" t="n">
        <v>44753</v>
      </c>
      <c r="C871" s="1" t="n">
        <v>45574</v>
      </c>
      <c r="D871" t="inlineStr">
        <is>
          <t>VÄSTERNORRLANDS LÄN</t>
        </is>
      </c>
      <c r="E871" t="inlineStr">
        <is>
          <t>ÅNGE</t>
        </is>
      </c>
      <c r="F871" t="inlineStr">
        <is>
          <t>Sveaskog</t>
        </is>
      </c>
      <c r="G871" t="n">
        <v>5.5</v>
      </c>
      <c r="H871" t="n">
        <v>0</v>
      </c>
      <c r="I871" t="n">
        <v>0</v>
      </c>
      <c r="J871" t="n">
        <v>0</v>
      </c>
      <c r="K871" t="n">
        <v>0</v>
      </c>
      <c r="L871" t="n">
        <v>0</v>
      </c>
      <c r="M871" t="n">
        <v>0</v>
      </c>
      <c r="N871" t="n">
        <v>0</v>
      </c>
      <c r="O871" t="n">
        <v>0</v>
      </c>
      <c r="P871" t="n">
        <v>0</v>
      </c>
      <c r="Q871" t="n">
        <v>0</v>
      </c>
      <c r="R871" s="2" t="inlineStr"/>
    </row>
    <row r="872" ht="15" customHeight="1">
      <c r="A872" t="inlineStr">
        <is>
          <t>A 29824-2022</t>
        </is>
      </c>
      <c r="B872" s="1" t="n">
        <v>44756</v>
      </c>
      <c r="C872" s="1" t="n">
        <v>45574</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29831-2022</t>
        </is>
      </c>
      <c r="B873" s="1" t="n">
        <v>44756</v>
      </c>
      <c r="C873" s="1" t="n">
        <v>45574</v>
      </c>
      <c r="D873" t="inlineStr">
        <is>
          <t>VÄSTERNORRLANDS LÄN</t>
        </is>
      </c>
      <c r="E873" t="inlineStr">
        <is>
          <t>ÅNGE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29832-2022</t>
        </is>
      </c>
      <c r="B874" s="1" t="n">
        <v>44756</v>
      </c>
      <c r="C874" s="1" t="n">
        <v>45574</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30221-2022</t>
        </is>
      </c>
      <c r="B875" s="1" t="n">
        <v>44757</v>
      </c>
      <c r="C875" s="1" t="n">
        <v>45574</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30358-2022</t>
        </is>
      </c>
      <c r="B876" s="1" t="n">
        <v>44760</v>
      </c>
      <c r="C876" s="1" t="n">
        <v>45574</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30495-2022</t>
        </is>
      </c>
      <c r="B877" s="1" t="n">
        <v>44762</v>
      </c>
      <c r="C877" s="1" t="n">
        <v>45574</v>
      </c>
      <c r="D877" t="inlineStr">
        <is>
          <t>VÄSTERNORRLANDS LÄN</t>
        </is>
      </c>
      <c r="E877" t="inlineStr">
        <is>
          <t>ÅNGE</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30768-2022</t>
        </is>
      </c>
      <c r="B878" s="1" t="n">
        <v>44764</v>
      </c>
      <c r="C878" s="1" t="n">
        <v>45574</v>
      </c>
      <c r="D878" t="inlineStr">
        <is>
          <t>VÄSTERNORRLANDS LÄN</t>
        </is>
      </c>
      <c r="E878" t="inlineStr">
        <is>
          <t>ÅNGE</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30803-2022</t>
        </is>
      </c>
      <c r="B879" s="1" t="n">
        <v>44764</v>
      </c>
      <c r="C879" s="1" t="n">
        <v>45574</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30804-2022</t>
        </is>
      </c>
      <c r="B880" s="1" t="n">
        <v>44765</v>
      </c>
      <c r="C880" s="1" t="n">
        <v>45574</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31136-2022</t>
        </is>
      </c>
      <c r="B881" s="1" t="n">
        <v>44770</v>
      </c>
      <c r="C881" s="1" t="n">
        <v>45574</v>
      </c>
      <c r="D881" t="inlineStr">
        <is>
          <t>VÄSTERNORRLANDS LÄN</t>
        </is>
      </c>
      <c r="E881" t="inlineStr">
        <is>
          <t>ÅNGE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31325-2022</t>
        </is>
      </c>
      <c r="B882" s="1" t="n">
        <v>44774</v>
      </c>
      <c r="C882" s="1" t="n">
        <v>45574</v>
      </c>
      <c r="D882" t="inlineStr">
        <is>
          <t>VÄSTERNORRLANDS LÄN</t>
        </is>
      </c>
      <c r="E882" t="inlineStr">
        <is>
          <t>ÅNGE</t>
        </is>
      </c>
      <c r="G882" t="n">
        <v>6.3</v>
      </c>
      <c r="H882" t="n">
        <v>0</v>
      </c>
      <c r="I882" t="n">
        <v>0</v>
      </c>
      <c r="J882" t="n">
        <v>0</v>
      </c>
      <c r="K882" t="n">
        <v>0</v>
      </c>
      <c r="L882" t="n">
        <v>0</v>
      </c>
      <c r="M882" t="n">
        <v>0</v>
      </c>
      <c r="N882" t="n">
        <v>0</v>
      </c>
      <c r="O882" t="n">
        <v>0</v>
      </c>
      <c r="P882" t="n">
        <v>0</v>
      </c>
      <c r="Q882" t="n">
        <v>0</v>
      </c>
      <c r="R882" s="2" t="inlineStr"/>
    </row>
    <row r="883" ht="15" customHeight="1">
      <c r="A883" t="inlineStr">
        <is>
          <t>A 31366-2022</t>
        </is>
      </c>
      <c r="B883" s="1" t="n">
        <v>44774</v>
      </c>
      <c r="C883" s="1" t="n">
        <v>45574</v>
      </c>
      <c r="D883" t="inlineStr">
        <is>
          <t>VÄSTERNORRLANDS LÄN</t>
        </is>
      </c>
      <c r="E883" t="inlineStr">
        <is>
          <t>ÅNGE</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31368-2022</t>
        </is>
      </c>
      <c r="B884" s="1" t="n">
        <v>44774</v>
      </c>
      <c r="C884" s="1" t="n">
        <v>45574</v>
      </c>
      <c r="D884" t="inlineStr">
        <is>
          <t>VÄSTERNORRLANDS LÄN</t>
        </is>
      </c>
      <c r="E884" t="inlineStr">
        <is>
          <t>ÅNGE</t>
        </is>
      </c>
      <c r="F884" t="inlineStr">
        <is>
          <t>Sveaskog</t>
        </is>
      </c>
      <c r="G884" t="n">
        <v>3.8</v>
      </c>
      <c r="H884" t="n">
        <v>0</v>
      </c>
      <c r="I884" t="n">
        <v>0</v>
      </c>
      <c r="J884" t="n">
        <v>0</v>
      </c>
      <c r="K884" t="n">
        <v>0</v>
      </c>
      <c r="L884" t="n">
        <v>0</v>
      </c>
      <c r="M884" t="n">
        <v>0</v>
      </c>
      <c r="N884" t="n">
        <v>0</v>
      </c>
      <c r="O884" t="n">
        <v>0</v>
      </c>
      <c r="P884" t="n">
        <v>0</v>
      </c>
      <c r="Q884" t="n">
        <v>0</v>
      </c>
      <c r="R884" s="2" t="inlineStr"/>
    </row>
    <row r="885" ht="15" customHeight="1">
      <c r="A885" t="inlineStr">
        <is>
          <t>A 31647-2022</t>
        </is>
      </c>
      <c r="B885" s="1" t="n">
        <v>44776</v>
      </c>
      <c r="C885" s="1" t="n">
        <v>45574</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31649-2022</t>
        </is>
      </c>
      <c r="B886" s="1" t="n">
        <v>44776</v>
      </c>
      <c r="C886" s="1" t="n">
        <v>45574</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31696-2022</t>
        </is>
      </c>
      <c r="B887" s="1" t="n">
        <v>44776</v>
      </c>
      <c r="C887" s="1" t="n">
        <v>45574</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31845-2022</t>
        </is>
      </c>
      <c r="B888" s="1" t="n">
        <v>44777</v>
      </c>
      <c r="C888" s="1" t="n">
        <v>45574</v>
      </c>
      <c r="D888" t="inlineStr">
        <is>
          <t>VÄSTERNORRLANDS LÄN</t>
        </is>
      </c>
      <c r="E888" t="inlineStr">
        <is>
          <t>ÅNGE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32535-2022</t>
        </is>
      </c>
      <c r="B889" s="1" t="n">
        <v>44783</v>
      </c>
      <c r="C889" s="1" t="n">
        <v>45574</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32536-2022</t>
        </is>
      </c>
      <c r="B890" s="1" t="n">
        <v>44783</v>
      </c>
      <c r="C890" s="1" t="n">
        <v>45574</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32538-2022</t>
        </is>
      </c>
      <c r="B891" s="1" t="n">
        <v>44783</v>
      </c>
      <c r="C891" s="1" t="n">
        <v>45574</v>
      </c>
      <c r="D891" t="inlineStr">
        <is>
          <t>VÄSTERNORRLANDS LÄN</t>
        </is>
      </c>
      <c r="E891" t="inlineStr">
        <is>
          <t>ÅNGE</t>
        </is>
      </c>
      <c r="G891" t="n">
        <v>2.4</v>
      </c>
      <c r="H891" t="n">
        <v>0</v>
      </c>
      <c r="I891" t="n">
        <v>0</v>
      </c>
      <c r="J891" t="n">
        <v>0</v>
      </c>
      <c r="K891" t="n">
        <v>0</v>
      </c>
      <c r="L891" t="n">
        <v>0</v>
      </c>
      <c r="M891" t="n">
        <v>0</v>
      </c>
      <c r="N891" t="n">
        <v>0</v>
      </c>
      <c r="O891" t="n">
        <v>0</v>
      </c>
      <c r="P891" t="n">
        <v>0</v>
      </c>
      <c r="Q891" t="n">
        <v>0</v>
      </c>
      <c r="R891" s="2" t="inlineStr"/>
    </row>
    <row r="892" ht="15" customHeight="1">
      <c r="A892" t="inlineStr">
        <is>
          <t>A 32631-2022</t>
        </is>
      </c>
      <c r="B892" s="1" t="n">
        <v>44783</v>
      </c>
      <c r="C892" s="1" t="n">
        <v>45574</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32776-2022</t>
        </is>
      </c>
      <c r="B893" s="1" t="n">
        <v>44784</v>
      </c>
      <c r="C893" s="1" t="n">
        <v>45574</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33112-2022</t>
        </is>
      </c>
      <c r="B894" s="1" t="n">
        <v>44785</v>
      </c>
      <c r="C894" s="1" t="n">
        <v>45574</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45574</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33229-2022</t>
        </is>
      </c>
      <c r="B896" s="1" t="n">
        <v>44785</v>
      </c>
      <c r="C896" s="1" t="n">
        <v>45574</v>
      </c>
      <c r="D896" t="inlineStr">
        <is>
          <t>VÄSTERNORRLANDS LÄN</t>
        </is>
      </c>
      <c r="E896" t="inlineStr">
        <is>
          <t>ÅNGE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33274-2022</t>
        </is>
      </c>
      <c r="B897" s="1" t="n">
        <v>44788</v>
      </c>
      <c r="C897" s="1" t="n">
        <v>45574</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34091-2022</t>
        </is>
      </c>
      <c r="B898" s="1" t="n">
        <v>44791</v>
      </c>
      <c r="C898" s="1" t="n">
        <v>45574</v>
      </c>
      <c r="D898" t="inlineStr">
        <is>
          <t>VÄSTERNORRLANDS LÄN</t>
        </is>
      </c>
      <c r="E898" t="inlineStr">
        <is>
          <t>ÅNGE</t>
        </is>
      </c>
      <c r="G898" t="n">
        <v>10.1</v>
      </c>
      <c r="H898" t="n">
        <v>0</v>
      </c>
      <c r="I898" t="n">
        <v>0</v>
      </c>
      <c r="J898" t="n">
        <v>0</v>
      </c>
      <c r="K898" t="n">
        <v>0</v>
      </c>
      <c r="L898" t="n">
        <v>0</v>
      </c>
      <c r="M898" t="n">
        <v>0</v>
      </c>
      <c r="N898" t="n">
        <v>0</v>
      </c>
      <c r="O898" t="n">
        <v>0</v>
      </c>
      <c r="P898" t="n">
        <v>0</v>
      </c>
      <c r="Q898" t="n">
        <v>0</v>
      </c>
      <c r="R898" s="2" t="inlineStr"/>
    </row>
    <row r="899" ht="15" customHeight="1">
      <c r="A899" t="inlineStr">
        <is>
          <t>A 35002-2022</t>
        </is>
      </c>
      <c r="B899" s="1" t="n">
        <v>44796</v>
      </c>
      <c r="C899" s="1" t="n">
        <v>45574</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35026-2022</t>
        </is>
      </c>
      <c r="B900" s="1" t="n">
        <v>44796</v>
      </c>
      <c r="C900" s="1" t="n">
        <v>45574</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35283-2022</t>
        </is>
      </c>
      <c r="B901" s="1" t="n">
        <v>44798</v>
      </c>
      <c r="C901" s="1" t="n">
        <v>45574</v>
      </c>
      <c r="D901" t="inlineStr">
        <is>
          <t>VÄSTERNORRLANDS LÄN</t>
        </is>
      </c>
      <c r="E901" t="inlineStr">
        <is>
          <t>ÅNGE</t>
        </is>
      </c>
      <c r="G901" t="n">
        <v>4.5</v>
      </c>
      <c r="H901" t="n">
        <v>0</v>
      </c>
      <c r="I901" t="n">
        <v>0</v>
      </c>
      <c r="J901" t="n">
        <v>0</v>
      </c>
      <c r="K901" t="n">
        <v>0</v>
      </c>
      <c r="L901" t="n">
        <v>0</v>
      </c>
      <c r="M901" t="n">
        <v>0</v>
      </c>
      <c r="N901" t="n">
        <v>0</v>
      </c>
      <c r="O901" t="n">
        <v>0</v>
      </c>
      <c r="P901" t="n">
        <v>0</v>
      </c>
      <c r="Q901" t="n">
        <v>0</v>
      </c>
      <c r="R901" s="2" t="inlineStr"/>
    </row>
    <row r="902" ht="15" customHeight="1">
      <c r="A902" t="inlineStr">
        <is>
          <t>A 35276-2022</t>
        </is>
      </c>
      <c r="B902" s="1" t="n">
        <v>44798</v>
      </c>
      <c r="C902" s="1" t="n">
        <v>45574</v>
      </c>
      <c r="D902" t="inlineStr">
        <is>
          <t>VÄSTERNORRLANDS LÄN</t>
        </is>
      </c>
      <c r="E902" t="inlineStr">
        <is>
          <t>ÅNGE</t>
        </is>
      </c>
      <c r="G902" t="n">
        <v>15.2</v>
      </c>
      <c r="H902" t="n">
        <v>0</v>
      </c>
      <c r="I902" t="n">
        <v>0</v>
      </c>
      <c r="J902" t="n">
        <v>0</v>
      </c>
      <c r="K902" t="n">
        <v>0</v>
      </c>
      <c r="L902" t="n">
        <v>0</v>
      </c>
      <c r="M902" t="n">
        <v>0</v>
      </c>
      <c r="N902" t="n">
        <v>0</v>
      </c>
      <c r="O902" t="n">
        <v>0</v>
      </c>
      <c r="P902" t="n">
        <v>0</v>
      </c>
      <c r="Q902" t="n">
        <v>0</v>
      </c>
      <c r="R902" s="2" t="inlineStr"/>
    </row>
    <row r="903" ht="15" customHeight="1">
      <c r="A903" t="inlineStr">
        <is>
          <t>A 35497-2022</t>
        </is>
      </c>
      <c r="B903" s="1" t="n">
        <v>44798</v>
      </c>
      <c r="C903" s="1" t="n">
        <v>45574</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35496-2022</t>
        </is>
      </c>
      <c r="B904" s="1" t="n">
        <v>44798</v>
      </c>
      <c r="C904" s="1" t="n">
        <v>45574</v>
      </c>
      <c r="D904" t="inlineStr">
        <is>
          <t>VÄSTERNORRLANDS LÄN</t>
        </is>
      </c>
      <c r="E904" t="inlineStr">
        <is>
          <t>ÅNGE</t>
        </is>
      </c>
      <c r="F904" t="inlineStr">
        <is>
          <t>SCA</t>
        </is>
      </c>
      <c r="G904" t="n">
        <v>15.6</v>
      </c>
      <c r="H904" t="n">
        <v>0</v>
      </c>
      <c r="I904" t="n">
        <v>0</v>
      </c>
      <c r="J904" t="n">
        <v>0</v>
      </c>
      <c r="K904" t="n">
        <v>0</v>
      </c>
      <c r="L904" t="n">
        <v>0</v>
      </c>
      <c r="M904" t="n">
        <v>0</v>
      </c>
      <c r="N904" t="n">
        <v>0</v>
      </c>
      <c r="O904" t="n">
        <v>0</v>
      </c>
      <c r="P904" t="n">
        <v>0</v>
      </c>
      <c r="Q904" t="n">
        <v>0</v>
      </c>
      <c r="R904" s="2" t="inlineStr"/>
    </row>
    <row r="905" ht="15" customHeight="1">
      <c r="A905" t="inlineStr">
        <is>
          <t>A 35509-2022</t>
        </is>
      </c>
      <c r="B905" s="1" t="n">
        <v>44798</v>
      </c>
      <c r="C905" s="1" t="n">
        <v>45574</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35507-2022</t>
        </is>
      </c>
      <c r="B906" s="1" t="n">
        <v>44798</v>
      </c>
      <c r="C906" s="1" t="n">
        <v>45574</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44799</v>
      </c>
      <c r="C907" s="1" t="n">
        <v>45574</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35508-2022</t>
        </is>
      </c>
      <c r="B908" s="1" t="n">
        <v>44798</v>
      </c>
      <c r="C908" s="1" t="n">
        <v>45574</v>
      </c>
      <c r="D908" t="inlineStr">
        <is>
          <t>VÄSTERNORRLANDS LÄN</t>
        </is>
      </c>
      <c r="E908" t="inlineStr">
        <is>
          <t>ÅNGE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36937-2022</t>
        </is>
      </c>
      <c r="B909" s="1" t="n">
        <v>44806</v>
      </c>
      <c r="C909" s="1" t="n">
        <v>45574</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36924-2022</t>
        </is>
      </c>
      <c r="B910" s="1" t="n">
        <v>44805</v>
      </c>
      <c r="C910" s="1" t="n">
        <v>45574</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36936-2022</t>
        </is>
      </c>
      <c r="B911" s="1" t="n">
        <v>44805</v>
      </c>
      <c r="C911" s="1" t="n">
        <v>45574</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38284-2022</t>
        </is>
      </c>
      <c r="B912" s="1" t="n">
        <v>44812</v>
      </c>
      <c r="C912" s="1" t="n">
        <v>45574</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38680-2022</t>
        </is>
      </c>
      <c r="B913" s="1" t="n">
        <v>44813</v>
      </c>
      <c r="C913" s="1" t="n">
        <v>45574</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39374-2022</t>
        </is>
      </c>
      <c r="B914" s="1" t="n">
        <v>44817</v>
      </c>
      <c r="C914" s="1" t="n">
        <v>45574</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39594-2022</t>
        </is>
      </c>
      <c r="B915" s="1" t="n">
        <v>44818</v>
      </c>
      <c r="C915" s="1" t="n">
        <v>45574</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39681-2022</t>
        </is>
      </c>
      <c r="B916" s="1" t="n">
        <v>44818</v>
      </c>
      <c r="C916" s="1" t="n">
        <v>45574</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39589-2022</t>
        </is>
      </c>
      <c r="B917" s="1" t="n">
        <v>44818</v>
      </c>
      <c r="C917" s="1" t="n">
        <v>45574</v>
      </c>
      <c r="D917" t="inlineStr">
        <is>
          <t>VÄSTERNORRLANDS LÄN</t>
        </is>
      </c>
      <c r="E917" t="inlineStr">
        <is>
          <t>ÅNGE</t>
        </is>
      </c>
      <c r="G917" t="n">
        <v>4.8</v>
      </c>
      <c r="H917" t="n">
        <v>0</v>
      </c>
      <c r="I917" t="n">
        <v>0</v>
      </c>
      <c r="J917" t="n">
        <v>0</v>
      </c>
      <c r="K917" t="n">
        <v>0</v>
      </c>
      <c r="L917" t="n">
        <v>0</v>
      </c>
      <c r="M917" t="n">
        <v>0</v>
      </c>
      <c r="N917" t="n">
        <v>0</v>
      </c>
      <c r="O917" t="n">
        <v>0</v>
      </c>
      <c r="P917" t="n">
        <v>0</v>
      </c>
      <c r="Q917" t="n">
        <v>0</v>
      </c>
      <c r="R917" s="2" t="inlineStr"/>
    </row>
    <row r="918" ht="15" customHeight="1">
      <c r="A918" t="inlineStr">
        <is>
          <t>A 39685-2022</t>
        </is>
      </c>
      <c r="B918" s="1" t="n">
        <v>44818</v>
      </c>
      <c r="C918" s="1" t="n">
        <v>45574</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40475-2022</t>
        </is>
      </c>
      <c r="B919" s="1" t="n">
        <v>44823</v>
      </c>
      <c r="C919" s="1" t="n">
        <v>45574</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40476-2022</t>
        </is>
      </c>
      <c r="B920" s="1" t="n">
        <v>44823</v>
      </c>
      <c r="C920" s="1" t="n">
        <v>45574</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41261-2022</t>
        </is>
      </c>
      <c r="B921" s="1" t="n">
        <v>44825</v>
      </c>
      <c r="C921" s="1" t="n">
        <v>45574</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41464-2022</t>
        </is>
      </c>
      <c r="B922" s="1" t="n">
        <v>44827</v>
      </c>
      <c r="C922" s="1" t="n">
        <v>45574</v>
      </c>
      <c r="D922" t="inlineStr">
        <is>
          <t>VÄSTERNORRLANDS LÄN</t>
        </is>
      </c>
      <c r="E922" t="inlineStr">
        <is>
          <t>ÅNGE</t>
        </is>
      </c>
      <c r="F922" t="inlineStr">
        <is>
          <t>SCA</t>
        </is>
      </c>
      <c r="G922" t="n">
        <v>32.2</v>
      </c>
      <c r="H922" t="n">
        <v>0</v>
      </c>
      <c r="I922" t="n">
        <v>0</v>
      </c>
      <c r="J922" t="n">
        <v>0</v>
      </c>
      <c r="K922" t="n">
        <v>0</v>
      </c>
      <c r="L922" t="n">
        <v>0</v>
      </c>
      <c r="M922" t="n">
        <v>0</v>
      </c>
      <c r="N922" t="n">
        <v>0</v>
      </c>
      <c r="O922" t="n">
        <v>0</v>
      </c>
      <c r="P922" t="n">
        <v>0</v>
      </c>
      <c r="Q922" t="n">
        <v>0</v>
      </c>
      <c r="R922" s="2" t="inlineStr"/>
    </row>
    <row r="923" ht="15" customHeight="1">
      <c r="A923" t="inlineStr">
        <is>
          <t>A 41825-2022</t>
        </is>
      </c>
      <c r="B923" s="1" t="n">
        <v>44827</v>
      </c>
      <c r="C923" s="1" t="n">
        <v>45574</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c r="U923">
        <f>HYPERLINK("https://klasma.github.io/Logging_2260/knärot/A 41825-2022 karta knärot.png", "A 41825-2022")</f>
        <v/>
      </c>
      <c r="V923">
        <f>HYPERLINK("https://klasma.github.io/Logging_2260/klagomål/A 41825-2022 FSC-klagomål.docx", "A 41825-2022")</f>
        <v/>
      </c>
      <c r="W923">
        <f>HYPERLINK("https://klasma.github.io/Logging_2260/klagomålsmail/A 41825-2022 FSC-klagomål mail.docx", "A 41825-2022")</f>
        <v/>
      </c>
      <c r="X923">
        <f>HYPERLINK("https://klasma.github.io/Logging_2260/tillsyn/A 41825-2022 tillsynsbegäran.docx", "A 41825-2022")</f>
        <v/>
      </c>
      <c r="Y923">
        <f>HYPERLINK("https://klasma.github.io/Logging_2260/tillsynsmail/A 41825-2022 tillsynsbegäran mail.docx", "A 41825-2022")</f>
        <v/>
      </c>
    </row>
    <row r="924" ht="15" customHeight="1">
      <c r="A924" t="inlineStr">
        <is>
          <t>A 42857-2022</t>
        </is>
      </c>
      <c r="B924" s="1" t="n">
        <v>44832</v>
      </c>
      <c r="C924" s="1" t="n">
        <v>45574</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43066-2022</t>
        </is>
      </c>
      <c r="B925" s="1" t="n">
        <v>44833</v>
      </c>
      <c r="C925" s="1" t="n">
        <v>45574</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43775-2022</t>
        </is>
      </c>
      <c r="B926" s="1" t="n">
        <v>44838</v>
      </c>
      <c r="C926" s="1" t="n">
        <v>45574</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43788-2022</t>
        </is>
      </c>
      <c r="B927" s="1" t="n">
        <v>44837</v>
      </c>
      <c r="C927" s="1" t="n">
        <v>45574</v>
      </c>
      <c r="D927" t="inlineStr">
        <is>
          <t>VÄSTERNORRLANDS LÄN</t>
        </is>
      </c>
      <c r="E927" t="inlineStr">
        <is>
          <t>ÅNGE</t>
        </is>
      </c>
      <c r="F927" t="inlineStr">
        <is>
          <t>SCA</t>
        </is>
      </c>
      <c r="G927" t="n">
        <v>7.7</v>
      </c>
      <c r="H927" t="n">
        <v>0</v>
      </c>
      <c r="I927" t="n">
        <v>0</v>
      </c>
      <c r="J927" t="n">
        <v>0</v>
      </c>
      <c r="K927" t="n">
        <v>0</v>
      </c>
      <c r="L927" t="n">
        <v>0</v>
      </c>
      <c r="M927" t="n">
        <v>0</v>
      </c>
      <c r="N927" t="n">
        <v>0</v>
      </c>
      <c r="O927" t="n">
        <v>0</v>
      </c>
      <c r="P927" t="n">
        <v>0</v>
      </c>
      <c r="Q927" t="n">
        <v>0</v>
      </c>
      <c r="R927" s="2" t="inlineStr"/>
    </row>
    <row r="928" ht="15" customHeight="1">
      <c r="A928" t="inlineStr">
        <is>
          <t>A 44412-2022</t>
        </is>
      </c>
      <c r="B928" s="1" t="n">
        <v>44840</v>
      </c>
      <c r="C928" s="1" t="n">
        <v>45574</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44414-2022</t>
        </is>
      </c>
      <c r="B929" s="1" t="n">
        <v>44840</v>
      </c>
      <c r="C929" s="1" t="n">
        <v>45574</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44413-2022</t>
        </is>
      </c>
      <c r="B930" s="1" t="n">
        <v>44840</v>
      </c>
      <c r="C930" s="1" t="n">
        <v>45574</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45086-2022</t>
        </is>
      </c>
      <c r="B931" s="1" t="n">
        <v>44841</v>
      </c>
      <c r="C931" s="1" t="n">
        <v>45574</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45087-2022</t>
        </is>
      </c>
      <c r="B932" s="1" t="n">
        <v>44841</v>
      </c>
      <c r="C932" s="1" t="n">
        <v>45574</v>
      </c>
      <c r="D932" t="inlineStr">
        <is>
          <t>VÄSTERNORRLANDS LÄN</t>
        </is>
      </c>
      <c r="E932" t="inlineStr">
        <is>
          <t>ÅNGE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v>
      </c>
      <c r="C933" s="1" t="n">
        <v>45574</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45432-2022</t>
        </is>
      </c>
      <c r="B934" s="1" t="n">
        <v>44844</v>
      </c>
      <c r="C934" s="1" t="n">
        <v>45574</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45459-2022</t>
        </is>
      </c>
      <c r="B935" s="1" t="n">
        <v>44845</v>
      </c>
      <c r="C935" s="1" t="n">
        <v>45574</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45703-2022</t>
        </is>
      </c>
      <c r="B936" s="1" t="n">
        <v>44845</v>
      </c>
      <c r="C936" s="1" t="n">
        <v>45574</v>
      </c>
      <c r="D936" t="inlineStr">
        <is>
          <t>VÄSTERNORRLANDS LÄN</t>
        </is>
      </c>
      <c r="E936" t="inlineStr">
        <is>
          <t>ÅNGE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45931-2022</t>
        </is>
      </c>
      <c r="B937" s="1" t="n">
        <v>44846</v>
      </c>
      <c r="C937" s="1" t="n">
        <v>45574</v>
      </c>
      <c r="D937" t="inlineStr">
        <is>
          <t>VÄSTERNORRLANDS LÄN</t>
        </is>
      </c>
      <c r="E937" t="inlineStr">
        <is>
          <t>ÅNGE</t>
        </is>
      </c>
      <c r="G937" t="n">
        <v>27.6</v>
      </c>
      <c r="H937" t="n">
        <v>0</v>
      </c>
      <c r="I937" t="n">
        <v>0</v>
      </c>
      <c r="J937" t="n">
        <v>0</v>
      </c>
      <c r="K937" t="n">
        <v>0</v>
      </c>
      <c r="L937" t="n">
        <v>0</v>
      </c>
      <c r="M937" t="n">
        <v>0</v>
      </c>
      <c r="N937" t="n">
        <v>0</v>
      </c>
      <c r="O937" t="n">
        <v>0</v>
      </c>
      <c r="P937" t="n">
        <v>0</v>
      </c>
      <c r="Q937" t="n">
        <v>0</v>
      </c>
      <c r="R937" s="2" t="inlineStr"/>
    </row>
    <row r="938" ht="15" customHeight="1">
      <c r="A938" t="inlineStr">
        <is>
          <t>A 46334-2022</t>
        </is>
      </c>
      <c r="B938" s="1" t="n">
        <v>44848</v>
      </c>
      <c r="C938" s="1" t="n">
        <v>45574</v>
      </c>
      <c r="D938" t="inlineStr">
        <is>
          <t>VÄSTERNORRLANDS LÄN</t>
        </is>
      </c>
      <c r="E938" t="inlineStr">
        <is>
          <t>ÅNGE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46352-2022</t>
        </is>
      </c>
      <c r="B939" s="1" t="n">
        <v>44848</v>
      </c>
      <c r="C939" s="1" t="n">
        <v>45574</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46351-2022</t>
        </is>
      </c>
      <c r="B940" s="1" t="n">
        <v>44847</v>
      </c>
      <c r="C940" s="1" t="n">
        <v>45574</v>
      </c>
      <c r="D940" t="inlineStr">
        <is>
          <t>VÄSTERNORRLANDS LÄN</t>
        </is>
      </c>
      <c r="E940" t="inlineStr">
        <is>
          <t>ÅNGE</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46350-2022</t>
        </is>
      </c>
      <c r="B941" s="1" t="n">
        <v>44848</v>
      </c>
      <c r="C941" s="1" t="n">
        <v>45574</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47282-2022</t>
        </is>
      </c>
      <c r="B942" s="1" t="n">
        <v>44853</v>
      </c>
      <c r="C942" s="1" t="n">
        <v>45574</v>
      </c>
      <c r="D942" t="inlineStr">
        <is>
          <t>VÄSTERNORRLANDS LÄN</t>
        </is>
      </c>
      <c r="E942" t="inlineStr">
        <is>
          <t>ÅNGE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47106-2022</t>
        </is>
      </c>
      <c r="B943" s="1" t="n">
        <v>44852</v>
      </c>
      <c r="C943" s="1" t="n">
        <v>45574</v>
      </c>
      <c r="D943" t="inlineStr">
        <is>
          <t>VÄSTERNORRLANDS LÄN</t>
        </is>
      </c>
      <c r="E943" t="inlineStr">
        <is>
          <t>ÅNGE</t>
        </is>
      </c>
      <c r="G943" t="n">
        <v>11.9</v>
      </c>
      <c r="H943" t="n">
        <v>0</v>
      </c>
      <c r="I943" t="n">
        <v>0</v>
      </c>
      <c r="J943" t="n">
        <v>0</v>
      </c>
      <c r="K943" t="n">
        <v>0</v>
      </c>
      <c r="L943" t="n">
        <v>0</v>
      </c>
      <c r="M943" t="n">
        <v>0</v>
      </c>
      <c r="N943" t="n">
        <v>0</v>
      </c>
      <c r="O943" t="n">
        <v>0</v>
      </c>
      <c r="P943" t="n">
        <v>0</v>
      </c>
      <c r="Q943" t="n">
        <v>0</v>
      </c>
      <c r="R943" s="2" t="inlineStr"/>
    </row>
    <row r="944" ht="15" customHeight="1">
      <c r="A944" t="inlineStr">
        <is>
          <t>A 47443-2022</t>
        </is>
      </c>
      <c r="B944" s="1" t="n">
        <v>44853</v>
      </c>
      <c r="C944" s="1" t="n">
        <v>45574</v>
      </c>
      <c r="D944" t="inlineStr">
        <is>
          <t>VÄSTERNORRLANDS LÄN</t>
        </is>
      </c>
      <c r="E944" t="inlineStr">
        <is>
          <t>ÅNGE</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47576-2022</t>
        </is>
      </c>
      <c r="B945" s="1" t="n">
        <v>44854</v>
      </c>
      <c r="C945" s="1" t="n">
        <v>45574</v>
      </c>
      <c r="D945" t="inlineStr">
        <is>
          <t>VÄSTERNORRLANDS LÄN</t>
        </is>
      </c>
      <c r="E945" t="inlineStr">
        <is>
          <t>ÅNGE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47605-2022</t>
        </is>
      </c>
      <c r="B946" s="1" t="n">
        <v>44854</v>
      </c>
      <c r="C946" s="1" t="n">
        <v>45574</v>
      </c>
      <c r="D946" t="inlineStr">
        <is>
          <t>VÄSTERNORRLANDS LÄN</t>
        </is>
      </c>
      <c r="E946" t="inlineStr">
        <is>
          <t>ÅNGE</t>
        </is>
      </c>
      <c r="F946" t="inlineStr">
        <is>
          <t>Holmen skog AB</t>
        </is>
      </c>
      <c r="G946" t="n">
        <v>4.5</v>
      </c>
      <c r="H946" t="n">
        <v>0</v>
      </c>
      <c r="I946" t="n">
        <v>0</v>
      </c>
      <c r="J946" t="n">
        <v>0</v>
      </c>
      <c r="K946" t="n">
        <v>0</v>
      </c>
      <c r="L946" t="n">
        <v>0</v>
      </c>
      <c r="M946" t="n">
        <v>0</v>
      </c>
      <c r="N946" t="n">
        <v>0</v>
      </c>
      <c r="O946" t="n">
        <v>0</v>
      </c>
      <c r="P946" t="n">
        <v>0</v>
      </c>
      <c r="Q946" t="n">
        <v>0</v>
      </c>
      <c r="R946" s="2" t="inlineStr"/>
    </row>
    <row r="947" ht="15" customHeight="1">
      <c r="A947" t="inlineStr">
        <is>
          <t>A 47660-2022</t>
        </is>
      </c>
      <c r="B947" s="1" t="n">
        <v>44854</v>
      </c>
      <c r="C947" s="1" t="n">
        <v>45574</v>
      </c>
      <c r="D947" t="inlineStr">
        <is>
          <t>VÄSTERNORRLANDS LÄN</t>
        </is>
      </c>
      <c r="E947" t="inlineStr">
        <is>
          <t>ÅNGE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47654-2022</t>
        </is>
      </c>
      <c r="B948" s="1" t="n">
        <v>44854</v>
      </c>
      <c r="C948" s="1" t="n">
        <v>45574</v>
      </c>
      <c r="D948" t="inlineStr">
        <is>
          <t>VÄSTERNORRLANDS LÄN</t>
        </is>
      </c>
      <c r="E948" t="inlineStr">
        <is>
          <t>ÅNGE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47785-2022</t>
        </is>
      </c>
      <c r="B949" s="1" t="n">
        <v>44855</v>
      </c>
      <c r="C949" s="1" t="n">
        <v>45574</v>
      </c>
      <c r="D949" t="inlineStr">
        <is>
          <t>VÄSTERNORRLANDS LÄN</t>
        </is>
      </c>
      <c r="E949" t="inlineStr">
        <is>
          <t>ÅNGE</t>
        </is>
      </c>
      <c r="F949" t="inlineStr">
        <is>
          <t>SCA</t>
        </is>
      </c>
      <c r="G949" t="n">
        <v>12.6</v>
      </c>
      <c r="H949" t="n">
        <v>0</v>
      </c>
      <c r="I949" t="n">
        <v>0</v>
      </c>
      <c r="J949" t="n">
        <v>0</v>
      </c>
      <c r="K949" t="n">
        <v>0</v>
      </c>
      <c r="L949" t="n">
        <v>0</v>
      </c>
      <c r="M949" t="n">
        <v>0</v>
      </c>
      <c r="N949" t="n">
        <v>0</v>
      </c>
      <c r="O949" t="n">
        <v>0</v>
      </c>
      <c r="P949" t="n">
        <v>0</v>
      </c>
      <c r="Q949" t="n">
        <v>0</v>
      </c>
      <c r="R949" s="2" t="inlineStr"/>
    </row>
    <row r="950" ht="15" customHeight="1">
      <c r="A950" t="inlineStr">
        <is>
          <t>A 47792-2022</t>
        </is>
      </c>
      <c r="B950" s="1" t="n">
        <v>44855</v>
      </c>
      <c r="C950" s="1" t="n">
        <v>45574</v>
      </c>
      <c r="D950" t="inlineStr">
        <is>
          <t>VÄSTERNORRLANDS LÄN</t>
        </is>
      </c>
      <c r="E950" t="inlineStr">
        <is>
          <t>ÅNGE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47791-2022</t>
        </is>
      </c>
      <c r="B951" s="1" t="n">
        <v>44855</v>
      </c>
      <c r="C951" s="1" t="n">
        <v>45574</v>
      </c>
      <c r="D951" t="inlineStr">
        <is>
          <t>VÄSTERNORRLANDS LÄN</t>
        </is>
      </c>
      <c r="E951" t="inlineStr">
        <is>
          <t>ÅNGE</t>
        </is>
      </c>
      <c r="F951" t="inlineStr">
        <is>
          <t>SCA</t>
        </is>
      </c>
      <c r="G951" t="n">
        <v>15.2</v>
      </c>
      <c r="H951" t="n">
        <v>0</v>
      </c>
      <c r="I951" t="n">
        <v>0</v>
      </c>
      <c r="J951" t="n">
        <v>0</v>
      </c>
      <c r="K951" t="n">
        <v>0</v>
      </c>
      <c r="L951" t="n">
        <v>0</v>
      </c>
      <c r="M951" t="n">
        <v>0</v>
      </c>
      <c r="N951" t="n">
        <v>0</v>
      </c>
      <c r="O951" t="n">
        <v>0</v>
      </c>
      <c r="P951" t="n">
        <v>0</v>
      </c>
      <c r="Q951" t="n">
        <v>0</v>
      </c>
      <c r="R951" s="2" t="inlineStr"/>
    </row>
    <row r="952" ht="15" customHeight="1">
      <c r="A952" t="inlineStr">
        <is>
          <t>A 48521-2022</t>
        </is>
      </c>
      <c r="B952" s="1" t="n">
        <v>44858</v>
      </c>
      <c r="C952" s="1" t="n">
        <v>45574</v>
      </c>
      <c r="D952" t="inlineStr">
        <is>
          <t>VÄSTERNORRLANDS LÄN</t>
        </is>
      </c>
      <c r="E952" t="inlineStr">
        <is>
          <t>ÅNGE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50357-2022</t>
        </is>
      </c>
      <c r="B953" s="1" t="n">
        <v>44860</v>
      </c>
      <c r="C953" s="1" t="n">
        <v>45574</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49503-2022</t>
        </is>
      </c>
      <c r="B954" s="1" t="n">
        <v>44862</v>
      </c>
      <c r="C954" s="1" t="n">
        <v>45574</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49502-2022</t>
        </is>
      </c>
      <c r="B955" s="1" t="n">
        <v>44862</v>
      </c>
      <c r="C955" s="1" t="n">
        <v>45574</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50419-2022</t>
        </is>
      </c>
      <c r="B956" s="1" t="n">
        <v>44861</v>
      </c>
      <c r="C956" s="1" t="n">
        <v>45574</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49865-2022</t>
        </is>
      </c>
      <c r="B957" s="1" t="n">
        <v>44863</v>
      </c>
      <c r="C957" s="1" t="n">
        <v>45574</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50332-2022</t>
        </is>
      </c>
      <c r="B958" s="1" t="n">
        <v>44865</v>
      </c>
      <c r="C958" s="1" t="n">
        <v>45574</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50643-2022</t>
        </is>
      </c>
      <c r="B959" s="1" t="n">
        <v>44866</v>
      </c>
      <c r="C959" s="1" t="n">
        <v>45574</v>
      </c>
      <c r="D959" t="inlineStr">
        <is>
          <t>VÄSTERNORRLANDS LÄN</t>
        </is>
      </c>
      <c r="E959" t="inlineStr">
        <is>
          <t>ÅNGE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50640-2022</t>
        </is>
      </c>
      <c r="B960" s="1" t="n">
        <v>44866</v>
      </c>
      <c r="C960" s="1" t="n">
        <v>45574</v>
      </c>
      <c r="D960" t="inlineStr">
        <is>
          <t>VÄSTERNORRLANDS LÄN</t>
        </is>
      </c>
      <c r="E960" t="inlineStr">
        <is>
          <t>ÅNGE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50665-2022</t>
        </is>
      </c>
      <c r="B961" s="1" t="n">
        <v>44866</v>
      </c>
      <c r="C961" s="1" t="n">
        <v>45574</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51383-2022</t>
        </is>
      </c>
      <c r="B962" s="1" t="n">
        <v>44866</v>
      </c>
      <c r="C962" s="1" t="n">
        <v>45574</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51131-2022</t>
        </is>
      </c>
      <c r="B963" s="1" t="n">
        <v>44868</v>
      </c>
      <c r="C963" s="1" t="n">
        <v>45574</v>
      </c>
      <c r="D963" t="inlineStr">
        <is>
          <t>VÄSTERNORRLANDS LÄN</t>
        </is>
      </c>
      <c r="E963" t="inlineStr">
        <is>
          <t>ÅNGE</t>
        </is>
      </c>
      <c r="G963" t="n">
        <v>11.1</v>
      </c>
      <c r="H963" t="n">
        <v>0</v>
      </c>
      <c r="I963" t="n">
        <v>0</v>
      </c>
      <c r="J963" t="n">
        <v>0</v>
      </c>
      <c r="K963" t="n">
        <v>0</v>
      </c>
      <c r="L963" t="n">
        <v>0</v>
      </c>
      <c r="M963" t="n">
        <v>0</v>
      </c>
      <c r="N963" t="n">
        <v>0</v>
      </c>
      <c r="O963" t="n">
        <v>0</v>
      </c>
      <c r="P963" t="n">
        <v>0</v>
      </c>
      <c r="Q963" t="n">
        <v>0</v>
      </c>
      <c r="R963" s="2" t="inlineStr"/>
    </row>
    <row r="964" ht="15" customHeight="1">
      <c r="A964" t="inlineStr">
        <is>
          <t>A 51263-2022</t>
        </is>
      </c>
      <c r="B964" s="1" t="n">
        <v>44868</v>
      </c>
      <c r="C964" s="1" t="n">
        <v>45574</v>
      </c>
      <c r="D964" t="inlineStr">
        <is>
          <t>VÄSTERNORRLANDS LÄN</t>
        </is>
      </c>
      <c r="E964" t="inlineStr">
        <is>
          <t>ÅNGE</t>
        </is>
      </c>
      <c r="F964" t="inlineStr">
        <is>
          <t>Holmen skog AB</t>
        </is>
      </c>
      <c r="G964" t="n">
        <v>12.1</v>
      </c>
      <c r="H964" t="n">
        <v>0</v>
      </c>
      <c r="I964" t="n">
        <v>0</v>
      </c>
      <c r="J964" t="n">
        <v>0</v>
      </c>
      <c r="K964" t="n">
        <v>0</v>
      </c>
      <c r="L964" t="n">
        <v>0</v>
      </c>
      <c r="M964" t="n">
        <v>0</v>
      </c>
      <c r="N964" t="n">
        <v>0</v>
      </c>
      <c r="O964" t="n">
        <v>0</v>
      </c>
      <c r="P964" t="n">
        <v>0</v>
      </c>
      <c r="Q964" t="n">
        <v>0</v>
      </c>
      <c r="R964" s="2" t="inlineStr"/>
    </row>
    <row r="965" ht="15" customHeight="1">
      <c r="A965" t="inlineStr">
        <is>
          <t>A 51311-2022</t>
        </is>
      </c>
      <c r="B965" s="1" t="n">
        <v>44868</v>
      </c>
      <c r="C965" s="1" t="n">
        <v>45574</v>
      </c>
      <c r="D965" t="inlineStr">
        <is>
          <t>VÄSTERNORRLANDS LÄN</t>
        </is>
      </c>
      <c r="E965" t="inlineStr">
        <is>
          <t>ÅNGE</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51261-2022</t>
        </is>
      </c>
      <c r="B966" s="1" t="n">
        <v>44868</v>
      </c>
      <c r="C966" s="1" t="n">
        <v>45574</v>
      </c>
      <c r="D966" t="inlineStr">
        <is>
          <t>VÄSTERNORRLANDS LÄN</t>
        </is>
      </c>
      <c r="E966" t="inlineStr">
        <is>
          <t>ÅNGE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51313-2022</t>
        </is>
      </c>
      <c r="B967" s="1" t="n">
        <v>44868</v>
      </c>
      <c r="C967" s="1" t="n">
        <v>45574</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51393-2022</t>
        </is>
      </c>
      <c r="B968" s="1" t="n">
        <v>44869</v>
      </c>
      <c r="C968" s="1" t="n">
        <v>45574</v>
      </c>
      <c r="D968" t="inlineStr">
        <is>
          <t>VÄSTERNORRLANDS LÄN</t>
        </is>
      </c>
      <c r="E968" t="inlineStr">
        <is>
          <t>ÅNGE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51542-2022</t>
        </is>
      </c>
      <c r="B969" s="1" t="n">
        <v>44869</v>
      </c>
      <c r="C969" s="1" t="n">
        <v>45574</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51555-2022</t>
        </is>
      </c>
      <c r="B970" s="1" t="n">
        <v>44869</v>
      </c>
      <c r="C970" s="1" t="n">
        <v>45574</v>
      </c>
      <c r="D970" t="inlineStr">
        <is>
          <t>VÄSTERNORRLANDS LÄN</t>
        </is>
      </c>
      <c r="E970" t="inlineStr">
        <is>
          <t>ÅNGE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51494-2022</t>
        </is>
      </c>
      <c r="B971" s="1" t="n">
        <v>44869</v>
      </c>
      <c r="C971" s="1" t="n">
        <v>45574</v>
      </c>
      <c r="D971" t="inlineStr">
        <is>
          <t>VÄSTERNORRLANDS LÄN</t>
        </is>
      </c>
      <c r="E971" t="inlineStr">
        <is>
          <t>ÅNGE</t>
        </is>
      </c>
      <c r="G971" t="n">
        <v>1.2</v>
      </c>
      <c r="H971" t="n">
        <v>0</v>
      </c>
      <c r="I971" t="n">
        <v>0</v>
      </c>
      <c r="J971" t="n">
        <v>0</v>
      </c>
      <c r="K971" t="n">
        <v>0</v>
      </c>
      <c r="L971" t="n">
        <v>0</v>
      </c>
      <c r="M971" t="n">
        <v>0</v>
      </c>
      <c r="N971" t="n">
        <v>0</v>
      </c>
      <c r="O971" t="n">
        <v>0</v>
      </c>
      <c r="P971" t="n">
        <v>0</v>
      </c>
      <c r="Q971" t="n">
        <v>0</v>
      </c>
      <c r="R971" s="2" t="inlineStr"/>
    </row>
    <row r="972" ht="15" customHeight="1">
      <c r="A972" t="inlineStr">
        <is>
          <t>A 51997-2022</t>
        </is>
      </c>
      <c r="B972" s="1" t="n">
        <v>44872</v>
      </c>
      <c r="C972" s="1" t="n">
        <v>45574</v>
      </c>
      <c r="D972" t="inlineStr">
        <is>
          <t>VÄSTERNORRLANDS LÄN</t>
        </is>
      </c>
      <c r="E972" t="inlineStr">
        <is>
          <t>ÅNGE</t>
        </is>
      </c>
      <c r="G972" t="n">
        <v>3.3</v>
      </c>
      <c r="H972" t="n">
        <v>0</v>
      </c>
      <c r="I972" t="n">
        <v>0</v>
      </c>
      <c r="J972" t="n">
        <v>0</v>
      </c>
      <c r="K972" t="n">
        <v>0</v>
      </c>
      <c r="L972" t="n">
        <v>0</v>
      </c>
      <c r="M972" t="n">
        <v>0</v>
      </c>
      <c r="N972" t="n">
        <v>0</v>
      </c>
      <c r="O972" t="n">
        <v>0</v>
      </c>
      <c r="P972" t="n">
        <v>0</v>
      </c>
      <c r="Q972" t="n">
        <v>0</v>
      </c>
      <c r="R972" s="2" t="inlineStr"/>
    </row>
    <row r="973" ht="15" customHeight="1">
      <c r="A973" t="inlineStr">
        <is>
          <t>A 51996-2022</t>
        </is>
      </c>
      <c r="B973" s="1" t="n">
        <v>44872</v>
      </c>
      <c r="C973" s="1" t="n">
        <v>45574</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52015-2022</t>
        </is>
      </c>
      <c r="B974" s="1" t="n">
        <v>44872</v>
      </c>
      <c r="C974" s="1" t="n">
        <v>45574</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52182-2022</t>
        </is>
      </c>
      <c r="B975" s="1" t="n">
        <v>44873</v>
      </c>
      <c r="C975" s="1" t="n">
        <v>45574</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52179-2022</t>
        </is>
      </c>
      <c r="B976" s="1" t="n">
        <v>44873</v>
      </c>
      <c r="C976" s="1" t="n">
        <v>45574</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52347-2022</t>
        </is>
      </c>
      <c r="B977" s="1" t="n">
        <v>44873</v>
      </c>
      <c r="C977" s="1" t="n">
        <v>45574</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52346-2022</t>
        </is>
      </c>
      <c r="B978" s="1" t="n">
        <v>44873</v>
      </c>
      <c r="C978" s="1" t="n">
        <v>45574</v>
      </c>
      <c r="D978" t="inlineStr">
        <is>
          <t>VÄSTERNORRLANDS LÄN</t>
        </is>
      </c>
      <c r="E978" t="inlineStr">
        <is>
          <t>ÅNGE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53010-2022</t>
        </is>
      </c>
      <c r="B979" s="1" t="n">
        <v>44875</v>
      </c>
      <c r="C979" s="1" t="n">
        <v>45574</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53304-2022</t>
        </is>
      </c>
      <c r="B980" s="1" t="n">
        <v>44878</v>
      </c>
      <c r="C980" s="1" t="n">
        <v>45574</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53439-2022</t>
        </is>
      </c>
      <c r="B981" s="1" t="n">
        <v>44879</v>
      </c>
      <c r="C981" s="1" t="n">
        <v>45574</v>
      </c>
      <c r="D981" t="inlineStr">
        <is>
          <t>VÄSTERNORRLANDS LÄN</t>
        </is>
      </c>
      <c r="E981" t="inlineStr">
        <is>
          <t>ÅNGE</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53663-2022</t>
        </is>
      </c>
      <c r="B982" s="1" t="n">
        <v>44879</v>
      </c>
      <c r="C982" s="1" t="n">
        <v>45574</v>
      </c>
      <c r="D982" t="inlineStr">
        <is>
          <t>VÄSTERNORRLANDS LÄN</t>
        </is>
      </c>
      <c r="E982" t="inlineStr">
        <is>
          <t>ÅNGE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53664-2022</t>
        </is>
      </c>
      <c r="B983" s="1" t="n">
        <v>44879</v>
      </c>
      <c r="C983" s="1" t="n">
        <v>45574</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53854-2022</t>
        </is>
      </c>
      <c r="B984" s="1" t="n">
        <v>44880</v>
      </c>
      <c r="C984" s="1" t="n">
        <v>45574</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53950-2022</t>
        </is>
      </c>
      <c r="B985" s="1" t="n">
        <v>44880</v>
      </c>
      <c r="C985" s="1" t="n">
        <v>45574</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54027-2022</t>
        </is>
      </c>
      <c r="B986" s="1" t="n">
        <v>44881</v>
      </c>
      <c r="C986" s="1" t="n">
        <v>45574</v>
      </c>
      <c r="D986" t="inlineStr">
        <is>
          <t>VÄSTERNORRLANDS LÄN</t>
        </is>
      </c>
      <c r="E986" t="inlineStr">
        <is>
          <t>ÅNGE</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54250-2022</t>
        </is>
      </c>
      <c r="B987" s="1" t="n">
        <v>44881</v>
      </c>
      <c r="C987" s="1" t="n">
        <v>45574</v>
      </c>
      <c r="D987" t="inlineStr">
        <is>
          <t>VÄSTERNORRLANDS LÄN</t>
        </is>
      </c>
      <c r="E987" t="inlineStr">
        <is>
          <t>ÅNGE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55007-2022</t>
        </is>
      </c>
      <c r="B988" s="1" t="n">
        <v>44881</v>
      </c>
      <c r="C988" s="1" t="n">
        <v>45574</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54453-2022</t>
        </is>
      </c>
      <c r="B989" s="1" t="n">
        <v>44882</v>
      </c>
      <c r="C989" s="1" t="n">
        <v>45574</v>
      </c>
      <c r="D989" t="inlineStr">
        <is>
          <t>VÄSTERNORRLANDS LÄN</t>
        </is>
      </c>
      <c r="E989" t="inlineStr">
        <is>
          <t>ÅNGE</t>
        </is>
      </c>
      <c r="G989" t="n">
        <v>22.3</v>
      </c>
      <c r="H989" t="n">
        <v>0</v>
      </c>
      <c r="I989" t="n">
        <v>0</v>
      </c>
      <c r="J989" t="n">
        <v>0</v>
      </c>
      <c r="K989" t="n">
        <v>0</v>
      </c>
      <c r="L989" t="n">
        <v>0</v>
      </c>
      <c r="M989" t="n">
        <v>0</v>
      </c>
      <c r="N989" t="n">
        <v>0</v>
      </c>
      <c r="O989" t="n">
        <v>0</v>
      </c>
      <c r="P989" t="n">
        <v>0</v>
      </c>
      <c r="Q989" t="n">
        <v>0</v>
      </c>
      <c r="R989" s="2" t="inlineStr"/>
    </row>
    <row r="990" ht="15" customHeight="1">
      <c r="A990" t="inlineStr">
        <is>
          <t>A 54575-2022</t>
        </is>
      </c>
      <c r="B990" s="1" t="n">
        <v>44882</v>
      </c>
      <c r="C990" s="1" t="n">
        <v>45574</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54579-2022</t>
        </is>
      </c>
      <c r="B991" s="1" t="n">
        <v>44882</v>
      </c>
      <c r="C991" s="1" t="n">
        <v>45574</v>
      </c>
      <c r="D991" t="inlineStr">
        <is>
          <t>VÄSTERNORRLANDS LÄN</t>
        </is>
      </c>
      <c r="E991" t="inlineStr">
        <is>
          <t>ÅNGE</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54821-2022</t>
        </is>
      </c>
      <c r="B992" s="1" t="n">
        <v>44883</v>
      </c>
      <c r="C992" s="1" t="n">
        <v>45574</v>
      </c>
      <c r="D992" t="inlineStr">
        <is>
          <t>VÄSTERNORRLANDS LÄN</t>
        </is>
      </c>
      <c r="E992" t="inlineStr">
        <is>
          <t>ÅNGE</t>
        </is>
      </c>
      <c r="G992" t="n">
        <v>7.4</v>
      </c>
      <c r="H992" t="n">
        <v>0</v>
      </c>
      <c r="I992" t="n">
        <v>0</v>
      </c>
      <c r="J992" t="n">
        <v>0</v>
      </c>
      <c r="K992" t="n">
        <v>0</v>
      </c>
      <c r="L992" t="n">
        <v>0</v>
      </c>
      <c r="M992" t="n">
        <v>0</v>
      </c>
      <c r="N992" t="n">
        <v>0</v>
      </c>
      <c r="O992" t="n">
        <v>0</v>
      </c>
      <c r="P992" t="n">
        <v>0</v>
      </c>
      <c r="Q992" t="n">
        <v>0</v>
      </c>
      <c r="R992" s="2" t="inlineStr"/>
    </row>
    <row r="993" ht="15" customHeight="1">
      <c r="A993" t="inlineStr">
        <is>
          <t>A 55197-2022</t>
        </is>
      </c>
      <c r="B993" s="1" t="n">
        <v>44886</v>
      </c>
      <c r="C993" s="1" t="n">
        <v>45574</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55112-2022</t>
        </is>
      </c>
      <c r="B994" s="1" t="n">
        <v>44886</v>
      </c>
      <c r="C994" s="1" t="n">
        <v>45574</v>
      </c>
      <c r="D994" t="inlineStr">
        <is>
          <t>VÄSTERNORRLANDS LÄN</t>
        </is>
      </c>
      <c r="E994" t="inlineStr">
        <is>
          <t>ÅNGE</t>
        </is>
      </c>
      <c r="F994" t="inlineStr">
        <is>
          <t>Holmen skog AB</t>
        </is>
      </c>
      <c r="G994" t="n">
        <v>3.9</v>
      </c>
      <c r="H994" t="n">
        <v>0</v>
      </c>
      <c r="I994" t="n">
        <v>0</v>
      </c>
      <c r="J994" t="n">
        <v>0</v>
      </c>
      <c r="K994" t="n">
        <v>0</v>
      </c>
      <c r="L994" t="n">
        <v>0</v>
      </c>
      <c r="M994" t="n">
        <v>0</v>
      </c>
      <c r="N994" t="n">
        <v>0</v>
      </c>
      <c r="O994" t="n">
        <v>0</v>
      </c>
      <c r="P994" t="n">
        <v>0</v>
      </c>
      <c r="Q994" t="n">
        <v>0</v>
      </c>
      <c r="R994" s="2" t="inlineStr"/>
    </row>
    <row r="995" ht="15" customHeight="1">
      <c r="A995" t="inlineStr">
        <is>
          <t>A 55213-2022</t>
        </is>
      </c>
      <c r="B995" s="1" t="n">
        <v>44887</v>
      </c>
      <c r="C995" s="1" t="n">
        <v>45574</v>
      </c>
      <c r="D995" t="inlineStr">
        <is>
          <t>VÄSTERNORRLANDS LÄN</t>
        </is>
      </c>
      <c r="E995" t="inlineStr">
        <is>
          <t>ÅNGE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55212-2022</t>
        </is>
      </c>
      <c r="B996" s="1" t="n">
        <v>44886</v>
      </c>
      <c r="C996" s="1" t="n">
        <v>45574</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55361-2022</t>
        </is>
      </c>
      <c r="B997" s="1" t="n">
        <v>44887</v>
      </c>
      <c r="C997" s="1" t="n">
        <v>45574</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55526-2022</t>
        </is>
      </c>
      <c r="B998" s="1" t="n">
        <v>44887</v>
      </c>
      <c r="C998" s="1" t="n">
        <v>45574</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55474-2022</t>
        </is>
      </c>
      <c r="B999" s="1" t="n">
        <v>44887</v>
      </c>
      <c r="C999" s="1" t="n">
        <v>45574</v>
      </c>
      <c r="D999" t="inlineStr">
        <is>
          <t>VÄSTERNORRLANDS LÄN</t>
        </is>
      </c>
      <c r="E999" t="inlineStr">
        <is>
          <t>ÅNGE</t>
        </is>
      </c>
      <c r="F999" t="inlineStr">
        <is>
          <t>Holmen skog AB</t>
        </is>
      </c>
      <c r="G999" t="n">
        <v>17.9</v>
      </c>
      <c r="H999" t="n">
        <v>0</v>
      </c>
      <c r="I999" t="n">
        <v>0</v>
      </c>
      <c r="J999" t="n">
        <v>0</v>
      </c>
      <c r="K999" t="n">
        <v>0</v>
      </c>
      <c r="L999" t="n">
        <v>0</v>
      </c>
      <c r="M999" t="n">
        <v>0</v>
      </c>
      <c r="N999" t="n">
        <v>0</v>
      </c>
      <c r="O999" t="n">
        <v>0</v>
      </c>
      <c r="P999" t="n">
        <v>0</v>
      </c>
      <c r="Q999" t="n">
        <v>0</v>
      </c>
      <c r="R999" s="2" t="inlineStr"/>
    </row>
    <row r="1000" ht="15" customHeight="1">
      <c r="A1000" t="inlineStr">
        <is>
          <t>A 55527-2022</t>
        </is>
      </c>
      <c r="B1000" s="1" t="n">
        <v>44887</v>
      </c>
      <c r="C1000" s="1" t="n">
        <v>45574</v>
      </c>
      <c r="D1000" t="inlineStr">
        <is>
          <t>VÄSTERNORRLANDS LÄN</t>
        </is>
      </c>
      <c r="E1000" t="inlineStr">
        <is>
          <t>ÅNGE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55729-2022</t>
        </is>
      </c>
      <c r="B1001" s="1" t="n">
        <v>44888</v>
      </c>
      <c r="C1001" s="1" t="n">
        <v>45574</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55754-2022</t>
        </is>
      </c>
      <c r="B1002" s="1" t="n">
        <v>44888</v>
      </c>
      <c r="C1002" s="1" t="n">
        <v>45574</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55816-2022</t>
        </is>
      </c>
      <c r="B1003" s="1" t="n">
        <v>44888</v>
      </c>
      <c r="C1003" s="1" t="n">
        <v>45574</v>
      </c>
      <c r="D1003" t="inlineStr">
        <is>
          <t>VÄSTERNORRLANDS LÄN</t>
        </is>
      </c>
      <c r="E1003" t="inlineStr">
        <is>
          <t>ÅNGE</t>
        </is>
      </c>
      <c r="F1003" t="inlineStr">
        <is>
          <t>Holmen skog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55883-2022</t>
        </is>
      </c>
      <c r="B1004" s="1" t="n">
        <v>44888</v>
      </c>
      <c r="C1004" s="1" t="n">
        <v>45574</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55882-2022</t>
        </is>
      </c>
      <c r="B1005" s="1" t="n">
        <v>44888</v>
      </c>
      <c r="C1005" s="1" t="n">
        <v>45574</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55907-2022</t>
        </is>
      </c>
      <c r="B1006" s="1" t="n">
        <v>44888</v>
      </c>
      <c r="C1006" s="1" t="n">
        <v>45574</v>
      </c>
      <c r="D1006" t="inlineStr">
        <is>
          <t>VÄSTERNORRLANDS LÄN</t>
        </is>
      </c>
      <c r="E1006" t="inlineStr">
        <is>
          <t>ÅNGE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55906-2022</t>
        </is>
      </c>
      <c r="B1007" s="1" t="n">
        <v>44888</v>
      </c>
      <c r="C1007" s="1" t="n">
        <v>45574</v>
      </c>
      <c r="D1007" t="inlineStr">
        <is>
          <t>VÄSTERNORRLANDS LÄN</t>
        </is>
      </c>
      <c r="E1007" t="inlineStr">
        <is>
          <t>ÅNGE</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56181-2022</t>
        </is>
      </c>
      <c r="B1008" s="1" t="n">
        <v>44889</v>
      </c>
      <c r="C1008" s="1" t="n">
        <v>45574</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55934-2022</t>
        </is>
      </c>
      <c r="B1009" s="1" t="n">
        <v>44889</v>
      </c>
      <c r="C1009" s="1" t="n">
        <v>45574</v>
      </c>
      <c r="D1009" t="inlineStr">
        <is>
          <t>VÄSTERNORRLANDS LÄN</t>
        </is>
      </c>
      <c r="E1009" t="inlineStr">
        <is>
          <t>ÅNGE</t>
        </is>
      </c>
      <c r="F1009" t="inlineStr">
        <is>
          <t>Holmen skog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45574</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56403-2022</t>
        </is>
      </c>
      <c r="B1011" s="1" t="n">
        <v>44890</v>
      </c>
      <c r="C1011" s="1" t="n">
        <v>45574</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56400-2022</t>
        </is>
      </c>
      <c r="B1012" s="1" t="n">
        <v>44890</v>
      </c>
      <c r="C1012" s="1" t="n">
        <v>45574</v>
      </c>
      <c r="D1012" t="inlineStr">
        <is>
          <t>VÄSTERNORRLANDS LÄN</t>
        </is>
      </c>
      <c r="E1012" t="inlineStr">
        <is>
          <t>ÅNGE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56401-2022</t>
        </is>
      </c>
      <c r="B1013" s="1" t="n">
        <v>44890</v>
      </c>
      <c r="C1013" s="1" t="n">
        <v>45574</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56591-2022</t>
        </is>
      </c>
      <c r="B1014" s="1" t="n">
        <v>44893</v>
      </c>
      <c r="C1014" s="1" t="n">
        <v>45574</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56666-2022</t>
        </is>
      </c>
      <c r="B1015" s="1" t="n">
        <v>44893</v>
      </c>
      <c r="C1015" s="1" t="n">
        <v>45574</v>
      </c>
      <c r="D1015" t="inlineStr">
        <is>
          <t>VÄSTERNORRLANDS LÄN</t>
        </is>
      </c>
      <c r="E1015" t="inlineStr">
        <is>
          <t>ÅNGE</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56731-2022</t>
        </is>
      </c>
      <c r="B1016" s="1" t="n">
        <v>44893</v>
      </c>
      <c r="C1016" s="1" t="n">
        <v>45574</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56775-2022</t>
        </is>
      </c>
      <c r="B1017" s="1" t="n">
        <v>44894</v>
      </c>
      <c r="C1017" s="1" t="n">
        <v>45574</v>
      </c>
      <c r="D1017" t="inlineStr">
        <is>
          <t>VÄSTERNORRLANDS LÄN</t>
        </is>
      </c>
      <c r="E1017" t="inlineStr">
        <is>
          <t>ÅNGE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56946-2022</t>
        </is>
      </c>
      <c r="B1018" s="1" t="n">
        <v>44894</v>
      </c>
      <c r="C1018" s="1" t="n">
        <v>45574</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45574</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57289-2022</t>
        </is>
      </c>
      <c r="B1020" s="1" t="n">
        <v>44895</v>
      </c>
      <c r="C1020" s="1" t="n">
        <v>45574</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57250-2022</t>
        </is>
      </c>
      <c r="B1021" s="1" t="n">
        <v>44895</v>
      </c>
      <c r="C1021" s="1" t="n">
        <v>45574</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57287-2022</t>
        </is>
      </c>
      <c r="B1022" s="1" t="n">
        <v>44895</v>
      </c>
      <c r="C1022" s="1" t="n">
        <v>45574</v>
      </c>
      <c r="D1022" t="inlineStr">
        <is>
          <t>VÄSTERNORRLANDS LÄN</t>
        </is>
      </c>
      <c r="E1022" t="inlineStr">
        <is>
          <t>ÅNGE</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57286-2022</t>
        </is>
      </c>
      <c r="B1023" s="1" t="n">
        <v>44895</v>
      </c>
      <c r="C1023" s="1" t="n">
        <v>45574</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45574</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57288-2022</t>
        </is>
      </c>
      <c r="B1025" s="1" t="n">
        <v>44895</v>
      </c>
      <c r="C1025" s="1" t="n">
        <v>45574</v>
      </c>
      <c r="D1025" t="inlineStr">
        <is>
          <t>VÄSTERNORRLANDS LÄN</t>
        </is>
      </c>
      <c r="E1025" t="inlineStr">
        <is>
          <t>ÅNGE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57592-2022</t>
        </is>
      </c>
      <c r="B1026" s="1" t="n">
        <v>44897</v>
      </c>
      <c r="C1026" s="1" t="n">
        <v>45574</v>
      </c>
      <c r="D1026" t="inlineStr">
        <is>
          <t>VÄSTERNORRLANDS LÄN</t>
        </is>
      </c>
      <c r="E1026" t="inlineStr">
        <is>
          <t>ÅNGE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57596-2022</t>
        </is>
      </c>
      <c r="B1027" s="1" t="n">
        <v>44897</v>
      </c>
      <c r="C1027" s="1" t="n">
        <v>45574</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57601-2022</t>
        </is>
      </c>
      <c r="B1028" s="1" t="n">
        <v>44896</v>
      </c>
      <c r="C1028" s="1" t="n">
        <v>45574</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57593-2022</t>
        </is>
      </c>
      <c r="B1029" s="1" t="n">
        <v>44897</v>
      </c>
      <c r="C1029" s="1" t="n">
        <v>45574</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57602-2022</t>
        </is>
      </c>
      <c r="B1030" s="1" t="n">
        <v>44896</v>
      </c>
      <c r="C1030" s="1" t="n">
        <v>45574</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57591-2022</t>
        </is>
      </c>
      <c r="B1031" s="1" t="n">
        <v>44897</v>
      </c>
      <c r="C1031" s="1" t="n">
        <v>45574</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57595-2022</t>
        </is>
      </c>
      <c r="B1032" s="1" t="n">
        <v>44897</v>
      </c>
      <c r="C1032" s="1" t="n">
        <v>45574</v>
      </c>
      <c r="D1032" t="inlineStr">
        <is>
          <t>VÄSTERNORRLANDS LÄN</t>
        </is>
      </c>
      <c r="E1032" t="inlineStr">
        <is>
          <t>ÅNGE</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57598-2022</t>
        </is>
      </c>
      <c r="B1033" s="1" t="n">
        <v>44896</v>
      </c>
      <c r="C1033" s="1" t="n">
        <v>45574</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57636-2022</t>
        </is>
      </c>
      <c r="B1034" s="1" t="n">
        <v>44897</v>
      </c>
      <c r="C1034" s="1" t="n">
        <v>45574</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57846-2022</t>
        </is>
      </c>
      <c r="B1035" s="1" t="n">
        <v>44897</v>
      </c>
      <c r="C1035" s="1" t="n">
        <v>45574</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v>
      </c>
      <c r="C1036" s="1" t="n">
        <v>45574</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58445-2022</t>
        </is>
      </c>
      <c r="B1037" s="1" t="n">
        <v>44901</v>
      </c>
      <c r="C1037" s="1" t="n">
        <v>45574</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58444-2022</t>
        </is>
      </c>
      <c r="B1038" s="1" t="n">
        <v>44901</v>
      </c>
      <c r="C1038" s="1" t="n">
        <v>45574</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58469-2022</t>
        </is>
      </c>
      <c r="B1039" s="1" t="n">
        <v>44902</v>
      </c>
      <c r="C1039" s="1" t="n">
        <v>45574</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58943-2022</t>
        </is>
      </c>
      <c r="B1040" s="1" t="n">
        <v>44903</v>
      </c>
      <c r="C1040" s="1" t="n">
        <v>45574</v>
      </c>
      <c r="D1040" t="inlineStr">
        <is>
          <t>VÄSTERNORRLANDS LÄN</t>
        </is>
      </c>
      <c r="E1040" t="inlineStr">
        <is>
          <t>ÅNGE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59520-2022</t>
        </is>
      </c>
      <c r="B1041" s="1" t="n">
        <v>44907</v>
      </c>
      <c r="C1041" s="1" t="n">
        <v>45574</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59626-2022</t>
        </is>
      </c>
      <c r="B1042" s="1" t="n">
        <v>44907</v>
      </c>
      <c r="C1042" s="1" t="n">
        <v>45574</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60369-2022</t>
        </is>
      </c>
      <c r="B1043" s="1" t="n">
        <v>44910</v>
      </c>
      <c r="C1043" s="1" t="n">
        <v>45574</v>
      </c>
      <c r="D1043" t="inlineStr">
        <is>
          <t>VÄSTERNORRLANDS LÄN</t>
        </is>
      </c>
      <c r="E1043" t="inlineStr">
        <is>
          <t>ÅNGE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60658-2022</t>
        </is>
      </c>
      <c r="B1044" s="1" t="n">
        <v>44911</v>
      </c>
      <c r="C1044" s="1" t="n">
        <v>45574</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60770-2022</t>
        </is>
      </c>
      <c r="B1045" s="1" t="n">
        <v>44914</v>
      </c>
      <c r="C1045" s="1" t="n">
        <v>45574</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45574</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61585-2022</t>
        </is>
      </c>
      <c r="B1047" s="1" t="n">
        <v>44916</v>
      </c>
      <c r="C1047" s="1" t="n">
        <v>45574</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v>
      </c>
      <c r="C1048" s="1" t="n">
        <v>45574</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62290-2022</t>
        </is>
      </c>
      <c r="B1049" s="1" t="n">
        <v>44923</v>
      </c>
      <c r="C1049" s="1" t="n">
        <v>45574</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62441-2022</t>
        </is>
      </c>
      <c r="B1050" s="1" t="n">
        <v>44924</v>
      </c>
      <c r="C1050" s="1" t="n">
        <v>45574</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62438-2022</t>
        </is>
      </c>
      <c r="B1051" s="1" t="n">
        <v>44924</v>
      </c>
      <c r="C1051" s="1" t="n">
        <v>45574</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1116-2023</t>
        </is>
      </c>
      <c r="B1052" s="1" t="n">
        <v>44929</v>
      </c>
      <c r="C1052" s="1" t="n">
        <v>45574</v>
      </c>
      <c r="D1052" t="inlineStr">
        <is>
          <t>VÄSTERNORRLANDS LÄN</t>
        </is>
      </c>
      <c r="E1052" t="inlineStr">
        <is>
          <t>ÅNGE</t>
        </is>
      </c>
      <c r="G1052" t="n">
        <v>17.2</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45574</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1090-2023</t>
        </is>
      </c>
      <c r="B1054" s="1" t="n">
        <v>44929</v>
      </c>
      <c r="C1054" s="1" t="n">
        <v>45574</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482-2023</t>
        </is>
      </c>
      <c r="B1055" s="1" t="n">
        <v>44929</v>
      </c>
      <c r="C1055" s="1" t="n">
        <v>45574</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1127-2023</t>
        </is>
      </c>
      <c r="B1056" s="1" t="n">
        <v>44929</v>
      </c>
      <c r="C1056" s="1" t="n">
        <v>45574</v>
      </c>
      <c r="D1056" t="inlineStr">
        <is>
          <t>VÄSTERNORRLANDS LÄN</t>
        </is>
      </c>
      <c r="E1056" t="inlineStr">
        <is>
          <t>ÅNGE</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1095-2023</t>
        </is>
      </c>
      <c r="B1057" s="1" t="n">
        <v>44929</v>
      </c>
      <c r="C1057" s="1" t="n">
        <v>45574</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723-2023</t>
        </is>
      </c>
      <c r="B1058" s="1" t="n">
        <v>44930</v>
      </c>
      <c r="C1058" s="1" t="n">
        <v>45574</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721-2023</t>
        </is>
      </c>
      <c r="B1059" s="1" t="n">
        <v>44930</v>
      </c>
      <c r="C1059" s="1" t="n">
        <v>45574</v>
      </c>
      <c r="D1059" t="inlineStr">
        <is>
          <t>VÄSTERNORRLANDS LÄN</t>
        </is>
      </c>
      <c r="E1059" t="inlineStr">
        <is>
          <t>ÅNGE</t>
        </is>
      </c>
      <c r="F1059" t="inlineStr">
        <is>
          <t>SCA</t>
        </is>
      </c>
      <c r="G1059" t="n">
        <v>23.6</v>
      </c>
      <c r="H1059" t="n">
        <v>0</v>
      </c>
      <c r="I1059" t="n">
        <v>0</v>
      </c>
      <c r="J1059" t="n">
        <v>0</v>
      </c>
      <c r="K1059" t="n">
        <v>0</v>
      </c>
      <c r="L1059" t="n">
        <v>0</v>
      </c>
      <c r="M1059" t="n">
        <v>0</v>
      </c>
      <c r="N1059" t="n">
        <v>0</v>
      </c>
      <c r="O1059" t="n">
        <v>0</v>
      </c>
      <c r="P1059" t="n">
        <v>0</v>
      </c>
      <c r="Q1059" t="n">
        <v>0</v>
      </c>
      <c r="R1059" s="2" t="inlineStr"/>
    </row>
    <row r="1060" ht="15" customHeight="1">
      <c r="A1060" t="inlineStr">
        <is>
          <t>A 722-2023</t>
        </is>
      </c>
      <c r="B1060" s="1" t="n">
        <v>44930</v>
      </c>
      <c r="C1060" s="1" t="n">
        <v>45574</v>
      </c>
      <c r="D1060" t="inlineStr">
        <is>
          <t>VÄSTERNORRLANDS LÄN</t>
        </is>
      </c>
      <c r="E1060" t="inlineStr">
        <is>
          <t>ÅNGE</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720-2023</t>
        </is>
      </c>
      <c r="B1061" s="1" t="n">
        <v>44930</v>
      </c>
      <c r="C1061" s="1" t="n">
        <v>45574</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732-2023</t>
        </is>
      </c>
      <c r="B1062" s="1" t="n">
        <v>44931</v>
      </c>
      <c r="C1062" s="1" t="n">
        <v>45574</v>
      </c>
      <c r="D1062" t="inlineStr">
        <is>
          <t>VÄSTERNORRLANDS LÄN</t>
        </is>
      </c>
      <c r="E1062" t="inlineStr">
        <is>
          <t>ÅNGE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1235-2023</t>
        </is>
      </c>
      <c r="B1063" s="1" t="n">
        <v>44935</v>
      </c>
      <c r="C1063" s="1" t="n">
        <v>45574</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1412-2023</t>
        </is>
      </c>
      <c r="B1064" s="1" t="n">
        <v>44936</v>
      </c>
      <c r="C1064" s="1" t="n">
        <v>45574</v>
      </c>
      <c r="D1064" t="inlineStr">
        <is>
          <t>VÄSTERNORRLANDS LÄN</t>
        </is>
      </c>
      <c r="E1064" t="inlineStr">
        <is>
          <t>ÅNGE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1420-2023</t>
        </is>
      </c>
      <c r="B1065" s="1" t="n">
        <v>44936</v>
      </c>
      <c r="C1065" s="1" t="n">
        <v>45574</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1769-2023</t>
        </is>
      </c>
      <c r="B1066" s="1" t="n">
        <v>44938</v>
      </c>
      <c r="C1066" s="1" t="n">
        <v>45574</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1775-2023</t>
        </is>
      </c>
      <c r="B1067" s="1" t="n">
        <v>44938</v>
      </c>
      <c r="C1067" s="1" t="n">
        <v>45574</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2140-2023</t>
        </is>
      </c>
      <c r="B1068" s="1" t="n">
        <v>44940</v>
      </c>
      <c r="C1068" s="1" t="n">
        <v>45574</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3022-2023</t>
        </is>
      </c>
      <c r="B1069" s="1" t="n">
        <v>44945</v>
      </c>
      <c r="C1069" s="1" t="n">
        <v>45574</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3023-2023</t>
        </is>
      </c>
      <c r="B1070" s="1" t="n">
        <v>44945</v>
      </c>
      <c r="C1070" s="1" t="n">
        <v>45574</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3025-2023</t>
        </is>
      </c>
      <c r="B1071" s="1" t="n">
        <v>44945</v>
      </c>
      <c r="C1071" s="1" t="n">
        <v>45574</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3323-2023</t>
        </is>
      </c>
      <c r="B1072" s="1" t="n">
        <v>44945</v>
      </c>
      <c r="C1072" s="1" t="n">
        <v>45574</v>
      </c>
      <c r="D1072" t="inlineStr">
        <is>
          <t>VÄSTERNORRLANDS LÄN</t>
        </is>
      </c>
      <c r="E1072" t="inlineStr">
        <is>
          <t>ÅNGE</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3362-2023</t>
        </is>
      </c>
      <c r="B1073" s="1" t="n">
        <v>44945</v>
      </c>
      <c r="C1073" s="1" t="n">
        <v>45574</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3631-2023</t>
        </is>
      </c>
      <c r="B1074" s="1" t="n">
        <v>44950</v>
      </c>
      <c r="C1074" s="1" t="n">
        <v>45574</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3629-2023</t>
        </is>
      </c>
      <c r="B1075" s="1" t="n">
        <v>44950</v>
      </c>
      <c r="C1075" s="1" t="n">
        <v>45574</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3686-2023</t>
        </is>
      </c>
      <c r="B1076" s="1" t="n">
        <v>44950</v>
      </c>
      <c r="C1076" s="1" t="n">
        <v>45574</v>
      </c>
      <c r="D1076" t="inlineStr">
        <is>
          <t>VÄSTERNORRLANDS LÄN</t>
        </is>
      </c>
      <c r="E1076" t="inlineStr">
        <is>
          <t>ÅNGE</t>
        </is>
      </c>
      <c r="F1076" t="inlineStr">
        <is>
          <t>SCA</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4095-2023</t>
        </is>
      </c>
      <c r="B1077" s="1" t="n">
        <v>44952</v>
      </c>
      <c r="C1077" s="1" t="n">
        <v>45574</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4727-2023</t>
        </is>
      </c>
      <c r="B1078" s="1" t="n">
        <v>44953</v>
      </c>
      <c r="C1078" s="1" t="n">
        <v>45574</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4876-2023</t>
        </is>
      </c>
      <c r="B1079" s="1" t="n">
        <v>44957</v>
      </c>
      <c r="C1079" s="1" t="n">
        <v>45574</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4877-2023</t>
        </is>
      </c>
      <c r="B1080" s="1" t="n">
        <v>44957</v>
      </c>
      <c r="C1080" s="1" t="n">
        <v>45574</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4883-2023</t>
        </is>
      </c>
      <c r="B1081" s="1" t="n">
        <v>44957</v>
      </c>
      <c r="C1081" s="1" t="n">
        <v>45574</v>
      </c>
      <c r="D1081" t="inlineStr">
        <is>
          <t>VÄSTERNORRLANDS LÄN</t>
        </is>
      </c>
      <c r="E1081" t="inlineStr">
        <is>
          <t>ÅNGE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5083-2023</t>
        </is>
      </c>
      <c r="B1082" s="1" t="n">
        <v>44958</v>
      </c>
      <c r="C1082" s="1" t="n">
        <v>45574</v>
      </c>
      <c r="D1082" t="inlineStr">
        <is>
          <t>VÄSTERNORRLANDS LÄN</t>
        </is>
      </c>
      <c r="E1082" t="inlineStr">
        <is>
          <t>ÅNGE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5455-2023</t>
        </is>
      </c>
      <c r="B1083" s="1" t="n">
        <v>44959</v>
      </c>
      <c r="C1083" s="1" t="n">
        <v>45574</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5868-2023</t>
        </is>
      </c>
      <c r="B1084" s="1" t="n">
        <v>44963</v>
      </c>
      <c r="C1084" s="1" t="n">
        <v>45574</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6179-2023</t>
        </is>
      </c>
      <c r="B1085" s="1" t="n">
        <v>44964</v>
      </c>
      <c r="C1085" s="1" t="n">
        <v>45574</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6186-2023</t>
        </is>
      </c>
      <c r="B1086" s="1" t="n">
        <v>44964</v>
      </c>
      <c r="C1086" s="1" t="n">
        <v>45574</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6790-2023</t>
        </is>
      </c>
      <c r="B1087" s="1" t="n">
        <v>44966</v>
      </c>
      <c r="C1087" s="1" t="n">
        <v>45574</v>
      </c>
      <c r="D1087" t="inlineStr">
        <is>
          <t>VÄSTERNORRLANDS LÄN</t>
        </is>
      </c>
      <c r="E1087" t="inlineStr">
        <is>
          <t>ÅNGE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6789-2023</t>
        </is>
      </c>
      <c r="B1088" s="1" t="n">
        <v>44966</v>
      </c>
      <c r="C1088" s="1" t="n">
        <v>45574</v>
      </c>
      <c r="D1088" t="inlineStr">
        <is>
          <t>VÄSTERNORRLANDS LÄN</t>
        </is>
      </c>
      <c r="E1088" t="inlineStr">
        <is>
          <t>ÅNGE</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6791-2023</t>
        </is>
      </c>
      <c r="B1089" s="1" t="n">
        <v>44966</v>
      </c>
      <c r="C1089" s="1" t="n">
        <v>45574</v>
      </c>
      <c r="D1089" t="inlineStr">
        <is>
          <t>VÄSTERNORRLANDS LÄN</t>
        </is>
      </c>
      <c r="E1089" t="inlineStr">
        <is>
          <t>ÅNGE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6799-2023</t>
        </is>
      </c>
      <c r="B1090" s="1" t="n">
        <v>44966</v>
      </c>
      <c r="C1090" s="1" t="n">
        <v>45574</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6787-2023</t>
        </is>
      </c>
      <c r="B1091" s="1" t="n">
        <v>44966</v>
      </c>
      <c r="C1091" s="1" t="n">
        <v>45574</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7025-2023</t>
        </is>
      </c>
      <c r="B1092" s="1" t="n">
        <v>44968</v>
      </c>
      <c r="C1092" s="1" t="n">
        <v>45574</v>
      </c>
      <c r="D1092" t="inlineStr">
        <is>
          <t>VÄSTERNORRLANDS LÄN</t>
        </is>
      </c>
      <c r="E1092" t="inlineStr">
        <is>
          <t>ÅNGE</t>
        </is>
      </c>
      <c r="F1092" t="inlineStr">
        <is>
          <t>SCA</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7528-2023</t>
        </is>
      </c>
      <c r="B1093" s="1" t="n">
        <v>44972</v>
      </c>
      <c r="C1093" s="1" t="n">
        <v>45574</v>
      </c>
      <c r="D1093" t="inlineStr">
        <is>
          <t>VÄSTERNORRLANDS LÄN</t>
        </is>
      </c>
      <c r="E1093" t="inlineStr">
        <is>
          <t>ÅNGE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7529-2023</t>
        </is>
      </c>
      <c r="B1094" s="1" t="n">
        <v>44972</v>
      </c>
      <c r="C1094" s="1" t="n">
        <v>45574</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7527-2023</t>
        </is>
      </c>
      <c r="B1095" s="1" t="n">
        <v>44971</v>
      </c>
      <c r="C1095" s="1" t="n">
        <v>45574</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7535-2023</t>
        </is>
      </c>
      <c r="B1096" s="1" t="n">
        <v>44971</v>
      </c>
      <c r="C1096" s="1" t="n">
        <v>45574</v>
      </c>
      <c r="D1096" t="inlineStr">
        <is>
          <t>VÄSTERNORRLANDS LÄN</t>
        </is>
      </c>
      <c r="E1096" t="inlineStr">
        <is>
          <t>ÅNGE</t>
        </is>
      </c>
      <c r="F1096" t="inlineStr">
        <is>
          <t>SCA</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7526-2023</t>
        </is>
      </c>
      <c r="B1097" s="1" t="n">
        <v>44972</v>
      </c>
      <c r="C1097" s="1" t="n">
        <v>45574</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45574</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8418-2023</t>
        </is>
      </c>
      <c r="B1099" s="1" t="n">
        <v>44971</v>
      </c>
      <c r="C1099" s="1" t="n">
        <v>45574</v>
      </c>
      <c r="D1099" t="inlineStr">
        <is>
          <t>VÄSTERNORRLANDS LÄN</t>
        </is>
      </c>
      <c r="E1099" t="inlineStr">
        <is>
          <t>ÅNGE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7720-2023</t>
        </is>
      </c>
      <c r="B1100" s="1" t="n">
        <v>44972</v>
      </c>
      <c r="C1100" s="1" t="n">
        <v>45574</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7723-2023</t>
        </is>
      </c>
      <c r="B1101" s="1" t="n">
        <v>44972</v>
      </c>
      <c r="C1101" s="1" t="n">
        <v>45574</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8627-2023</t>
        </is>
      </c>
      <c r="B1102" s="1" t="n">
        <v>44977</v>
      </c>
      <c r="C1102" s="1" t="n">
        <v>45574</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8666-2023</t>
        </is>
      </c>
      <c r="B1103" s="1" t="n">
        <v>44977</v>
      </c>
      <c r="C1103" s="1" t="n">
        <v>45574</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8869-2023</t>
        </is>
      </c>
      <c r="B1104" s="1" t="n">
        <v>44978</v>
      </c>
      <c r="C1104" s="1" t="n">
        <v>45574</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8868-2023</t>
        </is>
      </c>
      <c r="B1105" s="1" t="n">
        <v>44978</v>
      </c>
      <c r="C1105" s="1" t="n">
        <v>45574</v>
      </c>
      <c r="D1105" t="inlineStr">
        <is>
          <t>VÄSTERNORRLANDS LÄN</t>
        </is>
      </c>
      <c r="E1105" t="inlineStr">
        <is>
          <t>ÅNGE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8867-2023</t>
        </is>
      </c>
      <c r="B1106" s="1" t="n">
        <v>44978</v>
      </c>
      <c r="C1106" s="1" t="n">
        <v>45574</v>
      </c>
      <c r="D1106" t="inlineStr">
        <is>
          <t>VÄSTERNORRLANDS LÄN</t>
        </is>
      </c>
      <c r="E1106" t="inlineStr">
        <is>
          <t>ÅNGE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9211-2023</t>
        </is>
      </c>
      <c r="B1107" s="1" t="n">
        <v>44980</v>
      </c>
      <c r="C1107" s="1" t="n">
        <v>45574</v>
      </c>
      <c r="D1107" t="inlineStr">
        <is>
          <t>VÄSTERNORRLANDS LÄN</t>
        </is>
      </c>
      <c r="E1107" t="inlineStr">
        <is>
          <t>ÅNGE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9215-2023</t>
        </is>
      </c>
      <c r="B1108" s="1" t="n">
        <v>44980</v>
      </c>
      <c r="C1108" s="1" t="n">
        <v>45574</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9861-2023</t>
        </is>
      </c>
      <c r="B1109" s="1" t="n">
        <v>44984</v>
      </c>
      <c r="C1109" s="1" t="n">
        <v>45574</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10067-2023</t>
        </is>
      </c>
      <c r="B1110" s="1" t="n">
        <v>44985</v>
      </c>
      <c r="C1110" s="1" t="n">
        <v>45574</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10071-2023</t>
        </is>
      </c>
      <c r="B1111" s="1" t="n">
        <v>44985</v>
      </c>
      <c r="C1111" s="1" t="n">
        <v>45574</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10084-2023</t>
        </is>
      </c>
      <c r="B1112" s="1" t="n">
        <v>44985</v>
      </c>
      <c r="C1112" s="1" t="n">
        <v>45574</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10089-2023</t>
        </is>
      </c>
      <c r="B1113" s="1" t="n">
        <v>44985</v>
      </c>
      <c r="C1113" s="1" t="n">
        <v>45574</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10068-2023</t>
        </is>
      </c>
      <c r="B1114" s="1" t="n">
        <v>44985</v>
      </c>
      <c r="C1114" s="1" t="n">
        <v>45574</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10090-2023</t>
        </is>
      </c>
      <c r="B1115" s="1" t="n">
        <v>44985</v>
      </c>
      <c r="C1115" s="1" t="n">
        <v>45574</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10070-2023</t>
        </is>
      </c>
      <c r="B1116" s="1" t="n">
        <v>44985</v>
      </c>
      <c r="C1116" s="1" t="n">
        <v>45574</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10087-2023</t>
        </is>
      </c>
      <c r="B1117" s="1" t="n">
        <v>44985</v>
      </c>
      <c r="C1117" s="1" t="n">
        <v>45574</v>
      </c>
      <c r="D1117" t="inlineStr">
        <is>
          <t>VÄSTERNORRLANDS LÄN</t>
        </is>
      </c>
      <c r="E1117" t="inlineStr">
        <is>
          <t>ÅNGE</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10558-2023</t>
        </is>
      </c>
      <c r="B1118" s="1" t="n">
        <v>44987</v>
      </c>
      <c r="C1118" s="1" t="n">
        <v>45574</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10557-2023</t>
        </is>
      </c>
      <c r="B1119" s="1" t="n">
        <v>44987</v>
      </c>
      <c r="C1119" s="1" t="n">
        <v>45574</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10778-2023</t>
        </is>
      </c>
      <c r="B1120" s="1" t="n">
        <v>44988</v>
      </c>
      <c r="C1120" s="1" t="n">
        <v>45574</v>
      </c>
      <c r="D1120" t="inlineStr">
        <is>
          <t>VÄSTERNORRLANDS LÄN</t>
        </is>
      </c>
      <c r="E1120" t="inlineStr">
        <is>
          <t>ÅNGE</t>
        </is>
      </c>
      <c r="F1120" t="inlineStr">
        <is>
          <t>SCA</t>
        </is>
      </c>
      <c r="G1120" t="n">
        <v>46.4</v>
      </c>
      <c r="H1120" t="n">
        <v>0</v>
      </c>
      <c r="I1120" t="n">
        <v>0</v>
      </c>
      <c r="J1120" t="n">
        <v>0</v>
      </c>
      <c r="K1120" t="n">
        <v>0</v>
      </c>
      <c r="L1120" t="n">
        <v>0</v>
      </c>
      <c r="M1120" t="n">
        <v>0</v>
      </c>
      <c r="N1120" t="n">
        <v>0</v>
      </c>
      <c r="O1120" t="n">
        <v>0</v>
      </c>
      <c r="P1120" t="n">
        <v>0</v>
      </c>
      <c r="Q1120" t="n">
        <v>0</v>
      </c>
      <c r="R1120" s="2" t="inlineStr"/>
    </row>
    <row r="1121" ht="15" customHeight="1">
      <c r="A1121" t="inlineStr">
        <is>
          <t>A 11300-2023</t>
        </is>
      </c>
      <c r="B1121" s="1" t="n">
        <v>44993</v>
      </c>
      <c r="C1121" s="1" t="n">
        <v>45574</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11309-2023</t>
        </is>
      </c>
      <c r="B1122" s="1" t="n">
        <v>44993</v>
      </c>
      <c r="C1122" s="1" t="n">
        <v>45574</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11529-2023</t>
        </is>
      </c>
      <c r="B1123" s="1" t="n">
        <v>44993</v>
      </c>
      <c r="C1123" s="1" t="n">
        <v>45574</v>
      </c>
      <c r="D1123" t="inlineStr">
        <is>
          <t>VÄSTERNORRLANDS LÄN</t>
        </is>
      </c>
      <c r="E1123" t="inlineStr">
        <is>
          <t>ÅNGE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11299-2023</t>
        </is>
      </c>
      <c r="B1124" s="1" t="n">
        <v>44993</v>
      </c>
      <c r="C1124" s="1" t="n">
        <v>45574</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v>
      </c>
      <c r="C1125" s="1" t="n">
        <v>45574</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11531-2023</t>
        </is>
      </c>
      <c r="B1126" s="1" t="n">
        <v>44993</v>
      </c>
      <c r="C1126" s="1" t="n">
        <v>45574</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11532-2023</t>
        </is>
      </c>
      <c r="B1127" s="1" t="n">
        <v>44993</v>
      </c>
      <c r="C1127" s="1" t="n">
        <v>45574</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12749-2023</t>
        </is>
      </c>
      <c r="B1128" s="1" t="n">
        <v>45000</v>
      </c>
      <c r="C1128" s="1" t="n">
        <v>45574</v>
      </c>
      <c r="D1128" t="inlineStr">
        <is>
          <t>VÄSTERNORRLANDS LÄN</t>
        </is>
      </c>
      <c r="E1128" t="inlineStr">
        <is>
          <t>ÅNGE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12748-2023</t>
        </is>
      </c>
      <c r="B1129" s="1" t="n">
        <v>45000</v>
      </c>
      <c r="C1129" s="1" t="n">
        <v>45574</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12742-2023</t>
        </is>
      </c>
      <c r="B1130" s="1" t="n">
        <v>45000</v>
      </c>
      <c r="C1130" s="1" t="n">
        <v>45574</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12997-2023</t>
        </is>
      </c>
      <c r="B1131" s="1" t="n">
        <v>45002</v>
      </c>
      <c r="C1131" s="1" t="n">
        <v>45574</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12987-2023</t>
        </is>
      </c>
      <c r="B1132" s="1" t="n">
        <v>45002</v>
      </c>
      <c r="C1132" s="1" t="n">
        <v>45574</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12999-2023</t>
        </is>
      </c>
      <c r="B1133" s="1" t="n">
        <v>45002</v>
      </c>
      <c r="C1133" s="1" t="n">
        <v>45574</v>
      </c>
      <c r="D1133" t="inlineStr">
        <is>
          <t>VÄSTERNORRLANDS LÄN</t>
        </is>
      </c>
      <c r="E1133" t="inlineStr">
        <is>
          <t>ÅNGE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12998-2023</t>
        </is>
      </c>
      <c r="B1134" s="1" t="n">
        <v>45002</v>
      </c>
      <c r="C1134" s="1" t="n">
        <v>45574</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13485-2023</t>
        </is>
      </c>
      <c r="B1135" s="1" t="n">
        <v>45005</v>
      </c>
      <c r="C1135" s="1" t="n">
        <v>45574</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13491-2023</t>
        </is>
      </c>
      <c r="B1136" s="1" t="n">
        <v>45005</v>
      </c>
      <c r="C1136" s="1" t="n">
        <v>45574</v>
      </c>
      <c r="D1136" t="inlineStr">
        <is>
          <t>VÄSTERNORRLANDS LÄN</t>
        </is>
      </c>
      <c r="E1136" t="inlineStr">
        <is>
          <t>ÅNGE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13705-2023</t>
        </is>
      </c>
      <c r="B1137" s="1" t="n">
        <v>45006</v>
      </c>
      <c r="C1137" s="1" t="n">
        <v>45574</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13704-2023</t>
        </is>
      </c>
      <c r="B1138" s="1" t="n">
        <v>45006</v>
      </c>
      <c r="C1138" s="1" t="n">
        <v>45574</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13706-2023</t>
        </is>
      </c>
      <c r="B1139" s="1" t="n">
        <v>45006</v>
      </c>
      <c r="C1139" s="1" t="n">
        <v>45574</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14183-2023</t>
        </is>
      </c>
      <c r="B1140" s="1" t="n">
        <v>45009</v>
      </c>
      <c r="C1140" s="1" t="n">
        <v>45574</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14257-2023</t>
        </is>
      </c>
      <c r="B1141" s="1" t="n">
        <v>45009</v>
      </c>
      <c r="C1141" s="1" t="n">
        <v>45574</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14258-2023</t>
        </is>
      </c>
      <c r="B1142" s="1" t="n">
        <v>45009</v>
      </c>
      <c r="C1142" s="1" t="n">
        <v>45574</v>
      </c>
      <c r="D1142" t="inlineStr">
        <is>
          <t>VÄSTERNORRLANDS LÄN</t>
        </is>
      </c>
      <c r="E1142" t="inlineStr">
        <is>
          <t>ÅNGE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14260-2023</t>
        </is>
      </c>
      <c r="B1143" s="1" t="n">
        <v>45009</v>
      </c>
      <c r="C1143" s="1" t="n">
        <v>45574</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14527-2023</t>
        </is>
      </c>
      <c r="B1144" s="1" t="n">
        <v>45013</v>
      </c>
      <c r="C1144" s="1" t="n">
        <v>45574</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14667-2023</t>
        </is>
      </c>
      <c r="B1145" s="1" t="n">
        <v>45013</v>
      </c>
      <c r="C1145" s="1" t="n">
        <v>45574</v>
      </c>
      <c r="D1145" t="inlineStr">
        <is>
          <t>VÄSTERNORRLANDS LÄN</t>
        </is>
      </c>
      <c r="E1145" t="inlineStr">
        <is>
          <t>ÅNGE</t>
        </is>
      </c>
      <c r="F1145" t="inlineStr">
        <is>
          <t>SCA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14676-2023</t>
        </is>
      </c>
      <c r="B1146" s="1" t="n">
        <v>45013</v>
      </c>
      <c r="C1146" s="1" t="n">
        <v>45574</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14879-2023</t>
        </is>
      </c>
      <c r="B1147" s="1" t="n">
        <v>45015</v>
      </c>
      <c r="C1147" s="1" t="n">
        <v>45574</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14885-2023</t>
        </is>
      </c>
      <c r="B1148" s="1" t="n">
        <v>45015</v>
      </c>
      <c r="C1148" s="1" t="n">
        <v>45574</v>
      </c>
      <c r="D1148" t="inlineStr">
        <is>
          <t>VÄSTERNORRLANDS LÄN</t>
        </is>
      </c>
      <c r="E1148" t="inlineStr">
        <is>
          <t>ÅNGE</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14870-2023</t>
        </is>
      </c>
      <c r="B1149" s="1" t="n">
        <v>45015</v>
      </c>
      <c r="C1149" s="1" t="n">
        <v>45574</v>
      </c>
      <c r="D1149" t="inlineStr">
        <is>
          <t>VÄSTERNORRLANDS LÄN</t>
        </is>
      </c>
      <c r="E1149" t="inlineStr">
        <is>
          <t>ÅNGE</t>
        </is>
      </c>
      <c r="F1149" t="inlineStr">
        <is>
          <t>SCA</t>
        </is>
      </c>
      <c r="G1149" t="n">
        <v>30.5</v>
      </c>
      <c r="H1149" t="n">
        <v>0</v>
      </c>
      <c r="I1149" t="n">
        <v>0</v>
      </c>
      <c r="J1149" t="n">
        <v>0</v>
      </c>
      <c r="K1149" t="n">
        <v>0</v>
      </c>
      <c r="L1149" t="n">
        <v>0</v>
      </c>
      <c r="M1149" t="n">
        <v>0</v>
      </c>
      <c r="N1149" t="n">
        <v>0</v>
      </c>
      <c r="O1149" t="n">
        <v>0</v>
      </c>
      <c r="P1149" t="n">
        <v>0</v>
      </c>
      <c r="Q1149" t="n">
        <v>0</v>
      </c>
      <c r="R1149" s="2" t="inlineStr"/>
    </row>
    <row r="1150" ht="15" customHeight="1">
      <c r="A1150" t="inlineStr">
        <is>
          <t>A 16192-2023</t>
        </is>
      </c>
      <c r="B1150" s="1" t="n">
        <v>45028</v>
      </c>
      <c r="C1150" s="1" t="n">
        <v>45574</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16191-2023</t>
        </is>
      </c>
      <c r="B1151" s="1" t="n">
        <v>45028</v>
      </c>
      <c r="C1151" s="1" t="n">
        <v>45574</v>
      </c>
      <c r="D1151" t="inlineStr">
        <is>
          <t>VÄSTERNORRLANDS LÄN</t>
        </is>
      </c>
      <c r="E1151" t="inlineStr">
        <is>
          <t>ÅNGE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16361-2023</t>
        </is>
      </c>
      <c r="B1152" s="1" t="n">
        <v>45029</v>
      </c>
      <c r="C1152" s="1" t="n">
        <v>45574</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16365-2023</t>
        </is>
      </c>
      <c r="B1153" s="1" t="n">
        <v>45028</v>
      </c>
      <c r="C1153" s="1" t="n">
        <v>45574</v>
      </c>
      <c r="D1153" t="inlineStr">
        <is>
          <t>VÄSTERNORRLANDS LÄN</t>
        </is>
      </c>
      <c r="E1153" t="inlineStr">
        <is>
          <t>ÅNGE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16281-2023</t>
        </is>
      </c>
      <c r="B1154" s="1" t="n">
        <v>45028</v>
      </c>
      <c r="C1154" s="1" t="n">
        <v>45574</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16362-2023</t>
        </is>
      </c>
      <c r="B1155" s="1" t="n">
        <v>45029</v>
      </c>
      <c r="C1155" s="1" t="n">
        <v>45574</v>
      </c>
      <c r="D1155" t="inlineStr">
        <is>
          <t>VÄSTERNORRLANDS LÄN</t>
        </is>
      </c>
      <c r="E1155" t="inlineStr">
        <is>
          <t>ÅNGE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16360-2023</t>
        </is>
      </c>
      <c r="B1156" s="1" t="n">
        <v>45029</v>
      </c>
      <c r="C1156" s="1" t="n">
        <v>45574</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16378-2023</t>
        </is>
      </c>
      <c r="B1157" s="1" t="n">
        <v>45028</v>
      </c>
      <c r="C1157" s="1" t="n">
        <v>45574</v>
      </c>
      <c r="D1157" t="inlineStr">
        <is>
          <t>VÄSTERNORRLANDS LÄN</t>
        </is>
      </c>
      <c r="E1157" t="inlineStr">
        <is>
          <t>ÅNGE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16380-2023</t>
        </is>
      </c>
      <c r="B1158" s="1" t="n">
        <v>45028</v>
      </c>
      <c r="C1158" s="1" t="n">
        <v>45574</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16571-2023</t>
        </is>
      </c>
      <c r="B1159" s="1" t="n">
        <v>45030</v>
      </c>
      <c r="C1159" s="1" t="n">
        <v>45574</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16572-2023</t>
        </is>
      </c>
      <c r="B1160" s="1" t="n">
        <v>45030</v>
      </c>
      <c r="C1160" s="1" t="n">
        <v>45574</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16576-2023</t>
        </is>
      </c>
      <c r="B1161" s="1" t="n">
        <v>45030</v>
      </c>
      <c r="C1161" s="1" t="n">
        <v>45574</v>
      </c>
      <c r="D1161" t="inlineStr">
        <is>
          <t>VÄSTERNORRLANDS LÄN</t>
        </is>
      </c>
      <c r="E1161" t="inlineStr">
        <is>
          <t>ÅNGE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16600-2023</t>
        </is>
      </c>
      <c r="B1162" s="1" t="n">
        <v>45030</v>
      </c>
      <c r="C1162" s="1" t="n">
        <v>45574</v>
      </c>
      <c r="D1162" t="inlineStr">
        <is>
          <t>VÄSTERNORRLANDS LÄN</t>
        </is>
      </c>
      <c r="E1162" t="inlineStr">
        <is>
          <t>ÅNGE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16606-2023</t>
        </is>
      </c>
      <c r="B1163" s="1" t="n">
        <v>45030</v>
      </c>
      <c r="C1163" s="1" t="n">
        <v>45574</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16763-2023</t>
        </is>
      </c>
      <c r="B1164" s="1" t="n">
        <v>45030</v>
      </c>
      <c r="C1164" s="1" t="n">
        <v>45574</v>
      </c>
      <c r="D1164" t="inlineStr">
        <is>
          <t>VÄSTERNORRLANDS LÄN</t>
        </is>
      </c>
      <c r="E1164" t="inlineStr">
        <is>
          <t>ÅNGE</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45574</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16762-2023</t>
        </is>
      </c>
      <c r="B1166" s="1" t="n">
        <v>45030</v>
      </c>
      <c r="C1166" s="1" t="n">
        <v>45574</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16815-2023</t>
        </is>
      </c>
      <c r="B1167" s="1" t="n">
        <v>45033</v>
      </c>
      <c r="C1167" s="1" t="n">
        <v>45574</v>
      </c>
      <c r="D1167" t="inlineStr">
        <is>
          <t>VÄSTERNORRLANDS LÄN</t>
        </is>
      </c>
      <c r="E1167" t="inlineStr">
        <is>
          <t>ÅNGE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16812-2023</t>
        </is>
      </c>
      <c r="B1168" s="1" t="n">
        <v>45033</v>
      </c>
      <c r="C1168" s="1" t="n">
        <v>45574</v>
      </c>
      <c r="D1168" t="inlineStr">
        <is>
          <t>VÄSTERNORRLANDS LÄN</t>
        </is>
      </c>
      <c r="E1168" t="inlineStr">
        <is>
          <t>ÅNGE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16853-2023</t>
        </is>
      </c>
      <c r="B1169" s="1" t="n">
        <v>45033</v>
      </c>
      <c r="C1169" s="1" t="n">
        <v>45574</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17009-2023</t>
        </is>
      </c>
      <c r="B1170" s="1" t="n">
        <v>45034</v>
      </c>
      <c r="C1170" s="1" t="n">
        <v>45574</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17044-2023</t>
        </is>
      </c>
      <c r="B1171" s="1" t="n">
        <v>45034</v>
      </c>
      <c r="C1171" s="1" t="n">
        <v>45574</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17103-2023</t>
        </is>
      </c>
      <c r="B1172" s="1" t="n">
        <v>45034</v>
      </c>
      <c r="C1172" s="1" t="n">
        <v>45574</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45574</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17669-2023</t>
        </is>
      </c>
      <c r="B1174" s="1" t="n">
        <v>45037</v>
      </c>
      <c r="C1174" s="1" t="n">
        <v>45574</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17670-2023</t>
        </is>
      </c>
      <c r="B1175" s="1" t="n">
        <v>45036</v>
      </c>
      <c r="C1175" s="1" t="n">
        <v>45574</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17934-2023</t>
        </is>
      </c>
      <c r="B1176" s="1" t="n">
        <v>45037</v>
      </c>
      <c r="C1176" s="1" t="n">
        <v>45574</v>
      </c>
      <c r="D1176" t="inlineStr">
        <is>
          <t>VÄSTERNORRLANDS LÄN</t>
        </is>
      </c>
      <c r="E1176" t="inlineStr">
        <is>
          <t>ÅNGE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18033-2023</t>
        </is>
      </c>
      <c r="B1177" s="1" t="n">
        <v>45037</v>
      </c>
      <c r="C1177" s="1" t="n">
        <v>45574</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17860-2023</t>
        </is>
      </c>
      <c r="B1178" s="1" t="n">
        <v>45038</v>
      </c>
      <c r="C1178" s="1" t="n">
        <v>45574</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18061-2023</t>
        </is>
      </c>
      <c r="B1179" s="1" t="n">
        <v>45037</v>
      </c>
      <c r="C1179" s="1" t="n">
        <v>45574</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18168-2023</t>
        </is>
      </c>
      <c r="B1180" s="1" t="n">
        <v>45040</v>
      </c>
      <c r="C1180" s="1" t="n">
        <v>45574</v>
      </c>
      <c r="D1180" t="inlineStr">
        <is>
          <t>VÄSTERNORRLANDS LÄN</t>
        </is>
      </c>
      <c r="E1180" t="inlineStr">
        <is>
          <t>ÅNGE</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18169-2023</t>
        </is>
      </c>
      <c r="B1181" s="1" t="n">
        <v>45040</v>
      </c>
      <c r="C1181" s="1" t="n">
        <v>45574</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18170-2023</t>
        </is>
      </c>
      <c r="B1182" s="1" t="n">
        <v>45040</v>
      </c>
      <c r="C1182" s="1" t="n">
        <v>45574</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18305-2023</t>
        </is>
      </c>
      <c r="B1183" s="1" t="n">
        <v>45041</v>
      </c>
      <c r="C1183" s="1" t="n">
        <v>45574</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18370-2023</t>
        </is>
      </c>
      <c r="B1184" s="1" t="n">
        <v>45041</v>
      </c>
      <c r="C1184" s="1" t="n">
        <v>45574</v>
      </c>
      <c r="D1184" t="inlineStr">
        <is>
          <t>VÄSTERNORRLANDS LÄN</t>
        </is>
      </c>
      <c r="E1184" t="inlineStr">
        <is>
          <t>ÅNGE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18487-2023</t>
        </is>
      </c>
      <c r="B1185" s="1" t="n">
        <v>45042</v>
      </c>
      <c r="C1185" s="1" t="n">
        <v>45574</v>
      </c>
      <c r="D1185" t="inlineStr">
        <is>
          <t>VÄSTERNORRLANDS LÄN</t>
        </is>
      </c>
      <c r="E1185" t="inlineStr">
        <is>
          <t>ÅNGE</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18560-2023</t>
        </is>
      </c>
      <c r="B1186" s="1" t="n">
        <v>45042</v>
      </c>
      <c r="C1186" s="1" t="n">
        <v>45574</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18668-2023</t>
        </is>
      </c>
      <c r="B1187" s="1" t="n">
        <v>45043</v>
      </c>
      <c r="C1187" s="1" t="n">
        <v>45574</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19231-2023</t>
        </is>
      </c>
      <c r="B1188" s="1" t="n">
        <v>45048</v>
      </c>
      <c r="C1188" s="1" t="n">
        <v>45574</v>
      </c>
      <c r="D1188" t="inlineStr">
        <is>
          <t>VÄSTERNORRLANDS LÄN</t>
        </is>
      </c>
      <c r="E1188" t="inlineStr">
        <is>
          <t>ÅNGE</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19624-2023</t>
        </is>
      </c>
      <c r="B1189" s="1" t="n">
        <v>45051</v>
      </c>
      <c r="C1189" s="1" t="n">
        <v>45574</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19622-2023</t>
        </is>
      </c>
      <c r="B1190" s="1" t="n">
        <v>45051</v>
      </c>
      <c r="C1190" s="1" t="n">
        <v>45574</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19811-2023</t>
        </is>
      </c>
      <c r="B1191" s="1" t="n">
        <v>45052</v>
      </c>
      <c r="C1191" s="1" t="n">
        <v>45574</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19810-2023</t>
        </is>
      </c>
      <c r="B1192" s="1" t="n">
        <v>45052</v>
      </c>
      <c r="C1192" s="1" t="n">
        <v>45574</v>
      </c>
      <c r="D1192" t="inlineStr">
        <is>
          <t>VÄSTERNORRLANDS LÄN</t>
        </is>
      </c>
      <c r="E1192" t="inlineStr">
        <is>
          <t>ÅNGE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19827-2023</t>
        </is>
      </c>
      <c r="B1193" s="1" t="n">
        <v>45052</v>
      </c>
      <c r="C1193" s="1" t="n">
        <v>45574</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20009-2023</t>
        </is>
      </c>
      <c r="B1194" s="1" t="n">
        <v>45051</v>
      </c>
      <c r="C1194" s="1" t="n">
        <v>45574</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20110-2023</t>
        </is>
      </c>
      <c r="B1195" s="1" t="n">
        <v>45051</v>
      </c>
      <c r="C1195" s="1" t="n">
        <v>45574</v>
      </c>
      <c r="D1195" t="inlineStr">
        <is>
          <t>VÄSTERNORRLANDS LÄN</t>
        </is>
      </c>
      <c r="E1195" t="inlineStr">
        <is>
          <t>ÅNGE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20024-2023</t>
        </is>
      </c>
      <c r="B1196" s="1" t="n">
        <v>45051</v>
      </c>
      <c r="C1196" s="1" t="n">
        <v>45574</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19997-2023</t>
        </is>
      </c>
      <c r="B1197" s="1" t="n">
        <v>45054</v>
      </c>
      <c r="C1197" s="1" t="n">
        <v>45574</v>
      </c>
      <c r="D1197" t="inlineStr">
        <is>
          <t>VÄSTERNORRLANDS LÄN</t>
        </is>
      </c>
      <c r="E1197" t="inlineStr">
        <is>
          <t>ÅNGE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20099-2023</t>
        </is>
      </c>
      <c r="B1198" s="1" t="n">
        <v>45055</v>
      </c>
      <c r="C1198" s="1" t="n">
        <v>45574</v>
      </c>
      <c r="D1198" t="inlineStr">
        <is>
          <t>VÄSTERNORRLANDS LÄN</t>
        </is>
      </c>
      <c r="E1198" t="inlineStr">
        <is>
          <t>ÅNGE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45574</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20256-2023</t>
        </is>
      </c>
      <c r="B1200" s="1" t="n">
        <v>45055</v>
      </c>
      <c r="C1200" s="1" t="n">
        <v>45574</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20453-2023</t>
        </is>
      </c>
      <c r="B1201" s="1" t="n">
        <v>45057</v>
      </c>
      <c r="C1201" s="1" t="n">
        <v>45574</v>
      </c>
      <c r="D1201" t="inlineStr">
        <is>
          <t>VÄSTERNORRLANDS LÄN</t>
        </is>
      </c>
      <c r="E1201" t="inlineStr">
        <is>
          <t>ÅNGE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20627-2023</t>
        </is>
      </c>
      <c r="B1202" s="1" t="n">
        <v>45057</v>
      </c>
      <c r="C1202" s="1" t="n">
        <v>45574</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20853-2023</t>
        </is>
      </c>
      <c r="B1203" s="1" t="n">
        <v>45058</v>
      </c>
      <c r="C1203" s="1" t="n">
        <v>45574</v>
      </c>
      <c r="D1203" t="inlineStr">
        <is>
          <t>VÄSTERNORRLANDS LÄN</t>
        </is>
      </c>
      <c r="E1203" t="inlineStr">
        <is>
          <t>ÅNGE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20881-2023</t>
        </is>
      </c>
      <c r="B1204" s="1" t="n">
        <v>45059</v>
      </c>
      <c r="C1204" s="1" t="n">
        <v>45574</v>
      </c>
      <c r="D1204" t="inlineStr">
        <is>
          <t>VÄSTERNORRLANDS LÄN</t>
        </is>
      </c>
      <c r="E1204" t="inlineStr">
        <is>
          <t>ÅNGE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20885-2023</t>
        </is>
      </c>
      <c r="B1205" s="1" t="n">
        <v>45058</v>
      </c>
      <c r="C1205" s="1" t="n">
        <v>45574</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20883-2023</t>
        </is>
      </c>
      <c r="B1206" s="1" t="n">
        <v>45059</v>
      </c>
      <c r="C1206" s="1" t="n">
        <v>45574</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20890-2023</t>
        </is>
      </c>
      <c r="B1207" s="1" t="n">
        <v>45058</v>
      </c>
      <c r="C1207" s="1" t="n">
        <v>45574</v>
      </c>
      <c r="D1207" t="inlineStr">
        <is>
          <t>VÄSTERNORRLANDS LÄN</t>
        </is>
      </c>
      <c r="E1207" t="inlineStr">
        <is>
          <t>ÅNGE</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20884-2023</t>
        </is>
      </c>
      <c r="B1208" s="1" t="n">
        <v>45059</v>
      </c>
      <c r="C1208" s="1" t="n">
        <v>45574</v>
      </c>
      <c r="D1208" t="inlineStr">
        <is>
          <t>VÄSTERNORRLANDS LÄN</t>
        </is>
      </c>
      <c r="E1208" t="inlineStr">
        <is>
          <t>ÅNGE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21354-2023</t>
        </is>
      </c>
      <c r="B1209" s="1" t="n">
        <v>45063</v>
      </c>
      <c r="C1209" s="1" t="n">
        <v>45574</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21352-2023</t>
        </is>
      </c>
      <c r="B1210" s="1" t="n">
        <v>45062</v>
      </c>
      <c r="C1210" s="1" t="n">
        <v>45574</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21355-2023</t>
        </is>
      </c>
      <c r="B1211" s="1" t="n">
        <v>45063</v>
      </c>
      <c r="C1211" s="1" t="n">
        <v>45574</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21694-2023</t>
        </is>
      </c>
      <c r="B1212" s="1" t="n">
        <v>45063</v>
      </c>
      <c r="C1212" s="1" t="n">
        <v>45574</v>
      </c>
      <c r="D1212" t="inlineStr">
        <is>
          <t>VÄSTERNORRLANDS LÄN</t>
        </is>
      </c>
      <c r="E1212" t="inlineStr">
        <is>
          <t>ÅNGE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21681-2023</t>
        </is>
      </c>
      <c r="B1213" s="1" t="n">
        <v>45064</v>
      </c>
      <c r="C1213" s="1" t="n">
        <v>45574</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21691-2023</t>
        </is>
      </c>
      <c r="B1214" s="1" t="n">
        <v>45063</v>
      </c>
      <c r="C1214" s="1" t="n">
        <v>45574</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21695-2023</t>
        </is>
      </c>
      <c r="B1215" s="1" t="n">
        <v>45063</v>
      </c>
      <c r="C1215" s="1" t="n">
        <v>45574</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21668-2023</t>
        </is>
      </c>
      <c r="B1216" s="1" t="n">
        <v>45064</v>
      </c>
      <c r="C1216" s="1" t="n">
        <v>45574</v>
      </c>
      <c r="D1216" t="inlineStr">
        <is>
          <t>VÄSTERNORRLANDS LÄN</t>
        </is>
      </c>
      <c r="E1216" t="inlineStr">
        <is>
          <t>ÅNGE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21692-2023</t>
        </is>
      </c>
      <c r="B1217" s="1" t="n">
        <v>45063</v>
      </c>
      <c r="C1217" s="1" t="n">
        <v>45574</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21680-2023</t>
        </is>
      </c>
      <c r="B1218" s="1" t="n">
        <v>45064</v>
      </c>
      <c r="C1218" s="1" t="n">
        <v>45574</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21693-2023</t>
        </is>
      </c>
      <c r="B1219" s="1" t="n">
        <v>45063</v>
      </c>
      <c r="C1219" s="1" t="n">
        <v>45574</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22005-2023</t>
        </is>
      </c>
      <c r="B1220" s="1" t="n">
        <v>45069</v>
      </c>
      <c r="C1220" s="1" t="n">
        <v>45574</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22013-2023</t>
        </is>
      </c>
      <c r="B1221" s="1" t="n">
        <v>45069</v>
      </c>
      <c r="C1221" s="1" t="n">
        <v>45574</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22248-2023</t>
        </is>
      </c>
      <c r="B1222" s="1" t="n">
        <v>45070</v>
      </c>
      <c r="C1222" s="1" t="n">
        <v>45574</v>
      </c>
      <c r="D1222" t="inlineStr">
        <is>
          <t>VÄSTERNORRLANDS LÄN</t>
        </is>
      </c>
      <c r="E1222" t="inlineStr">
        <is>
          <t>ÅNGE</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22411-2023</t>
        </is>
      </c>
      <c r="B1223" s="1" t="n">
        <v>45070</v>
      </c>
      <c r="C1223" s="1" t="n">
        <v>45574</v>
      </c>
      <c r="D1223" t="inlineStr">
        <is>
          <t>VÄSTERNORRLANDS LÄN</t>
        </is>
      </c>
      <c r="E1223" t="inlineStr">
        <is>
          <t>ÅNGE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22740-2023</t>
        </is>
      </c>
      <c r="B1224" s="1" t="n">
        <v>45072</v>
      </c>
      <c r="C1224" s="1" t="n">
        <v>45574</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22755-2023</t>
        </is>
      </c>
      <c r="B1225" s="1" t="n">
        <v>45072</v>
      </c>
      <c r="C1225" s="1" t="n">
        <v>45574</v>
      </c>
      <c r="D1225" t="inlineStr">
        <is>
          <t>VÄSTERNORRLANDS LÄN</t>
        </is>
      </c>
      <c r="E1225" t="inlineStr">
        <is>
          <t>ÅNGE</t>
        </is>
      </c>
      <c r="F1225" t="inlineStr">
        <is>
          <t>SCA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22752-2023</t>
        </is>
      </c>
      <c r="B1226" s="1" t="n">
        <v>45072</v>
      </c>
      <c r="C1226" s="1" t="n">
        <v>45574</v>
      </c>
      <c r="D1226" t="inlineStr">
        <is>
          <t>VÄSTERNORRLANDS LÄN</t>
        </is>
      </c>
      <c r="E1226" t="inlineStr">
        <is>
          <t>ÅNGE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22756-2023</t>
        </is>
      </c>
      <c r="B1227" s="1" t="n">
        <v>45072</v>
      </c>
      <c r="C1227" s="1" t="n">
        <v>45574</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22753-2023</t>
        </is>
      </c>
      <c r="B1228" s="1" t="n">
        <v>45072</v>
      </c>
      <c r="C1228" s="1" t="n">
        <v>45574</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22987-2023</t>
        </is>
      </c>
      <c r="B1229" s="1" t="n">
        <v>45072</v>
      </c>
      <c r="C1229" s="1" t="n">
        <v>45574</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22997-2023</t>
        </is>
      </c>
      <c r="B1230" s="1" t="n">
        <v>45073</v>
      </c>
      <c r="C1230" s="1" t="n">
        <v>45574</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23308-2023</t>
        </is>
      </c>
      <c r="B1231" s="1" t="n">
        <v>45075</v>
      </c>
      <c r="C1231" s="1" t="n">
        <v>45574</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23307-2023</t>
        </is>
      </c>
      <c r="B1232" s="1" t="n">
        <v>45075</v>
      </c>
      <c r="C1232" s="1" t="n">
        <v>45574</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23520-2023</t>
        </is>
      </c>
      <c r="B1233" s="1" t="n">
        <v>45077</v>
      </c>
      <c r="C1233" s="1" t="n">
        <v>45574</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23671-2023</t>
        </is>
      </c>
      <c r="B1234" s="1" t="n">
        <v>45077</v>
      </c>
      <c r="C1234" s="1" t="n">
        <v>45574</v>
      </c>
      <c r="D1234" t="inlineStr">
        <is>
          <t>VÄSTERNORRLANDS LÄN</t>
        </is>
      </c>
      <c r="E1234" t="inlineStr">
        <is>
          <t>ÅNGE</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23746-2023</t>
        </is>
      </c>
      <c r="B1235" s="1" t="n">
        <v>45077</v>
      </c>
      <c r="C1235" s="1" t="n">
        <v>45574</v>
      </c>
      <c r="D1235" t="inlineStr">
        <is>
          <t>VÄSTERNORRLANDS LÄN</t>
        </is>
      </c>
      <c r="E1235" t="inlineStr">
        <is>
          <t>ÅNGE</t>
        </is>
      </c>
      <c r="F1235" t="inlineStr">
        <is>
          <t>Holmen skog AB</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24037-2023</t>
        </is>
      </c>
      <c r="B1236" s="1" t="n">
        <v>45078</v>
      </c>
      <c r="C1236" s="1" t="n">
        <v>45574</v>
      </c>
      <c r="D1236" t="inlineStr">
        <is>
          <t>VÄSTERNORRLANDS LÄN</t>
        </is>
      </c>
      <c r="E1236" t="inlineStr">
        <is>
          <t>ÅNGE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24058-2023</t>
        </is>
      </c>
      <c r="B1237" s="1" t="n">
        <v>45079</v>
      </c>
      <c r="C1237" s="1" t="n">
        <v>45574</v>
      </c>
      <c r="D1237" t="inlineStr">
        <is>
          <t>VÄSTERNORRLANDS LÄN</t>
        </is>
      </c>
      <c r="E1237" t="inlineStr">
        <is>
          <t>ÅNGE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24060-2023</t>
        </is>
      </c>
      <c r="B1238" s="1" t="n">
        <v>45079</v>
      </c>
      <c r="C1238" s="1" t="n">
        <v>45574</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24061-2023</t>
        </is>
      </c>
      <c r="B1239" s="1" t="n">
        <v>45079</v>
      </c>
      <c r="C1239" s="1" t="n">
        <v>45574</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24059-2023</t>
        </is>
      </c>
      <c r="B1240" s="1" t="n">
        <v>45079</v>
      </c>
      <c r="C1240" s="1" t="n">
        <v>45574</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24063-2023</t>
        </is>
      </c>
      <c r="B1241" s="1" t="n">
        <v>45079</v>
      </c>
      <c r="C1241" s="1" t="n">
        <v>45574</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24062-2023</t>
        </is>
      </c>
      <c r="B1242" s="1" t="n">
        <v>45079</v>
      </c>
      <c r="C1242" s="1" t="n">
        <v>45574</v>
      </c>
      <c r="D1242" t="inlineStr">
        <is>
          <t>VÄSTERNORRLANDS LÄN</t>
        </is>
      </c>
      <c r="E1242" t="inlineStr">
        <is>
          <t>ÅNGE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24066-2023</t>
        </is>
      </c>
      <c r="B1243" s="1" t="n">
        <v>45078</v>
      </c>
      <c r="C1243" s="1" t="n">
        <v>45574</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24064-2023</t>
        </is>
      </c>
      <c r="B1244" s="1" t="n">
        <v>45078</v>
      </c>
      <c r="C1244" s="1" t="n">
        <v>45574</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24068-2023</t>
        </is>
      </c>
      <c r="B1245" s="1" t="n">
        <v>45078</v>
      </c>
      <c r="C1245" s="1" t="n">
        <v>45574</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24995-2023</t>
        </is>
      </c>
      <c r="B1246" s="1" t="n">
        <v>45078</v>
      </c>
      <c r="C1246" s="1" t="n">
        <v>45574</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24971-2023</t>
        </is>
      </c>
      <c r="B1247" s="1" t="n">
        <v>45078</v>
      </c>
      <c r="C1247" s="1" t="n">
        <v>45574</v>
      </c>
      <c r="D1247" t="inlineStr">
        <is>
          <t>VÄSTERNORRLANDS LÄN</t>
        </is>
      </c>
      <c r="E1247" t="inlineStr">
        <is>
          <t>ÅNGE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24290-2023</t>
        </is>
      </c>
      <c r="B1248" s="1" t="n">
        <v>45080</v>
      </c>
      <c r="C1248" s="1" t="n">
        <v>45574</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24293-2023</t>
        </is>
      </c>
      <c r="B1249" s="1" t="n">
        <v>45080</v>
      </c>
      <c r="C1249" s="1" t="n">
        <v>45574</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25266-2023</t>
        </is>
      </c>
      <c r="B1250" s="1" t="n">
        <v>45079</v>
      </c>
      <c r="C1250" s="1" t="n">
        <v>45574</v>
      </c>
      <c r="D1250" t="inlineStr">
        <is>
          <t>VÄSTERNORRLANDS LÄN</t>
        </is>
      </c>
      <c r="E1250" t="inlineStr">
        <is>
          <t>ÅNGE</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24552-2023</t>
        </is>
      </c>
      <c r="B1251" s="1" t="n">
        <v>45083</v>
      </c>
      <c r="C1251" s="1" t="n">
        <v>45574</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24554-2023</t>
        </is>
      </c>
      <c r="B1252" s="1" t="n">
        <v>45083</v>
      </c>
      <c r="C1252" s="1" t="n">
        <v>45574</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24541-2023</t>
        </is>
      </c>
      <c r="B1253" s="1" t="n">
        <v>45083</v>
      </c>
      <c r="C1253" s="1" t="n">
        <v>45574</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24553-2023</t>
        </is>
      </c>
      <c r="B1254" s="1" t="n">
        <v>45083</v>
      </c>
      <c r="C1254" s="1" t="n">
        <v>45574</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24614-2023</t>
        </is>
      </c>
      <c r="B1255" s="1" t="n">
        <v>45084</v>
      </c>
      <c r="C1255" s="1" t="n">
        <v>45574</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24817-2023</t>
        </is>
      </c>
      <c r="B1256" s="1" t="n">
        <v>45084</v>
      </c>
      <c r="C1256" s="1" t="n">
        <v>45574</v>
      </c>
      <c r="D1256" t="inlineStr">
        <is>
          <t>VÄSTERNORRLANDS LÄN</t>
        </is>
      </c>
      <c r="E1256" t="inlineStr">
        <is>
          <t>ÅNGE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24904-2023</t>
        </is>
      </c>
      <c r="B1257" s="1" t="n">
        <v>45085</v>
      </c>
      <c r="C1257" s="1" t="n">
        <v>45574</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25035-2023</t>
        </is>
      </c>
      <c r="B1258" s="1" t="n">
        <v>45085</v>
      </c>
      <c r="C1258" s="1" t="n">
        <v>45574</v>
      </c>
      <c r="D1258" t="inlineStr">
        <is>
          <t>VÄSTERNORRLANDS LÄN</t>
        </is>
      </c>
      <c r="E1258" t="inlineStr">
        <is>
          <t>ÅNGE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25047-2023</t>
        </is>
      </c>
      <c r="B1259" s="1" t="n">
        <v>45086</v>
      </c>
      <c r="C1259" s="1" t="n">
        <v>45574</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25063-2023</t>
        </is>
      </c>
      <c r="B1260" s="1" t="n">
        <v>45086</v>
      </c>
      <c r="C1260" s="1" t="n">
        <v>45574</v>
      </c>
      <c r="D1260" t="inlineStr">
        <is>
          <t>VÄSTERNORRLANDS LÄN</t>
        </is>
      </c>
      <c r="E1260" t="inlineStr">
        <is>
          <t>ÅNGE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25034-2023</t>
        </is>
      </c>
      <c r="B1261" s="1" t="n">
        <v>45085</v>
      </c>
      <c r="C1261" s="1" t="n">
        <v>45574</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25311-2023</t>
        </is>
      </c>
      <c r="B1262" s="1" t="n">
        <v>45087</v>
      </c>
      <c r="C1262" s="1" t="n">
        <v>45574</v>
      </c>
      <c r="D1262" t="inlineStr">
        <is>
          <t>VÄSTERNORRLANDS LÄN</t>
        </is>
      </c>
      <c r="E1262" t="inlineStr">
        <is>
          <t>ÅNGE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45087</v>
      </c>
      <c r="C1263" s="1" t="n">
        <v>45574</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25324-2023</t>
        </is>
      </c>
      <c r="B1264" s="1" t="n">
        <v>45087</v>
      </c>
      <c r="C1264" s="1" t="n">
        <v>45574</v>
      </c>
      <c r="D1264" t="inlineStr">
        <is>
          <t>VÄSTERNORRLANDS LÄN</t>
        </is>
      </c>
      <c r="E1264" t="inlineStr">
        <is>
          <t>ÅNGE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25312-2023</t>
        </is>
      </c>
      <c r="B1265" s="1" t="n">
        <v>45087</v>
      </c>
      <c r="C1265" s="1" t="n">
        <v>45574</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25321-2023</t>
        </is>
      </c>
      <c r="B1266" s="1" t="n">
        <v>45087</v>
      </c>
      <c r="C1266" s="1" t="n">
        <v>45574</v>
      </c>
      <c r="D1266" t="inlineStr">
        <is>
          <t>VÄSTERNORRLANDS LÄN</t>
        </is>
      </c>
      <c r="E1266" t="inlineStr">
        <is>
          <t>ÅNGE</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25325-2023</t>
        </is>
      </c>
      <c r="B1267" s="1" t="n">
        <v>45087</v>
      </c>
      <c r="C1267" s="1" t="n">
        <v>45574</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25680-2023</t>
        </is>
      </c>
      <c r="B1268" s="1" t="n">
        <v>45089</v>
      </c>
      <c r="C1268" s="1" t="n">
        <v>45574</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25779-2023</t>
        </is>
      </c>
      <c r="B1269" s="1" t="n">
        <v>45090</v>
      </c>
      <c r="C1269" s="1" t="n">
        <v>45574</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25771-2023</t>
        </is>
      </c>
      <c r="B1270" s="1" t="n">
        <v>45090</v>
      </c>
      <c r="C1270" s="1" t="n">
        <v>45574</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26014-2023</t>
        </is>
      </c>
      <c r="B1271" s="1" t="n">
        <v>45091</v>
      </c>
      <c r="C1271" s="1" t="n">
        <v>45574</v>
      </c>
      <c r="D1271" t="inlineStr">
        <is>
          <t>VÄSTERNORRLANDS LÄN</t>
        </is>
      </c>
      <c r="E1271" t="inlineStr">
        <is>
          <t>ÅNGE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45574</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45574</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45574</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45574</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45574</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45574</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45574</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45574</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45574</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45574</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45574</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45574</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45574</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45574</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45574</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45574</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45574</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45574</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45574</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45574</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45574</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45574</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45574</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45574</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45574</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45574</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45574</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45574</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45574</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45574</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45574</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45574</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45574</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45574</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45574</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45574</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45574</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45574</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45574</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45574</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45574</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45574</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45574</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45574</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45574</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45574</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45574</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45574</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45574</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45574</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45574</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45574</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45574</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45574</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45574</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45574</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45574</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45574</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45574</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45574</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45574</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45574</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45574</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45574</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45574</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45574</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45574</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45574</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45574</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45574</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45574</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45574</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45574</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45574</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45574</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45574</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45574</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45574</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45574</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45574</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45574</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45574</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45574</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45574</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45574</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45574</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45574</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45574</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45574</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45574</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45574</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45574</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45574</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45574</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45574</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45574</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45574</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45574</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45574</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45574</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45574</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45574</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45574</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45574</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45574</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45574</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45574</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45574</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45574</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45574</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45574</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45574</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45574</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45574</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45574</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45574</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45574</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45574</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45574</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45574</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45574</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45574</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45574</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45574</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45574</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45574</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45574</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45574</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45574</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45574</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45574</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45574</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45574</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45574</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45574</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45574</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45574</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45574</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45574</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45574</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45574</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45574</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45574</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45574</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45574</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45574</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45574</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45574</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45574</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45574</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45574</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45574</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45574</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45574</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45574</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45574</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45574</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45574</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45574</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45574</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45574</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45574</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45574</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45574</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45574</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45574</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45574</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45574</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45574</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45574</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45574</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45574</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45574</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45574</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45574</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45574</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45574</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45574</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45574</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45574</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45574</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45574</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45574</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45574</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45574</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45574</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45574</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45574</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45574</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45574</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45574</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45574</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45574</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45574</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45574</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45574</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47432-2023</t>
        </is>
      </c>
      <c r="B1468" s="1" t="n">
        <v>45197</v>
      </c>
      <c r="C1468" s="1" t="n">
        <v>45574</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46679-2023</t>
        </is>
      </c>
      <c r="B1469" s="1" t="n">
        <v>45198</v>
      </c>
      <c r="C1469" s="1" t="n">
        <v>45574</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46689-2023</t>
        </is>
      </c>
      <c r="B1470" s="1" t="n">
        <v>45198</v>
      </c>
      <c r="C1470" s="1" t="n">
        <v>45574</v>
      </c>
      <c r="D1470" t="inlineStr">
        <is>
          <t>VÄSTERNORRLANDS LÄN</t>
        </is>
      </c>
      <c r="E1470" t="inlineStr">
        <is>
          <t>ÅNGE</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46681-2023</t>
        </is>
      </c>
      <c r="B1471" s="1" t="n">
        <v>45198</v>
      </c>
      <c r="C1471" s="1" t="n">
        <v>45574</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46667-2023</t>
        </is>
      </c>
      <c r="B1472" s="1" t="n">
        <v>45198</v>
      </c>
      <c r="C1472" s="1" t="n">
        <v>45574</v>
      </c>
      <c r="D1472" t="inlineStr">
        <is>
          <t>VÄSTERNORRLANDS LÄN</t>
        </is>
      </c>
      <c r="E1472" t="inlineStr">
        <is>
          <t>ÅNGE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46795-2023</t>
        </is>
      </c>
      <c r="B1473" s="1" t="n">
        <v>45198</v>
      </c>
      <c r="C1473" s="1" t="n">
        <v>45574</v>
      </c>
      <c r="D1473" t="inlineStr">
        <is>
          <t>VÄSTERNORRLANDS LÄN</t>
        </is>
      </c>
      <c r="E1473" t="inlineStr">
        <is>
          <t>ÅNGE</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47153-2023</t>
        </is>
      </c>
      <c r="B1474" s="1" t="n">
        <v>45202</v>
      </c>
      <c r="C1474" s="1" t="n">
        <v>45574</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47233-2023</t>
        </is>
      </c>
      <c r="B1475" s="1" t="n">
        <v>45202</v>
      </c>
      <c r="C1475" s="1" t="n">
        <v>45574</v>
      </c>
      <c r="D1475" t="inlineStr">
        <is>
          <t>VÄSTERNORRLANDS LÄN</t>
        </is>
      </c>
      <c r="E1475" t="inlineStr">
        <is>
          <t>ÅNGE</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47489-2023</t>
        </is>
      </c>
      <c r="B1476" s="1" t="n">
        <v>45203</v>
      </c>
      <c r="C1476" s="1" t="n">
        <v>45574</v>
      </c>
      <c r="D1476" t="inlineStr">
        <is>
          <t>VÄSTERNORRLANDS LÄN</t>
        </is>
      </c>
      <c r="E1476" t="inlineStr">
        <is>
          <t>ÅNGE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47488-2023</t>
        </is>
      </c>
      <c r="B1477" s="1" t="n">
        <v>45203</v>
      </c>
      <c r="C1477" s="1" t="n">
        <v>45574</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47779-2023</t>
        </is>
      </c>
      <c r="B1478" s="1" t="n">
        <v>45204</v>
      </c>
      <c r="C1478" s="1" t="n">
        <v>45574</v>
      </c>
      <c r="D1478" t="inlineStr">
        <is>
          <t>VÄSTERNORRLANDS LÄN</t>
        </is>
      </c>
      <c r="E1478" t="inlineStr">
        <is>
          <t>ÅNGE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47787-2023</t>
        </is>
      </c>
      <c r="B1479" s="1" t="n">
        <v>45203</v>
      </c>
      <c r="C1479" s="1" t="n">
        <v>45574</v>
      </c>
      <c r="D1479" t="inlineStr">
        <is>
          <t>VÄSTERNORRLANDS LÄN</t>
        </is>
      </c>
      <c r="E1479" t="inlineStr">
        <is>
          <t>ÅNGE</t>
        </is>
      </c>
      <c r="F1479" t="inlineStr">
        <is>
          <t>SCA</t>
        </is>
      </c>
      <c r="G1479" t="n">
        <v>50.1</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45574</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45574</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45574</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45574</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45574</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45574</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45574</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45574</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45574</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45574</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45574</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45574</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45574</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45574</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45574</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45574</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45574</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45574</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45574</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45574</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45574</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45574</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45574</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45574</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45574</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45574</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45574</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45574</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45574</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45574</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45574</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45574</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45574</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45574</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45574</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45574</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45574</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45574</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45574</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45574</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45574</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45574</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45574</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45574</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45574</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45574</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45574</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45574</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45574</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45574</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54602-2023</t>
        </is>
      </c>
      <c r="B1530" s="1" t="n">
        <v>45233</v>
      </c>
      <c r="C1530" s="1" t="n">
        <v>45574</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54566-2023</t>
        </is>
      </c>
      <c r="B1531" s="1" t="n">
        <v>45233</v>
      </c>
      <c r="C1531" s="1" t="n">
        <v>45574</v>
      </c>
      <c r="D1531" t="inlineStr">
        <is>
          <t>VÄSTERNORRLANDS LÄN</t>
        </is>
      </c>
      <c r="E1531" t="inlineStr">
        <is>
          <t>ÅNGE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54677-2023</t>
        </is>
      </c>
      <c r="B1532" s="1" t="n">
        <v>45235</v>
      </c>
      <c r="C1532" s="1" t="n">
        <v>45574</v>
      </c>
      <c r="D1532" t="inlineStr">
        <is>
          <t>VÄSTERNORRLANDS LÄN</t>
        </is>
      </c>
      <c r="E1532" t="inlineStr">
        <is>
          <t>ÅNGE</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54982-2023</t>
        </is>
      </c>
      <c r="B1533" s="1" t="n">
        <v>45236</v>
      </c>
      <c r="C1533" s="1" t="n">
        <v>45574</v>
      </c>
      <c r="D1533" t="inlineStr">
        <is>
          <t>VÄSTERNORRLANDS LÄN</t>
        </is>
      </c>
      <c r="E1533" t="inlineStr">
        <is>
          <t>ÅNGE</t>
        </is>
      </c>
      <c r="F1533" t="inlineStr">
        <is>
          <t>SCA</t>
        </is>
      </c>
      <c r="G1533" t="n">
        <v>26.2</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45574</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45574</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45574</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55664-2023</t>
        </is>
      </c>
      <c r="B1537" s="1" t="n">
        <v>45239</v>
      </c>
      <c r="C1537" s="1" t="n">
        <v>45574</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55670-2023</t>
        </is>
      </c>
      <c r="B1538" s="1" t="n">
        <v>45239</v>
      </c>
      <c r="C1538" s="1" t="n">
        <v>45574</v>
      </c>
      <c r="D1538" t="inlineStr">
        <is>
          <t>VÄSTERNORRLANDS LÄN</t>
        </is>
      </c>
      <c r="E1538" t="inlineStr">
        <is>
          <t>ÅNGE</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45574</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55924-2023</t>
        </is>
      </c>
      <c r="B1540" s="1" t="n">
        <v>45239</v>
      </c>
      <c r="C1540" s="1" t="n">
        <v>45574</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55932-2023</t>
        </is>
      </c>
      <c r="B1541" s="1" t="n">
        <v>45239</v>
      </c>
      <c r="C1541" s="1" t="n">
        <v>45574</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45574</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45574</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45574</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56615-2023</t>
        </is>
      </c>
      <c r="B1545" s="1" t="n">
        <v>45243</v>
      </c>
      <c r="C1545" s="1" t="n">
        <v>45574</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56683-2023</t>
        </is>
      </c>
      <c r="B1546" s="1" t="n">
        <v>45243</v>
      </c>
      <c r="C1546" s="1" t="n">
        <v>45574</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56699-2023</t>
        </is>
      </c>
      <c r="B1547" s="1" t="n">
        <v>45243</v>
      </c>
      <c r="C1547" s="1" t="n">
        <v>45574</v>
      </c>
      <c r="D1547" t="inlineStr">
        <is>
          <t>VÄSTERNORRLANDS LÄN</t>
        </is>
      </c>
      <c r="E1547" t="inlineStr">
        <is>
          <t>ÅNGE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57560-2023</t>
        </is>
      </c>
      <c r="B1548" s="1" t="n">
        <v>45243</v>
      </c>
      <c r="C1548" s="1" t="n">
        <v>45574</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56696-2023</t>
        </is>
      </c>
      <c r="B1549" s="1" t="n">
        <v>45244</v>
      </c>
      <c r="C1549" s="1" t="n">
        <v>45574</v>
      </c>
      <c r="D1549" t="inlineStr">
        <is>
          <t>VÄSTERNORRLANDS LÄN</t>
        </is>
      </c>
      <c r="E1549" t="inlineStr">
        <is>
          <t>ÅNGE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56700-2023</t>
        </is>
      </c>
      <c r="B1550" s="1" t="n">
        <v>45244</v>
      </c>
      <c r="C1550" s="1" t="n">
        <v>45574</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45574</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45574</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45574</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45574</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45574</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45574</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45574</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57780-2023</t>
        </is>
      </c>
      <c r="B1558" s="1" t="n">
        <v>45247</v>
      </c>
      <c r="C1558" s="1" t="n">
        <v>45574</v>
      </c>
      <c r="D1558" t="inlineStr">
        <is>
          <t>VÄSTERNORRLANDS LÄN</t>
        </is>
      </c>
      <c r="E1558" t="inlineStr">
        <is>
          <t>ÅNGE</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45574</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57956-2023</t>
        </is>
      </c>
      <c r="B1560" s="1" t="n">
        <v>45247</v>
      </c>
      <c r="C1560" s="1" t="n">
        <v>45574</v>
      </c>
      <c r="D1560" t="inlineStr">
        <is>
          <t>VÄSTERNORRLANDS LÄN</t>
        </is>
      </c>
      <c r="E1560" t="inlineStr">
        <is>
          <t>ÅNGE</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58086-2023</t>
        </is>
      </c>
      <c r="B1561" s="1" t="n">
        <v>45248</v>
      </c>
      <c r="C1561" s="1" t="n">
        <v>45574</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45574</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58287-2023</t>
        </is>
      </c>
      <c r="B1563" s="1" t="n">
        <v>45250</v>
      </c>
      <c r="C1563" s="1" t="n">
        <v>45574</v>
      </c>
      <c r="D1563" t="inlineStr">
        <is>
          <t>VÄSTERNORRLANDS LÄN</t>
        </is>
      </c>
      <c r="E1563" t="inlineStr">
        <is>
          <t>ÅNGE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58469-2023</t>
        </is>
      </c>
      <c r="B1564" s="1" t="n">
        <v>45250</v>
      </c>
      <c r="C1564" s="1" t="n">
        <v>45574</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58522-2023</t>
        </is>
      </c>
      <c r="B1565" s="1" t="n">
        <v>45251</v>
      </c>
      <c r="C1565" s="1" t="n">
        <v>45574</v>
      </c>
      <c r="D1565" t="inlineStr">
        <is>
          <t>VÄSTERNORRLANDS LÄN</t>
        </is>
      </c>
      <c r="E1565" t="inlineStr">
        <is>
          <t>ÅNGE</t>
        </is>
      </c>
      <c r="F1565" t="inlineStr">
        <is>
          <t>Övriga Aktiebolag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58550-2023</t>
        </is>
      </c>
      <c r="B1566" s="1" t="n">
        <v>45251</v>
      </c>
      <c r="C1566" s="1" t="n">
        <v>45574</v>
      </c>
      <c r="D1566" t="inlineStr">
        <is>
          <t>VÄSTERNORRLANDS LÄN</t>
        </is>
      </c>
      <c r="E1566" t="inlineStr">
        <is>
          <t>ÅNGE</t>
        </is>
      </c>
      <c r="F1566" t="inlineStr">
        <is>
          <t>Övriga Aktiebolag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58613-2023</t>
        </is>
      </c>
      <c r="B1567" s="1" t="n">
        <v>45251</v>
      </c>
      <c r="C1567" s="1" t="n">
        <v>45574</v>
      </c>
      <c r="D1567" t="inlineStr">
        <is>
          <t>VÄSTERNORRLANDS LÄN</t>
        </is>
      </c>
      <c r="E1567" t="inlineStr">
        <is>
          <t>ÅNGE</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45574</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45574</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45574</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45574</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45574</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45574</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45574</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45574</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45574</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60005-2023</t>
        </is>
      </c>
      <c r="B1577" s="1" t="n">
        <v>45258</v>
      </c>
      <c r="C1577" s="1" t="n">
        <v>45574</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60004-2023</t>
        </is>
      </c>
      <c r="B1578" s="1" t="n">
        <v>45257</v>
      </c>
      <c r="C1578" s="1" t="n">
        <v>45574</v>
      </c>
      <c r="D1578" t="inlineStr">
        <is>
          <t>VÄSTERNORRLANDS LÄN</t>
        </is>
      </c>
      <c r="E1578" t="inlineStr">
        <is>
          <t>ÅNGE</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45574</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60216-2023</t>
        </is>
      </c>
      <c r="B1580" s="1" t="n">
        <v>45257</v>
      </c>
      <c r="C1580" s="1" t="n">
        <v>45574</v>
      </c>
      <c r="D1580" t="inlineStr">
        <is>
          <t>VÄSTERNORRLANDS LÄN</t>
        </is>
      </c>
      <c r="E1580" t="inlineStr">
        <is>
          <t>ÅNGE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45574</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45574</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45574</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45574</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60156-2023</t>
        </is>
      </c>
      <c r="B1585" s="1" t="n">
        <v>45258</v>
      </c>
      <c r="C1585" s="1" t="n">
        <v>45574</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60153-2023</t>
        </is>
      </c>
      <c r="B1586" s="1" t="n">
        <v>45258</v>
      </c>
      <c r="C1586" s="1" t="n">
        <v>45574</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60568-2023</t>
        </is>
      </c>
      <c r="B1587" s="1" t="n">
        <v>45259</v>
      </c>
      <c r="C1587" s="1" t="n">
        <v>45574</v>
      </c>
      <c r="D1587" t="inlineStr">
        <is>
          <t>VÄSTERNORRLANDS LÄN</t>
        </is>
      </c>
      <c r="E1587" t="inlineStr">
        <is>
          <t>ÅNGE</t>
        </is>
      </c>
      <c r="F1587" t="inlineStr">
        <is>
          <t>Kyrkan</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61335-2023</t>
        </is>
      </c>
      <c r="B1588" s="1" t="n">
        <v>45264</v>
      </c>
      <c r="C1588" s="1" t="n">
        <v>45574</v>
      </c>
      <c r="D1588" t="inlineStr">
        <is>
          <t>VÄSTERNORRLANDS LÄN</t>
        </is>
      </c>
      <c r="E1588" t="inlineStr">
        <is>
          <t>ÅNGE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61461-2023</t>
        </is>
      </c>
      <c r="B1589" s="1" t="n">
        <v>45264</v>
      </c>
      <c r="C1589" s="1" t="n">
        <v>45574</v>
      </c>
      <c r="D1589" t="inlineStr">
        <is>
          <t>VÄSTERNORRLANDS LÄN</t>
        </is>
      </c>
      <c r="E1589" t="inlineStr">
        <is>
          <t>ÅNGE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61577-2023</t>
        </is>
      </c>
      <c r="B1590" s="1" t="n">
        <v>45265</v>
      </c>
      <c r="C1590" s="1" t="n">
        <v>45574</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61781-2023</t>
        </is>
      </c>
      <c r="B1591" s="1" t="n">
        <v>45265</v>
      </c>
      <c r="C1591" s="1" t="n">
        <v>45574</v>
      </c>
      <c r="D1591" t="inlineStr">
        <is>
          <t>VÄSTERNORRLANDS LÄN</t>
        </is>
      </c>
      <c r="E1591" t="inlineStr">
        <is>
          <t>ÅNGE</t>
        </is>
      </c>
      <c r="F1591" t="inlineStr">
        <is>
          <t>SCA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61797-2023</t>
        </is>
      </c>
      <c r="B1592" s="1" t="n">
        <v>45265</v>
      </c>
      <c r="C1592" s="1" t="n">
        <v>45574</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45574</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62111-2023</t>
        </is>
      </c>
      <c r="B1594" s="1" t="n">
        <v>45266</v>
      </c>
      <c r="C1594" s="1" t="n">
        <v>45574</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62551-2023</t>
        </is>
      </c>
      <c r="B1595" s="1" t="n">
        <v>45268</v>
      </c>
      <c r="C1595" s="1" t="n">
        <v>45574</v>
      </c>
      <c r="D1595" t="inlineStr">
        <is>
          <t>VÄSTERNORRLANDS LÄN</t>
        </is>
      </c>
      <c r="E1595" t="inlineStr">
        <is>
          <t>ÅNGE</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62562-2023</t>
        </is>
      </c>
      <c r="B1596" s="1" t="n">
        <v>45268</v>
      </c>
      <c r="C1596" s="1" t="n">
        <v>45574</v>
      </c>
      <c r="D1596" t="inlineStr">
        <is>
          <t>VÄSTERNORRLANDS LÄN</t>
        </is>
      </c>
      <c r="E1596" t="inlineStr">
        <is>
          <t>ÅNGE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63066-2023</t>
        </is>
      </c>
      <c r="B1597" s="1" t="n">
        <v>45272</v>
      </c>
      <c r="C1597" s="1" t="n">
        <v>45574</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63064-2023</t>
        </is>
      </c>
      <c r="B1598" s="1" t="n">
        <v>45272</v>
      </c>
      <c r="C1598" s="1" t="n">
        <v>45574</v>
      </c>
      <c r="D1598" t="inlineStr">
        <is>
          <t>VÄSTERNORRLANDS LÄN</t>
        </is>
      </c>
      <c r="E1598" t="inlineStr">
        <is>
          <t>ÅNGE</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45574</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45574</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63170-2023</t>
        </is>
      </c>
      <c r="B1601" s="1" t="n">
        <v>45273</v>
      </c>
      <c r="C1601" s="1" t="n">
        <v>45574</v>
      </c>
      <c r="D1601" t="inlineStr">
        <is>
          <t>VÄSTERNORRLANDS LÄN</t>
        </is>
      </c>
      <c r="E1601" t="inlineStr">
        <is>
          <t>ÅNGE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63216-2023</t>
        </is>
      </c>
      <c r="B1602" s="1" t="n">
        <v>45273</v>
      </c>
      <c r="C1602" s="1" t="n">
        <v>45574</v>
      </c>
      <c r="D1602" t="inlineStr">
        <is>
          <t>VÄSTERNORRLANDS LÄN</t>
        </is>
      </c>
      <c r="E1602" t="inlineStr">
        <is>
          <t>ÅNGE</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63290-2023</t>
        </is>
      </c>
      <c r="B1603" s="1" t="n">
        <v>45273</v>
      </c>
      <c r="C1603" s="1" t="n">
        <v>45574</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63374-2023</t>
        </is>
      </c>
      <c r="B1604" s="1" t="n">
        <v>45274</v>
      </c>
      <c r="C1604" s="1" t="n">
        <v>45574</v>
      </c>
      <c r="D1604" t="inlineStr">
        <is>
          <t>VÄSTERNORRLANDS LÄN</t>
        </is>
      </c>
      <c r="E1604" t="inlineStr">
        <is>
          <t>ÅNGE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63531-2023</t>
        </is>
      </c>
      <c r="B1605" s="1" t="n">
        <v>45274</v>
      </c>
      <c r="C1605" s="1" t="n">
        <v>45574</v>
      </c>
      <c r="D1605" t="inlineStr">
        <is>
          <t>VÄSTERNORRLANDS LÄN</t>
        </is>
      </c>
      <c r="E1605" t="inlineStr">
        <is>
          <t>ÅNGE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63530-2023</t>
        </is>
      </c>
      <c r="B1606" s="1" t="n">
        <v>45274</v>
      </c>
      <c r="C1606" s="1" t="n">
        <v>45574</v>
      </c>
      <c r="D1606" t="inlineStr">
        <is>
          <t>VÄSTERNORRLANDS LÄN</t>
        </is>
      </c>
      <c r="E1606" t="inlineStr">
        <is>
          <t>ÅNGE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45574</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45574</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64392-2023</t>
        </is>
      </c>
      <c r="B1609" s="1" t="n">
        <v>45280</v>
      </c>
      <c r="C1609" s="1" t="n">
        <v>45574</v>
      </c>
      <c r="D1609" t="inlineStr">
        <is>
          <t>VÄSTERNORRLANDS LÄN</t>
        </is>
      </c>
      <c r="E1609" t="inlineStr">
        <is>
          <t>ÅNGE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64375-2023</t>
        </is>
      </c>
      <c r="B1610" s="1" t="n">
        <v>45280</v>
      </c>
      <c r="C1610" s="1" t="n">
        <v>45574</v>
      </c>
      <c r="D1610" t="inlineStr">
        <is>
          <t>VÄSTERNORRLANDS LÄN</t>
        </is>
      </c>
      <c r="E1610" t="inlineStr">
        <is>
          <t>ÅNGE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64510-2023</t>
        </is>
      </c>
      <c r="B1611" s="1" t="n">
        <v>45281</v>
      </c>
      <c r="C1611" s="1" t="n">
        <v>45574</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64523-2023</t>
        </is>
      </c>
      <c r="B1612" s="1" t="n">
        <v>45281</v>
      </c>
      <c r="C1612" s="1" t="n">
        <v>45574</v>
      </c>
      <c r="D1612" t="inlineStr">
        <is>
          <t>VÄSTERNORRLANDS LÄN</t>
        </is>
      </c>
      <c r="E1612" t="inlineStr">
        <is>
          <t>ÅNGE</t>
        </is>
      </c>
      <c r="G1612" t="n">
        <v>62.6</v>
      </c>
      <c r="H1612" t="n">
        <v>0</v>
      </c>
      <c r="I1612" t="n">
        <v>0</v>
      </c>
      <c r="J1612" t="n">
        <v>0</v>
      </c>
      <c r="K1612" t="n">
        <v>0</v>
      </c>
      <c r="L1612" t="n">
        <v>0</v>
      </c>
      <c r="M1612" t="n">
        <v>0</v>
      </c>
      <c r="N1612" t="n">
        <v>0</v>
      </c>
      <c r="O1612" t="n">
        <v>0</v>
      </c>
      <c r="P1612" t="n">
        <v>0</v>
      </c>
      <c r="Q1612" t="n">
        <v>0</v>
      </c>
      <c r="R1612" s="2" t="inlineStr"/>
    </row>
    <row r="1613" ht="15" customHeight="1">
      <c r="A1613" t="inlineStr">
        <is>
          <t>A 64946-2023</t>
        </is>
      </c>
      <c r="B1613" s="1" t="n">
        <v>45282</v>
      </c>
      <c r="C1613" s="1" t="n">
        <v>45574</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64950-2023</t>
        </is>
      </c>
      <c r="B1614" s="1" t="n">
        <v>45282</v>
      </c>
      <c r="C1614" s="1" t="n">
        <v>45574</v>
      </c>
      <c r="D1614" t="inlineStr">
        <is>
          <t>VÄSTERNORRLANDS LÄN</t>
        </is>
      </c>
      <c r="E1614" t="inlineStr">
        <is>
          <t>ÅNGE</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64947-2023</t>
        </is>
      </c>
      <c r="B1615" s="1" t="n">
        <v>45282</v>
      </c>
      <c r="C1615" s="1" t="n">
        <v>45574</v>
      </c>
      <c r="D1615" t="inlineStr">
        <is>
          <t>VÄSTERNORRLANDS LÄN</t>
        </is>
      </c>
      <c r="E1615" t="inlineStr">
        <is>
          <t>ÅNGE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64945-2023</t>
        </is>
      </c>
      <c r="B1616" s="1" t="n">
        <v>45282</v>
      </c>
      <c r="C1616" s="1" t="n">
        <v>45574</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65021-2023</t>
        </is>
      </c>
      <c r="B1617" s="1" t="n">
        <v>45287</v>
      </c>
      <c r="C1617" s="1" t="n">
        <v>45574</v>
      </c>
      <c r="D1617" t="inlineStr">
        <is>
          <t>VÄSTERNORRLANDS LÄN</t>
        </is>
      </c>
      <c r="E1617" t="inlineStr">
        <is>
          <t>ÅNGE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213-2024</t>
        </is>
      </c>
      <c r="B1618" s="1" t="n">
        <v>45293</v>
      </c>
      <c r="C1618" s="1" t="n">
        <v>45574</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253-2024</t>
        </is>
      </c>
      <c r="B1619" s="1" t="n">
        <v>45294</v>
      </c>
      <c r="C1619" s="1" t="n">
        <v>45574</v>
      </c>
      <c r="D1619" t="inlineStr">
        <is>
          <t>VÄSTERNORRLANDS LÄN</t>
        </is>
      </c>
      <c r="E1619" t="inlineStr">
        <is>
          <t>ÅNGE</t>
        </is>
      </c>
      <c r="F1619" t="inlineStr">
        <is>
          <t>SCA</t>
        </is>
      </c>
      <c r="G1619" t="n">
        <v>54.6</v>
      </c>
      <c r="H1619" t="n">
        <v>0</v>
      </c>
      <c r="I1619" t="n">
        <v>0</v>
      </c>
      <c r="J1619" t="n">
        <v>0</v>
      </c>
      <c r="K1619" t="n">
        <v>0</v>
      </c>
      <c r="L1619" t="n">
        <v>0</v>
      </c>
      <c r="M1619" t="n">
        <v>0</v>
      </c>
      <c r="N1619" t="n">
        <v>0</v>
      </c>
      <c r="O1619" t="n">
        <v>0</v>
      </c>
      <c r="P1619" t="n">
        <v>0</v>
      </c>
      <c r="Q1619" t="n">
        <v>0</v>
      </c>
      <c r="R1619" s="2" t="inlineStr"/>
    </row>
    <row r="1620" ht="15" customHeight="1">
      <c r="A1620" t="inlineStr">
        <is>
          <t>A 251-2024</t>
        </is>
      </c>
      <c r="B1620" s="1" t="n">
        <v>45294</v>
      </c>
      <c r="C1620" s="1" t="n">
        <v>45574</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256-2024</t>
        </is>
      </c>
      <c r="B1621" s="1" t="n">
        <v>45295</v>
      </c>
      <c r="C1621" s="1" t="n">
        <v>45574</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405-2024</t>
        </is>
      </c>
      <c r="B1622" s="1" t="n">
        <v>45296</v>
      </c>
      <c r="C1622" s="1" t="n">
        <v>45574</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741-2024</t>
        </is>
      </c>
      <c r="B1623" s="1" t="n">
        <v>45300</v>
      </c>
      <c r="C1623" s="1" t="n">
        <v>45574</v>
      </c>
      <c r="D1623" t="inlineStr">
        <is>
          <t>VÄSTERNORRLANDS LÄN</t>
        </is>
      </c>
      <c r="E1623" t="inlineStr">
        <is>
          <t>ÅNGE</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832-2024</t>
        </is>
      </c>
      <c r="B1624" s="1" t="n">
        <v>45300</v>
      </c>
      <c r="C1624" s="1" t="n">
        <v>45574</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1030-2024</t>
        </is>
      </c>
      <c r="B1625" s="1" t="n">
        <v>45301</v>
      </c>
      <c r="C1625" s="1" t="n">
        <v>45574</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1524-2024</t>
        </is>
      </c>
      <c r="B1626" s="1" t="n">
        <v>45306</v>
      </c>
      <c r="C1626" s="1" t="n">
        <v>45574</v>
      </c>
      <c r="D1626" t="inlineStr">
        <is>
          <t>VÄSTERNORRLANDS LÄN</t>
        </is>
      </c>
      <c r="E1626" t="inlineStr">
        <is>
          <t>ÅNGE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1886-2024</t>
        </is>
      </c>
      <c r="B1627" s="1" t="n">
        <v>45308</v>
      </c>
      <c r="C1627" s="1" t="n">
        <v>45574</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2060-2024</t>
        </is>
      </c>
      <c r="B1628" s="1" t="n">
        <v>45309</v>
      </c>
      <c r="C1628" s="1" t="n">
        <v>45574</v>
      </c>
      <c r="D1628" t="inlineStr">
        <is>
          <t>VÄSTERNORRLANDS LÄN</t>
        </is>
      </c>
      <c r="E1628" t="inlineStr">
        <is>
          <t>ÅNGE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2124-2024</t>
        </is>
      </c>
      <c r="B1629" s="1" t="n">
        <v>45309</v>
      </c>
      <c r="C1629" s="1" t="n">
        <v>45574</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2121-2024</t>
        </is>
      </c>
      <c r="B1630" s="1" t="n">
        <v>45309</v>
      </c>
      <c r="C1630" s="1" t="n">
        <v>45574</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2372-2024</t>
        </is>
      </c>
      <c r="B1631" s="1" t="n">
        <v>45310</v>
      </c>
      <c r="C1631" s="1" t="n">
        <v>45574</v>
      </c>
      <c r="D1631" t="inlineStr">
        <is>
          <t>VÄSTERNORRLANDS LÄN</t>
        </is>
      </c>
      <c r="E1631" t="inlineStr">
        <is>
          <t>ÅNGE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2365-2024</t>
        </is>
      </c>
      <c r="B1632" s="1" t="n">
        <v>45310</v>
      </c>
      <c r="C1632" s="1" t="n">
        <v>45574</v>
      </c>
      <c r="D1632" t="inlineStr">
        <is>
          <t>VÄSTERNORRLANDS LÄN</t>
        </is>
      </c>
      <c r="E1632" t="inlineStr">
        <is>
          <t>ÅNGE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2432-2024</t>
        </is>
      </c>
      <c r="B1633" s="1" t="n">
        <v>45310</v>
      </c>
      <c r="C1633" s="1" t="n">
        <v>45574</v>
      </c>
      <c r="D1633" t="inlineStr">
        <is>
          <t>VÄSTERNORRLANDS LÄN</t>
        </is>
      </c>
      <c r="E1633" t="inlineStr">
        <is>
          <t>ÅNGE</t>
        </is>
      </c>
      <c r="F1633" t="inlineStr">
        <is>
          <t>SCA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2415-2024</t>
        </is>
      </c>
      <c r="B1634" s="1" t="n">
        <v>45310</v>
      </c>
      <c r="C1634" s="1" t="n">
        <v>45574</v>
      </c>
      <c r="D1634" t="inlineStr">
        <is>
          <t>VÄSTERNORRLANDS LÄN</t>
        </is>
      </c>
      <c r="E1634" t="inlineStr">
        <is>
          <t>ÅNGE</t>
        </is>
      </c>
      <c r="F1634" t="inlineStr">
        <is>
          <t>Kyrkan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2436-2024</t>
        </is>
      </c>
      <c r="B1635" s="1" t="n">
        <v>45310</v>
      </c>
      <c r="C1635" s="1" t="n">
        <v>45574</v>
      </c>
      <c r="D1635" t="inlineStr">
        <is>
          <t>VÄSTERNORRLANDS LÄN</t>
        </is>
      </c>
      <c r="E1635" t="inlineStr">
        <is>
          <t>ÅNGE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2435-2024</t>
        </is>
      </c>
      <c r="B1636" s="1" t="n">
        <v>45310</v>
      </c>
      <c r="C1636" s="1" t="n">
        <v>45574</v>
      </c>
      <c r="D1636" t="inlineStr">
        <is>
          <t>VÄSTERNORRLANDS LÄN</t>
        </is>
      </c>
      <c r="E1636" t="inlineStr">
        <is>
          <t>ÅNGE</t>
        </is>
      </c>
      <c r="F1636" t="inlineStr">
        <is>
          <t>SCA</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2434-2024</t>
        </is>
      </c>
      <c r="B1637" s="1" t="n">
        <v>45310</v>
      </c>
      <c r="C1637" s="1" t="n">
        <v>45574</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2433-2024</t>
        </is>
      </c>
      <c r="B1638" s="1" t="n">
        <v>45310</v>
      </c>
      <c r="C1638" s="1" t="n">
        <v>45574</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2451-2024</t>
        </is>
      </c>
      <c r="B1639" s="1" t="n">
        <v>45312</v>
      </c>
      <c r="C1639" s="1" t="n">
        <v>45574</v>
      </c>
      <c r="D1639" t="inlineStr">
        <is>
          <t>VÄSTERNORRLANDS LÄN</t>
        </is>
      </c>
      <c r="E1639" t="inlineStr">
        <is>
          <t>ÅNGE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2788-2024</t>
        </is>
      </c>
      <c r="B1640" s="1" t="n">
        <v>45314</v>
      </c>
      <c r="C1640" s="1" t="n">
        <v>45574</v>
      </c>
      <c r="D1640" t="inlineStr">
        <is>
          <t>VÄSTERNORRLANDS LÄN</t>
        </is>
      </c>
      <c r="E1640" t="inlineStr">
        <is>
          <t>ÅNGE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3133-2024</t>
        </is>
      </c>
      <c r="B1641" s="1" t="n">
        <v>45316</v>
      </c>
      <c r="C1641" s="1" t="n">
        <v>45574</v>
      </c>
      <c r="D1641" t="inlineStr">
        <is>
          <t>VÄSTERNORRLANDS LÄN</t>
        </is>
      </c>
      <c r="E1641" t="inlineStr">
        <is>
          <t>ÅNGE</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3238-2024</t>
        </is>
      </c>
      <c r="B1642" s="1" t="n">
        <v>45316</v>
      </c>
      <c r="C1642" s="1" t="n">
        <v>45574</v>
      </c>
      <c r="D1642" t="inlineStr">
        <is>
          <t>VÄSTERNORRLANDS LÄN</t>
        </is>
      </c>
      <c r="E1642" t="inlineStr">
        <is>
          <t>ÅNGE</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3253-2024</t>
        </is>
      </c>
      <c r="B1643" s="1" t="n">
        <v>45316</v>
      </c>
      <c r="C1643" s="1" t="n">
        <v>45574</v>
      </c>
      <c r="D1643" t="inlineStr">
        <is>
          <t>VÄSTERNORRLANDS LÄN</t>
        </is>
      </c>
      <c r="E1643" t="inlineStr">
        <is>
          <t>ÅNGE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3249-2024</t>
        </is>
      </c>
      <c r="B1644" s="1" t="n">
        <v>45316</v>
      </c>
      <c r="C1644" s="1" t="n">
        <v>45574</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3256-2024</t>
        </is>
      </c>
      <c r="B1645" s="1" t="n">
        <v>45316</v>
      </c>
      <c r="C1645" s="1" t="n">
        <v>45574</v>
      </c>
      <c r="D1645" t="inlineStr">
        <is>
          <t>VÄSTERNORRLANDS LÄN</t>
        </is>
      </c>
      <c r="E1645" t="inlineStr">
        <is>
          <t>ÅNGE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3347-2024</t>
        </is>
      </c>
      <c r="B1646" s="1" t="n">
        <v>45317</v>
      </c>
      <c r="C1646" s="1" t="n">
        <v>45574</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3354-2024</t>
        </is>
      </c>
      <c r="B1647" s="1" t="n">
        <v>45317</v>
      </c>
      <c r="C1647" s="1" t="n">
        <v>45574</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3357-2024</t>
        </is>
      </c>
      <c r="B1648" s="1" t="n">
        <v>45317</v>
      </c>
      <c r="C1648" s="1" t="n">
        <v>45574</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3523-2024</t>
        </is>
      </c>
      <c r="B1649" s="1" t="n">
        <v>45320</v>
      </c>
      <c r="C1649" s="1" t="n">
        <v>45574</v>
      </c>
      <c r="D1649" t="inlineStr">
        <is>
          <t>VÄSTERNORRLANDS LÄN</t>
        </is>
      </c>
      <c r="E1649" t="inlineStr">
        <is>
          <t>ÅNGE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3532-2024</t>
        </is>
      </c>
      <c r="B1650" s="1" t="n">
        <v>45320</v>
      </c>
      <c r="C1650" s="1" t="n">
        <v>45574</v>
      </c>
      <c r="D1650" t="inlineStr">
        <is>
          <t>VÄSTERNORRLANDS LÄN</t>
        </is>
      </c>
      <c r="E1650" t="inlineStr">
        <is>
          <t>ÅNGE</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3580-2024</t>
        </is>
      </c>
      <c r="B1651" s="1" t="n">
        <v>45320</v>
      </c>
      <c r="C1651" s="1" t="n">
        <v>45574</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3624-2024</t>
        </is>
      </c>
      <c r="B1652" s="1" t="n">
        <v>45320</v>
      </c>
      <c r="C1652" s="1" t="n">
        <v>45574</v>
      </c>
      <c r="D1652" t="inlineStr">
        <is>
          <t>VÄSTERNORRLANDS LÄN</t>
        </is>
      </c>
      <c r="E1652" t="inlineStr">
        <is>
          <t>ÅNGE</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3996-2024</t>
        </is>
      </c>
      <c r="B1653" s="1" t="n">
        <v>45322</v>
      </c>
      <c r="C1653" s="1" t="n">
        <v>45574</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4142-2024</t>
        </is>
      </c>
      <c r="B1654" s="1" t="n">
        <v>45323</v>
      </c>
      <c r="C1654" s="1" t="n">
        <v>45574</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4140-2024</t>
        </is>
      </c>
      <c r="B1655" s="1" t="n">
        <v>45323</v>
      </c>
      <c r="C1655" s="1" t="n">
        <v>45574</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4166-2024</t>
        </is>
      </c>
      <c r="B1656" s="1" t="n">
        <v>45323</v>
      </c>
      <c r="C1656" s="1" t="n">
        <v>45574</v>
      </c>
      <c r="D1656" t="inlineStr">
        <is>
          <t>VÄSTERNORRLANDS LÄN</t>
        </is>
      </c>
      <c r="E1656" t="inlineStr">
        <is>
          <t>ÅNGE</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4165-2024</t>
        </is>
      </c>
      <c r="B1657" s="1" t="n">
        <v>45323</v>
      </c>
      <c r="C1657" s="1" t="n">
        <v>45574</v>
      </c>
      <c r="D1657" t="inlineStr">
        <is>
          <t>VÄSTERNORRLANDS LÄN</t>
        </is>
      </c>
      <c r="E1657" t="inlineStr">
        <is>
          <t>ÅNGE</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4169-2024</t>
        </is>
      </c>
      <c r="B1658" s="1" t="n">
        <v>45323</v>
      </c>
      <c r="C1658" s="1" t="n">
        <v>45574</v>
      </c>
      <c r="D1658" t="inlineStr">
        <is>
          <t>VÄSTERNORRLANDS LÄN</t>
        </is>
      </c>
      <c r="E1658" t="inlineStr">
        <is>
          <t>ÅNGE</t>
        </is>
      </c>
      <c r="F1658" t="inlineStr">
        <is>
          <t>SCA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4361-2024</t>
        </is>
      </c>
      <c r="B1659" s="1" t="n">
        <v>45325</v>
      </c>
      <c r="C1659" s="1" t="n">
        <v>45574</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4589-2024</t>
        </is>
      </c>
      <c r="B1660" s="1" t="n">
        <v>45327</v>
      </c>
      <c r="C1660" s="1" t="n">
        <v>45574</v>
      </c>
      <c r="D1660" t="inlineStr">
        <is>
          <t>VÄSTERNORRLANDS LÄN</t>
        </is>
      </c>
      <c r="E1660" t="inlineStr">
        <is>
          <t>ÅNGE</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4810-2024</t>
        </is>
      </c>
      <c r="B1661" s="1" t="n">
        <v>45328</v>
      </c>
      <c r="C1661" s="1" t="n">
        <v>45574</v>
      </c>
      <c r="D1661" t="inlineStr">
        <is>
          <t>VÄSTERNORRLANDS LÄN</t>
        </is>
      </c>
      <c r="E1661" t="inlineStr">
        <is>
          <t>ÅNGE</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4807-2024</t>
        </is>
      </c>
      <c r="B1662" s="1" t="n">
        <v>45328</v>
      </c>
      <c r="C1662" s="1" t="n">
        <v>45574</v>
      </c>
      <c r="D1662" t="inlineStr">
        <is>
          <t>VÄSTERNORRLANDS LÄN</t>
        </is>
      </c>
      <c r="E1662" t="inlineStr">
        <is>
          <t>ÅNGE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4904-2024</t>
        </is>
      </c>
      <c r="B1663" s="1" t="n">
        <v>45329</v>
      </c>
      <c r="C1663" s="1" t="n">
        <v>45574</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4898-2024</t>
        </is>
      </c>
      <c r="B1664" s="1" t="n">
        <v>45329</v>
      </c>
      <c r="C1664" s="1" t="n">
        <v>45574</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5268-2024</t>
        </is>
      </c>
      <c r="B1665" s="1" t="n">
        <v>45330</v>
      </c>
      <c r="C1665" s="1" t="n">
        <v>45574</v>
      </c>
      <c r="D1665" t="inlineStr">
        <is>
          <t>VÄSTERNORRLANDS LÄN</t>
        </is>
      </c>
      <c r="E1665" t="inlineStr">
        <is>
          <t>ÅNGE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5433-2024</t>
        </is>
      </c>
      <c r="B1666" s="1" t="n">
        <v>45331</v>
      </c>
      <c r="C1666" s="1" t="n">
        <v>45574</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5456-2024</t>
        </is>
      </c>
      <c r="B1667" s="1" t="n">
        <v>45331</v>
      </c>
      <c r="C1667" s="1" t="n">
        <v>45574</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5613-2024</t>
        </is>
      </c>
      <c r="B1668" s="1" t="n">
        <v>45334</v>
      </c>
      <c r="C1668" s="1" t="n">
        <v>45574</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5647-2024</t>
        </is>
      </c>
      <c r="B1669" s="1" t="n">
        <v>45334</v>
      </c>
      <c r="C1669" s="1" t="n">
        <v>45574</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5659-2024</t>
        </is>
      </c>
      <c r="B1670" s="1" t="n">
        <v>45334</v>
      </c>
      <c r="C1670" s="1" t="n">
        <v>45574</v>
      </c>
      <c r="D1670" t="inlineStr">
        <is>
          <t>VÄSTERNORRLANDS LÄN</t>
        </is>
      </c>
      <c r="E1670" t="inlineStr">
        <is>
          <t>ÅNGE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6028-2024</t>
        </is>
      </c>
      <c r="B1671" s="1" t="n">
        <v>45336</v>
      </c>
      <c r="C1671" s="1" t="n">
        <v>45574</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6462-2024</t>
        </is>
      </c>
      <c r="B1672" s="1" t="n">
        <v>45338</v>
      </c>
      <c r="C1672" s="1" t="n">
        <v>45574</v>
      </c>
      <c r="D1672" t="inlineStr">
        <is>
          <t>VÄSTERNORRLANDS LÄN</t>
        </is>
      </c>
      <c r="E1672" t="inlineStr">
        <is>
          <t>ÅNGE</t>
        </is>
      </c>
      <c r="F1672" t="inlineStr">
        <is>
          <t>Kyrkan</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6685-2024</t>
        </is>
      </c>
      <c r="B1673" s="1" t="n">
        <v>45341</v>
      </c>
      <c r="C1673" s="1" t="n">
        <v>45574</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6689-2024</t>
        </is>
      </c>
      <c r="B1674" s="1" t="n">
        <v>45341</v>
      </c>
      <c r="C1674" s="1" t="n">
        <v>45574</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6686-2024</t>
        </is>
      </c>
      <c r="B1675" s="1" t="n">
        <v>45341</v>
      </c>
      <c r="C1675" s="1" t="n">
        <v>45574</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6690-2024</t>
        </is>
      </c>
      <c r="B1676" s="1" t="n">
        <v>45341</v>
      </c>
      <c r="C1676" s="1" t="n">
        <v>45574</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6680-2024</t>
        </is>
      </c>
      <c r="B1677" s="1" t="n">
        <v>45341</v>
      </c>
      <c r="C1677" s="1" t="n">
        <v>45574</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6684-2024</t>
        </is>
      </c>
      <c r="B1678" s="1" t="n">
        <v>45341</v>
      </c>
      <c r="C1678" s="1" t="n">
        <v>45574</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6702-2024</t>
        </is>
      </c>
      <c r="B1679" s="1" t="n">
        <v>45341</v>
      </c>
      <c r="C1679" s="1" t="n">
        <v>45574</v>
      </c>
      <c r="D1679" t="inlineStr">
        <is>
          <t>VÄSTERNORRLANDS LÄN</t>
        </is>
      </c>
      <c r="E1679" t="inlineStr">
        <is>
          <t>ÅNGE</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6701-2024</t>
        </is>
      </c>
      <c r="B1680" s="1" t="n">
        <v>45341</v>
      </c>
      <c r="C1680" s="1" t="n">
        <v>45574</v>
      </c>
      <c r="D1680" t="inlineStr">
        <is>
          <t>VÄSTERNORRLANDS LÄN</t>
        </is>
      </c>
      <c r="E1680" t="inlineStr">
        <is>
          <t>ÅNGE</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6691-2024</t>
        </is>
      </c>
      <c r="B1681" s="1" t="n">
        <v>45341</v>
      </c>
      <c r="C1681" s="1" t="n">
        <v>45574</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6735-2024</t>
        </is>
      </c>
      <c r="B1682" s="1" t="n">
        <v>45342</v>
      </c>
      <c r="C1682" s="1" t="n">
        <v>45574</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6892-2024</t>
        </is>
      </c>
      <c r="B1683" s="1" t="n">
        <v>45342</v>
      </c>
      <c r="C1683" s="1" t="n">
        <v>45574</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6995-2024</t>
        </is>
      </c>
      <c r="B1684" s="1" t="n">
        <v>45343</v>
      </c>
      <c r="C1684" s="1" t="n">
        <v>45574</v>
      </c>
      <c r="D1684" t="inlineStr">
        <is>
          <t>VÄSTERNORRLANDS LÄN</t>
        </is>
      </c>
      <c r="E1684" t="inlineStr">
        <is>
          <t>ÅNGE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7110-2024</t>
        </is>
      </c>
      <c r="B1685" s="1" t="n">
        <v>45343</v>
      </c>
      <c r="C1685" s="1" t="n">
        <v>45574</v>
      </c>
      <c r="D1685" t="inlineStr">
        <is>
          <t>VÄSTERNORRLANDS LÄN</t>
        </is>
      </c>
      <c r="E1685" t="inlineStr">
        <is>
          <t>ÅNGE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7300-2024</t>
        </is>
      </c>
      <c r="B1686" s="1" t="n">
        <v>45344</v>
      </c>
      <c r="C1686" s="1" t="n">
        <v>45574</v>
      </c>
      <c r="D1686" t="inlineStr">
        <is>
          <t>VÄSTERNORRLANDS LÄN</t>
        </is>
      </c>
      <c r="E1686" t="inlineStr">
        <is>
          <t>ÅNGE</t>
        </is>
      </c>
      <c r="F1686" t="inlineStr">
        <is>
          <t>SCA</t>
        </is>
      </c>
      <c r="G1686" t="n">
        <v>30.5</v>
      </c>
      <c r="H1686" t="n">
        <v>0</v>
      </c>
      <c r="I1686" t="n">
        <v>0</v>
      </c>
      <c r="J1686" t="n">
        <v>0</v>
      </c>
      <c r="K1686" t="n">
        <v>0</v>
      </c>
      <c r="L1686" t="n">
        <v>0</v>
      </c>
      <c r="M1686" t="n">
        <v>0</v>
      </c>
      <c r="N1686" t="n">
        <v>0</v>
      </c>
      <c r="O1686" t="n">
        <v>0</v>
      </c>
      <c r="P1686" t="n">
        <v>0</v>
      </c>
      <c r="Q1686" t="n">
        <v>0</v>
      </c>
      <c r="R1686" s="2" t="inlineStr"/>
    </row>
    <row r="1687" ht="15" customHeight="1">
      <c r="A1687" t="inlineStr">
        <is>
          <t>A 7692-2024</t>
        </is>
      </c>
      <c r="B1687" s="1" t="n">
        <v>45349</v>
      </c>
      <c r="C1687" s="1" t="n">
        <v>45574</v>
      </c>
      <c r="D1687" t="inlineStr">
        <is>
          <t>VÄSTERNORRLANDS LÄN</t>
        </is>
      </c>
      <c r="E1687" t="inlineStr">
        <is>
          <t>ÅNGE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8025-2024</t>
        </is>
      </c>
      <c r="B1688" s="1" t="n">
        <v>45350</v>
      </c>
      <c r="C1688" s="1" t="n">
        <v>45574</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8226-2024</t>
        </is>
      </c>
      <c r="B1689" s="1" t="n">
        <v>45351</v>
      </c>
      <c r="C1689" s="1" t="n">
        <v>45574</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8426-2024</t>
        </is>
      </c>
      <c r="B1690" s="1" t="n">
        <v>45353</v>
      </c>
      <c r="C1690" s="1" t="n">
        <v>45574</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8427-2024</t>
        </is>
      </c>
      <c r="B1691" s="1" t="n">
        <v>45353</v>
      </c>
      <c r="C1691" s="1" t="n">
        <v>45574</v>
      </c>
      <c r="D1691" t="inlineStr">
        <is>
          <t>VÄSTERNORRLANDS LÄN</t>
        </is>
      </c>
      <c r="E1691" t="inlineStr">
        <is>
          <t>ÅNGE</t>
        </is>
      </c>
      <c r="F1691" t="inlineStr">
        <is>
          <t>SCA</t>
        </is>
      </c>
      <c r="G1691" t="n">
        <v>32.3</v>
      </c>
      <c r="H1691" t="n">
        <v>0</v>
      </c>
      <c r="I1691" t="n">
        <v>0</v>
      </c>
      <c r="J1691" t="n">
        <v>0</v>
      </c>
      <c r="K1691" t="n">
        <v>0</v>
      </c>
      <c r="L1691" t="n">
        <v>0</v>
      </c>
      <c r="M1691" t="n">
        <v>0</v>
      </c>
      <c r="N1691" t="n">
        <v>0</v>
      </c>
      <c r="O1691" t="n">
        <v>0</v>
      </c>
      <c r="P1691" t="n">
        <v>0</v>
      </c>
      <c r="Q1691" t="n">
        <v>0</v>
      </c>
      <c r="R1691" s="2" t="inlineStr"/>
    </row>
    <row r="1692" ht="15" customHeight="1">
      <c r="A1692" t="inlineStr">
        <is>
          <t>A 8413-2024</t>
        </is>
      </c>
      <c r="B1692" s="1" t="n">
        <v>45352</v>
      </c>
      <c r="C1692" s="1" t="n">
        <v>45574</v>
      </c>
      <c r="D1692" t="inlineStr">
        <is>
          <t>VÄSTERNORRLANDS LÄN</t>
        </is>
      </c>
      <c r="E1692" t="inlineStr">
        <is>
          <t>ÅNGE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8425-2024</t>
        </is>
      </c>
      <c r="B1693" s="1" t="n">
        <v>45353</v>
      </c>
      <c r="C1693" s="1" t="n">
        <v>45574</v>
      </c>
      <c r="D1693" t="inlineStr">
        <is>
          <t>VÄSTERNORRLANDS LÄN</t>
        </is>
      </c>
      <c r="E1693" t="inlineStr">
        <is>
          <t>ÅNGE</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8435-2024</t>
        </is>
      </c>
      <c r="B1694" s="1" t="n">
        <v>45353</v>
      </c>
      <c r="C1694" s="1" t="n">
        <v>45574</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8647-2024</t>
        </is>
      </c>
      <c r="B1695" s="1" t="n">
        <v>45356</v>
      </c>
      <c r="C1695" s="1" t="n">
        <v>45574</v>
      </c>
      <c r="D1695" t="inlineStr">
        <is>
          <t>VÄSTERNORRLANDS LÄN</t>
        </is>
      </c>
      <c r="E1695" t="inlineStr">
        <is>
          <t>ÅNGE</t>
        </is>
      </c>
      <c r="F1695" t="inlineStr">
        <is>
          <t>SCA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8651-2024</t>
        </is>
      </c>
      <c r="B1696" s="1" t="n">
        <v>45356</v>
      </c>
      <c r="C1696" s="1" t="n">
        <v>45574</v>
      </c>
      <c r="D1696" t="inlineStr">
        <is>
          <t>VÄSTERNORRLANDS LÄN</t>
        </is>
      </c>
      <c r="E1696" t="inlineStr">
        <is>
          <t>ÅNGE</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8650-2024</t>
        </is>
      </c>
      <c r="B1697" s="1" t="n">
        <v>45356</v>
      </c>
      <c r="C1697" s="1" t="n">
        <v>45574</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9116-2024</t>
        </is>
      </c>
      <c r="B1698" s="1" t="n">
        <v>45358</v>
      </c>
      <c r="C1698" s="1" t="n">
        <v>45574</v>
      </c>
      <c r="D1698" t="inlineStr">
        <is>
          <t>VÄSTERNORRLANDS LÄN</t>
        </is>
      </c>
      <c r="E1698" t="inlineStr">
        <is>
          <t>ÅNGE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9117-2024</t>
        </is>
      </c>
      <c r="B1699" s="1" t="n">
        <v>45358</v>
      </c>
      <c r="C1699" s="1" t="n">
        <v>45574</v>
      </c>
      <c r="D1699" t="inlineStr">
        <is>
          <t>VÄSTERNORRLANDS LÄN</t>
        </is>
      </c>
      <c r="E1699" t="inlineStr">
        <is>
          <t>ÅNGE</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9115-2024</t>
        </is>
      </c>
      <c r="B1700" s="1" t="n">
        <v>45358</v>
      </c>
      <c r="C1700" s="1" t="n">
        <v>45574</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9345-2024</t>
        </is>
      </c>
      <c r="B1701" s="1" t="n">
        <v>45359</v>
      </c>
      <c r="C1701" s="1" t="n">
        <v>45574</v>
      </c>
      <c r="D1701" t="inlineStr">
        <is>
          <t>VÄSTERNORRLANDS LÄN</t>
        </is>
      </c>
      <c r="E1701" t="inlineStr">
        <is>
          <t>ÅNGE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9344-2024</t>
        </is>
      </c>
      <c r="B1702" s="1" t="n">
        <v>45359</v>
      </c>
      <c r="C1702" s="1" t="n">
        <v>45574</v>
      </c>
      <c r="D1702" t="inlineStr">
        <is>
          <t>VÄSTERNORRLANDS LÄN</t>
        </is>
      </c>
      <c r="E1702" t="inlineStr">
        <is>
          <t>ÅNGE</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9475-2024</t>
        </is>
      </c>
      <c r="B1703" s="1" t="n">
        <v>45359</v>
      </c>
      <c r="C1703" s="1" t="n">
        <v>45574</v>
      </c>
      <c r="D1703" t="inlineStr">
        <is>
          <t>VÄSTERNORRLANDS LÄN</t>
        </is>
      </c>
      <c r="E1703" t="inlineStr">
        <is>
          <t>ÅNGE</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9567-2024</t>
        </is>
      </c>
      <c r="B1704" s="1" t="n">
        <v>45360</v>
      </c>
      <c r="C1704" s="1" t="n">
        <v>45574</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9568-2024</t>
        </is>
      </c>
      <c r="B1705" s="1" t="n">
        <v>45360</v>
      </c>
      <c r="C1705" s="1" t="n">
        <v>45574</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9566-2024</t>
        </is>
      </c>
      <c r="B1706" s="1" t="n">
        <v>45360</v>
      </c>
      <c r="C1706" s="1" t="n">
        <v>45574</v>
      </c>
      <c r="D1706" t="inlineStr">
        <is>
          <t>VÄSTERNORRLANDS LÄN</t>
        </is>
      </c>
      <c r="E1706" t="inlineStr">
        <is>
          <t>ÅNGE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9759-2024</t>
        </is>
      </c>
      <c r="B1707" s="1" t="n">
        <v>45362</v>
      </c>
      <c r="C1707" s="1" t="n">
        <v>45574</v>
      </c>
      <c r="D1707" t="inlineStr">
        <is>
          <t>VÄSTERNORRLANDS LÄN</t>
        </is>
      </c>
      <c r="E1707" t="inlineStr">
        <is>
          <t>ÅNGE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10023-2024</t>
        </is>
      </c>
      <c r="B1708" s="1" t="n">
        <v>45364</v>
      </c>
      <c r="C1708" s="1" t="n">
        <v>45574</v>
      </c>
      <c r="D1708" t="inlineStr">
        <is>
          <t>VÄSTERNORRLANDS LÄN</t>
        </is>
      </c>
      <c r="E1708" t="inlineStr">
        <is>
          <t>ÅNGE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10195-2024</t>
        </is>
      </c>
      <c r="B1709" s="1" t="n">
        <v>45364</v>
      </c>
      <c r="C1709" s="1" t="n">
        <v>45574</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10199-2024</t>
        </is>
      </c>
      <c r="B1710" s="1" t="n">
        <v>45364</v>
      </c>
      <c r="C1710" s="1" t="n">
        <v>45574</v>
      </c>
      <c r="D1710" t="inlineStr">
        <is>
          <t>VÄSTERNORRLANDS LÄN</t>
        </is>
      </c>
      <c r="E1710" t="inlineStr">
        <is>
          <t>ÅNGE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10198-2024</t>
        </is>
      </c>
      <c r="B1711" s="1" t="n">
        <v>45364</v>
      </c>
      <c r="C1711" s="1" t="n">
        <v>45574</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10202-2024</t>
        </is>
      </c>
      <c r="B1712" s="1" t="n">
        <v>45364</v>
      </c>
      <c r="C1712" s="1" t="n">
        <v>45574</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10781-2024</t>
        </is>
      </c>
      <c r="B1713" s="1" t="n">
        <v>45369</v>
      </c>
      <c r="C1713" s="1" t="n">
        <v>45574</v>
      </c>
      <c r="D1713" t="inlineStr">
        <is>
          <t>VÄSTERNORRLANDS LÄN</t>
        </is>
      </c>
      <c r="E1713" t="inlineStr">
        <is>
          <t>ÅNGE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10878-2024</t>
        </is>
      </c>
      <c r="B1714" s="1" t="n">
        <v>45370</v>
      </c>
      <c r="C1714" s="1" t="n">
        <v>45574</v>
      </c>
      <c r="D1714" t="inlineStr">
        <is>
          <t>VÄSTERNORRLANDS LÄN</t>
        </is>
      </c>
      <c r="E1714" t="inlineStr">
        <is>
          <t>ÅNGE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10914-2024</t>
        </is>
      </c>
      <c r="B1715" s="1" t="n">
        <v>45370</v>
      </c>
      <c r="C1715" s="1" t="n">
        <v>45574</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10922-2024</t>
        </is>
      </c>
      <c r="B1716" s="1" t="n">
        <v>45370</v>
      </c>
      <c r="C1716" s="1" t="n">
        <v>45574</v>
      </c>
      <c r="D1716" t="inlineStr">
        <is>
          <t>VÄSTERNORRLANDS LÄN</t>
        </is>
      </c>
      <c r="E1716" t="inlineStr">
        <is>
          <t>ÅNGE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10917-2024</t>
        </is>
      </c>
      <c r="B1717" s="1" t="n">
        <v>45370</v>
      </c>
      <c r="C1717" s="1" t="n">
        <v>45574</v>
      </c>
      <c r="D1717" t="inlineStr">
        <is>
          <t>VÄSTERNORRLANDS LÄN</t>
        </is>
      </c>
      <c r="E1717" t="inlineStr">
        <is>
          <t>ÅNGE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10919-2024</t>
        </is>
      </c>
      <c r="B1718" s="1" t="n">
        <v>45370</v>
      </c>
      <c r="C1718" s="1" t="n">
        <v>45574</v>
      </c>
      <c r="D1718" t="inlineStr">
        <is>
          <t>VÄSTERNORRLANDS LÄN</t>
        </is>
      </c>
      <c r="E1718" t="inlineStr">
        <is>
          <t>ÅNGE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11088-2024</t>
        </is>
      </c>
      <c r="B1719" s="1" t="n">
        <v>45370</v>
      </c>
      <c r="C1719" s="1" t="n">
        <v>45574</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11339-2024</t>
        </is>
      </c>
      <c r="B1720" s="1" t="n">
        <v>45372</v>
      </c>
      <c r="C1720" s="1" t="n">
        <v>45574</v>
      </c>
      <c r="D1720" t="inlineStr">
        <is>
          <t>VÄSTERNORRLANDS LÄN</t>
        </is>
      </c>
      <c r="E1720" t="inlineStr">
        <is>
          <t>ÅNGE</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45574</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11548-2024</t>
        </is>
      </c>
      <c r="B1722" s="1" t="n">
        <v>45372</v>
      </c>
      <c r="C1722" s="1" t="n">
        <v>45574</v>
      </c>
      <c r="D1722" t="inlineStr">
        <is>
          <t>VÄSTERNORRLANDS LÄN</t>
        </is>
      </c>
      <c r="E1722" t="inlineStr">
        <is>
          <t>ÅNGE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11764-2024</t>
        </is>
      </c>
      <c r="B1723" s="1" t="n">
        <v>45373</v>
      </c>
      <c r="C1723" s="1" t="n">
        <v>45574</v>
      </c>
      <c r="D1723" t="inlineStr">
        <is>
          <t>VÄSTERNORRLANDS LÄN</t>
        </is>
      </c>
      <c r="E1723" t="inlineStr">
        <is>
          <t>ÅNGE</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12123-2024</t>
        </is>
      </c>
      <c r="B1724" s="1" t="n">
        <v>45377</v>
      </c>
      <c r="C1724" s="1" t="n">
        <v>45574</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12581-2024</t>
        </is>
      </c>
      <c r="B1725" s="1" t="n">
        <v>45379</v>
      </c>
      <c r="C1725" s="1" t="n">
        <v>45574</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12794-2024</t>
        </is>
      </c>
      <c r="B1726" s="1" t="n">
        <v>45384</v>
      </c>
      <c r="C1726" s="1" t="n">
        <v>45574</v>
      </c>
      <c r="D1726" t="inlineStr">
        <is>
          <t>VÄSTERNORRLANDS LÄN</t>
        </is>
      </c>
      <c r="E1726" t="inlineStr">
        <is>
          <t>ÅNGE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13088-2024</t>
        </is>
      </c>
      <c r="B1727" s="1" t="n">
        <v>45385</v>
      </c>
      <c r="C1727" s="1" t="n">
        <v>45574</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13096-2024</t>
        </is>
      </c>
      <c r="B1728" s="1" t="n">
        <v>45385</v>
      </c>
      <c r="C1728" s="1" t="n">
        <v>45574</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13091-2024</t>
        </is>
      </c>
      <c r="B1729" s="1" t="n">
        <v>45385</v>
      </c>
      <c r="C1729" s="1" t="n">
        <v>45574</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13056-2024</t>
        </is>
      </c>
      <c r="B1730" s="1" t="n">
        <v>45385</v>
      </c>
      <c r="C1730" s="1" t="n">
        <v>45574</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13101-2024</t>
        </is>
      </c>
      <c r="B1731" s="1" t="n">
        <v>45385</v>
      </c>
      <c r="C1731" s="1" t="n">
        <v>45574</v>
      </c>
      <c r="D1731" t="inlineStr">
        <is>
          <t>VÄSTERNORRLANDS LÄN</t>
        </is>
      </c>
      <c r="E1731" t="inlineStr">
        <is>
          <t>ÅNGE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13128-2024</t>
        </is>
      </c>
      <c r="B1732" s="1" t="n">
        <v>45386</v>
      </c>
      <c r="C1732" s="1" t="n">
        <v>45574</v>
      </c>
      <c r="D1732" t="inlineStr">
        <is>
          <t>VÄSTERNORRLANDS LÄN</t>
        </is>
      </c>
      <c r="E1732" t="inlineStr">
        <is>
          <t>ÅNGE</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13759-2024</t>
        </is>
      </c>
      <c r="B1733" s="1" t="n">
        <v>45390</v>
      </c>
      <c r="C1733" s="1" t="n">
        <v>45574</v>
      </c>
      <c r="D1733" t="inlineStr">
        <is>
          <t>VÄSTERNORRLANDS LÄN</t>
        </is>
      </c>
      <c r="E1733" t="inlineStr">
        <is>
          <t>ÅNGE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13761-2024</t>
        </is>
      </c>
      <c r="B1734" s="1" t="n">
        <v>45390</v>
      </c>
      <c r="C1734" s="1" t="n">
        <v>45574</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13765-2024</t>
        </is>
      </c>
      <c r="B1735" s="1" t="n">
        <v>45390</v>
      </c>
      <c r="C1735" s="1" t="n">
        <v>45574</v>
      </c>
      <c r="D1735" t="inlineStr">
        <is>
          <t>VÄSTERNORRLANDS LÄN</t>
        </is>
      </c>
      <c r="E1735" t="inlineStr">
        <is>
          <t>ÅNGE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13769-2024</t>
        </is>
      </c>
      <c r="B1736" s="1" t="n">
        <v>45390</v>
      </c>
      <c r="C1736" s="1" t="n">
        <v>45574</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13773-2024</t>
        </is>
      </c>
      <c r="B1737" s="1" t="n">
        <v>45391</v>
      </c>
      <c r="C1737" s="1" t="n">
        <v>45574</v>
      </c>
      <c r="D1737" t="inlineStr">
        <is>
          <t>VÄSTERNORRLANDS LÄN</t>
        </is>
      </c>
      <c r="E1737" t="inlineStr">
        <is>
          <t>ÅNGE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13760-2024</t>
        </is>
      </c>
      <c r="B1738" s="1" t="n">
        <v>45390</v>
      </c>
      <c r="C1738" s="1" t="n">
        <v>45574</v>
      </c>
      <c r="D1738" t="inlineStr">
        <is>
          <t>VÄSTERNORRLANDS LÄN</t>
        </is>
      </c>
      <c r="E1738" t="inlineStr">
        <is>
          <t>ÅNGE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13764-2024</t>
        </is>
      </c>
      <c r="B1739" s="1" t="n">
        <v>45390</v>
      </c>
      <c r="C1739" s="1" t="n">
        <v>45574</v>
      </c>
      <c r="D1739" t="inlineStr">
        <is>
          <t>VÄSTERNORRLANDS LÄN</t>
        </is>
      </c>
      <c r="E1739" t="inlineStr">
        <is>
          <t>ÅNGE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13772-2024</t>
        </is>
      </c>
      <c r="B1740" s="1" t="n">
        <v>45391</v>
      </c>
      <c r="C1740" s="1" t="n">
        <v>45574</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13771-2024</t>
        </is>
      </c>
      <c r="B1741" s="1" t="n">
        <v>45391</v>
      </c>
      <c r="C1741" s="1" t="n">
        <v>45574</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14199-2024</t>
        </is>
      </c>
      <c r="B1742" s="1" t="n">
        <v>45393</v>
      </c>
      <c r="C1742" s="1" t="n">
        <v>45574</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14829-2024</t>
        </is>
      </c>
      <c r="B1743" s="1" t="n">
        <v>45397</v>
      </c>
      <c r="C1743" s="1" t="n">
        <v>45574</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14856-2024</t>
        </is>
      </c>
      <c r="B1744" s="1" t="n">
        <v>45398</v>
      </c>
      <c r="C1744" s="1" t="n">
        <v>45574</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15157-2024</t>
        </is>
      </c>
      <c r="B1745" s="1" t="n">
        <v>45400</v>
      </c>
      <c r="C1745" s="1" t="n">
        <v>45574</v>
      </c>
      <c r="D1745" t="inlineStr">
        <is>
          <t>VÄSTERNORRLANDS LÄN</t>
        </is>
      </c>
      <c r="E1745" t="inlineStr">
        <is>
          <t>ÅNGE</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15369-2024</t>
        </is>
      </c>
      <c r="B1746" s="1" t="n">
        <v>45401</v>
      </c>
      <c r="C1746" s="1" t="n">
        <v>45574</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15367-2024</t>
        </is>
      </c>
      <c r="B1747" s="1" t="n">
        <v>45401</v>
      </c>
      <c r="C1747" s="1" t="n">
        <v>45574</v>
      </c>
      <c r="D1747" t="inlineStr">
        <is>
          <t>VÄSTERNORRLANDS LÄN</t>
        </is>
      </c>
      <c r="E1747" t="inlineStr">
        <is>
          <t>ÅNGE</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15368-2024</t>
        </is>
      </c>
      <c r="B1748" s="1" t="n">
        <v>45401</v>
      </c>
      <c r="C1748" s="1" t="n">
        <v>45574</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15603-2024</t>
        </is>
      </c>
      <c r="B1749" s="1" t="n">
        <v>45402</v>
      </c>
      <c r="C1749" s="1" t="n">
        <v>45574</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15630-2024</t>
        </is>
      </c>
      <c r="B1750" s="1" t="n">
        <v>45403</v>
      </c>
      <c r="C1750" s="1" t="n">
        <v>45574</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15860-2024</t>
        </is>
      </c>
      <c r="B1751" s="1" t="n">
        <v>45405</v>
      </c>
      <c r="C1751" s="1" t="n">
        <v>45574</v>
      </c>
      <c r="D1751" t="inlineStr">
        <is>
          <t>VÄSTERNORRLANDS LÄN</t>
        </is>
      </c>
      <c r="E1751" t="inlineStr">
        <is>
          <t>ÅNGE</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16045-2024</t>
        </is>
      </c>
      <c r="B1752" s="1" t="n">
        <v>45405</v>
      </c>
      <c r="C1752" s="1" t="n">
        <v>45574</v>
      </c>
      <c r="D1752" t="inlineStr">
        <is>
          <t>VÄSTERNORRLANDS LÄN</t>
        </is>
      </c>
      <c r="E1752" t="inlineStr">
        <is>
          <t>ÅNGE</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16243-2024</t>
        </is>
      </c>
      <c r="B1753" s="1" t="n">
        <v>45407</v>
      </c>
      <c r="C1753" s="1" t="n">
        <v>45574</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16694-2024</t>
        </is>
      </c>
      <c r="B1754" s="1" t="n">
        <v>45408</v>
      </c>
      <c r="C1754" s="1" t="n">
        <v>45574</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16460-2024</t>
        </is>
      </c>
      <c r="B1755" s="1" t="n">
        <v>45408</v>
      </c>
      <c r="C1755" s="1" t="n">
        <v>45574</v>
      </c>
      <c r="D1755" t="inlineStr">
        <is>
          <t>VÄSTERNORRLANDS LÄN</t>
        </is>
      </c>
      <c r="E1755" t="inlineStr">
        <is>
          <t>ÅNGE</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16695-2024</t>
        </is>
      </c>
      <c r="B1756" s="1" t="n">
        <v>45408</v>
      </c>
      <c r="C1756" s="1" t="n">
        <v>45574</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16706-2024</t>
        </is>
      </c>
      <c r="B1757" s="1" t="n">
        <v>45409</v>
      </c>
      <c r="C1757" s="1" t="n">
        <v>45574</v>
      </c>
      <c r="D1757" t="inlineStr">
        <is>
          <t>VÄSTERNORRLANDS LÄN</t>
        </is>
      </c>
      <c r="E1757" t="inlineStr">
        <is>
          <t>ÅNGE</t>
        </is>
      </c>
      <c r="F1757" t="inlineStr">
        <is>
          <t>SCA</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16718-2024</t>
        </is>
      </c>
      <c r="B1758" s="1" t="n">
        <v>45409</v>
      </c>
      <c r="C1758" s="1" t="n">
        <v>45574</v>
      </c>
      <c r="D1758" t="inlineStr">
        <is>
          <t>VÄSTERNORRLANDS LÄN</t>
        </is>
      </c>
      <c r="E1758" t="inlineStr">
        <is>
          <t>ÅNGE</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16705-2024</t>
        </is>
      </c>
      <c r="B1759" s="1" t="n">
        <v>45409</v>
      </c>
      <c r="C1759" s="1" t="n">
        <v>45574</v>
      </c>
      <c r="D1759" t="inlineStr">
        <is>
          <t>VÄSTERNORRLANDS LÄN</t>
        </is>
      </c>
      <c r="E1759" t="inlineStr">
        <is>
          <t>ÅNGE</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16915-2024</t>
        </is>
      </c>
      <c r="B1760" s="1" t="n">
        <v>45411</v>
      </c>
      <c r="C1760" s="1" t="n">
        <v>45574</v>
      </c>
      <c r="D1760" t="inlineStr">
        <is>
          <t>VÄSTERNORRLANDS LÄN</t>
        </is>
      </c>
      <c r="E1760" t="inlineStr">
        <is>
          <t>ÅNGE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16903-2024</t>
        </is>
      </c>
      <c r="B1761" s="1" t="n">
        <v>45411</v>
      </c>
      <c r="C1761" s="1" t="n">
        <v>45574</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16902-2024</t>
        </is>
      </c>
      <c r="B1762" s="1" t="n">
        <v>45411</v>
      </c>
      <c r="C1762" s="1" t="n">
        <v>45574</v>
      </c>
      <c r="D1762" t="inlineStr">
        <is>
          <t>VÄSTERNORRLANDS LÄN</t>
        </is>
      </c>
      <c r="E1762" t="inlineStr">
        <is>
          <t>ÅNGE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17171-2024</t>
        </is>
      </c>
      <c r="B1763" s="1" t="n">
        <v>45413</v>
      </c>
      <c r="C1763" s="1" t="n">
        <v>45574</v>
      </c>
      <c r="D1763" t="inlineStr">
        <is>
          <t>VÄSTERNORRLANDS LÄN</t>
        </is>
      </c>
      <c r="E1763" t="inlineStr">
        <is>
          <t>ÅNGE</t>
        </is>
      </c>
      <c r="F1763" t="inlineStr">
        <is>
          <t>SCA</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16978-2024</t>
        </is>
      </c>
      <c r="B1764" s="1" t="n">
        <v>45412</v>
      </c>
      <c r="C1764" s="1" t="n">
        <v>45574</v>
      </c>
      <c r="D1764" t="inlineStr">
        <is>
          <t>VÄSTERNORRLANDS LÄN</t>
        </is>
      </c>
      <c r="E1764" t="inlineStr">
        <is>
          <t>ÅNGE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17421-2024</t>
        </is>
      </c>
      <c r="B1765" s="1" t="n">
        <v>45415</v>
      </c>
      <c r="C1765" s="1" t="n">
        <v>45574</v>
      </c>
      <c r="D1765" t="inlineStr">
        <is>
          <t>VÄSTERNORRLANDS LÄN</t>
        </is>
      </c>
      <c r="E1765" t="inlineStr">
        <is>
          <t>ÅNGE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17601-2024</t>
        </is>
      </c>
      <c r="B1766" s="1" t="n">
        <v>45415</v>
      </c>
      <c r="C1766" s="1" t="n">
        <v>45574</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17605-2024</t>
        </is>
      </c>
      <c r="B1767" s="1" t="n">
        <v>45415</v>
      </c>
      <c r="C1767" s="1" t="n">
        <v>45574</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17602-2024</t>
        </is>
      </c>
      <c r="B1768" s="1" t="n">
        <v>45415</v>
      </c>
      <c r="C1768" s="1" t="n">
        <v>45574</v>
      </c>
      <c r="D1768" t="inlineStr">
        <is>
          <t>VÄSTERNORRLANDS LÄN</t>
        </is>
      </c>
      <c r="E1768" t="inlineStr">
        <is>
          <t>ÅNGE</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17603-2024</t>
        </is>
      </c>
      <c r="B1769" s="1" t="n">
        <v>45415</v>
      </c>
      <c r="C1769" s="1" t="n">
        <v>45574</v>
      </c>
      <c r="D1769" t="inlineStr">
        <is>
          <t>VÄSTERNORRLANDS LÄN</t>
        </is>
      </c>
      <c r="E1769" t="inlineStr">
        <is>
          <t>ÅNGE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17604-2024</t>
        </is>
      </c>
      <c r="B1770" s="1" t="n">
        <v>45415</v>
      </c>
      <c r="C1770" s="1" t="n">
        <v>45574</v>
      </c>
      <c r="D1770" t="inlineStr">
        <is>
          <t>VÄSTERNORRLANDS LÄN</t>
        </is>
      </c>
      <c r="E1770" t="inlineStr">
        <is>
          <t>ÅNGE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17589-2024</t>
        </is>
      </c>
      <c r="B1771" s="1" t="n">
        <v>45416</v>
      </c>
      <c r="C1771" s="1" t="n">
        <v>45574</v>
      </c>
      <c r="D1771" t="inlineStr">
        <is>
          <t>VÄSTERNORRLANDS LÄN</t>
        </is>
      </c>
      <c r="E1771" t="inlineStr">
        <is>
          <t>ÅNGE</t>
        </is>
      </c>
      <c r="F1771" t="inlineStr">
        <is>
          <t>SCA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17819-2024</t>
        </is>
      </c>
      <c r="B1772" s="1" t="n">
        <v>45419</v>
      </c>
      <c r="C1772" s="1" t="n">
        <v>45574</v>
      </c>
      <c r="D1772" t="inlineStr">
        <is>
          <t>VÄSTERNORRLANDS LÄN</t>
        </is>
      </c>
      <c r="E1772" t="inlineStr">
        <is>
          <t>ÅNGE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18002-2024</t>
        </is>
      </c>
      <c r="B1773" s="1" t="n">
        <v>45420</v>
      </c>
      <c r="C1773" s="1" t="n">
        <v>45574</v>
      </c>
      <c r="D1773" t="inlineStr">
        <is>
          <t>VÄSTERNORRLANDS LÄN</t>
        </is>
      </c>
      <c r="E1773" t="inlineStr">
        <is>
          <t>ÅNGE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18619-2024</t>
        </is>
      </c>
      <c r="B1774" s="1" t="n">
        <v>45426</v>
      </c>
      <c r="C1774" s="1" t="n">
        <v>45574</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18617-2024</t>
        </is>
      </c>
      <c r="B1775" s="1" t="n">
        <v>45425</v>
      </c>
      <c r="C1775" s="1" t="n">
        <v>45574</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18639-2024</t>
        </is>
      </c>
      <c r="B1776" s="1" t="n">
        <v>45426</v>
      </c>
      <c r="C1776" s="1" t="n">
        <v>45574</v>
      </c>
      <c r="D1776" t="inlineStr">
        <is>
          <t>VÄSTERNORRLANDS LÄN</t>
        </is>
      </c>
      <c r="E1776" t="inlineStr">
        <is>
          <t>ÅNGE</t>
        </is>
      </c>
      <c r="F1776" t="inlineStr">
        <is>
          <t>SCA</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18456-2024</t>
        </is>
      </c>
      <c r="B1777" s="1" t="n">
        <v>45425</v>
      </c>
      <c r="C1777" s="1" t="n">
        <v>45574</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18632-2024</t>
        </is>
      </c>
      <c r="B1778" s="1" t="n">
        <v>45426</v>
      </c>
      <c r="C1778" s="1" t="n">
        <v>45574</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18666-2024</t>
        </is>
      </c>
      <c r="B1779" s="1" t="n">
        <v>45425</v>
      </c>
      <c r="C1779" s="1" t="n">
        <v>45574</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18618-2024</t>
        </is>
      </c>
      <c r="B1780" s="1" t="n">
        <v>45426</v>
      </c>
      <c r="C1780" s="1" t="n">
        <v>45574</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18878-2024</t>
        </is>
      </c>
      <c r="B1781" s="1" t="n">
        <v>45426</v>
      </c>
      <c r="C1781" s="1" t="n">
        <v>45574</v>
      </c>
      <c r="D1781" t="inlineStr">
        <is>
          <t>VÄSTERNORRLANDS LÄN</t>
        </is>
      </c>
      <c r="E1781" t="inlineStr">
        <is>
          <t>ÅNGE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18872-2024</t>
        </is>
      </c>
      <c r="B1782" s="1" t="n">
        <v>45427</v>
      </c>
      <c r="C1782" s="1" t="n">
        <v>45574</v>
      </c>
      <c r="D1782" t="inlineStr">
        <is>
          <t>VÄSTERNORRLANDS LÄN</t>
        </is>
      </c>
      <c r="E1782" t="inlineStr">
        <is>
          <t>ÅNGE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18880-2024</t>
        </is>
      </c>
      <c r="B1783" s="1" t="n">
        <v>45426</v>
      </c>
      <c r="C1783" s="1" t="n">
        <v>45574</v>
      </c>
      <c r="D1783" t="inlineStr">
        <is>
          <t>VÄSTERNORRLANDS LÄN</t>
        </is>
      </c>
      <c r="E1783" t="inlineStr">
        <is>
          <t>ÅNGE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18869-2024</t>
        </is>
      </c>
      <c r="B1784" s="1" t="n">
        <v>45426</v>
      </c>
      <c r="C1784" s="1" t="n">
        <v>45574</v>
      </c>
      <c r="D1784" t="inlineStr">
        <is>
          <t>VÄSTERNORRLANDS LÄN</t>
        </is>
      </c>
      <c r="E1784" t="inlineStr">
        <is>
          <t>ÅNGE</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18881-2024</t>
        </is>
      </c>
      <c r="B1785" s="1" t="n">
        <v>45427</v>
      </c>
      <c r="C1785" s="1" t="n">
        <v>45574</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18879-2024</t>
        </is>
      </c>
      <c r="B1786" s="1" t="n">
        <v>45426</v>
      </c>
      <c r="C1786" s="1" t="n">
        <v>45574</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19066-2024</t>
        </is>
      </c>
      <c r="B1787" s="1" t="n">
        <v>45427</v>
      </c>
      <c r="C1787" s="1" t="n">
        <v>45574</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19343-2024</t>
        </is>
      </c>
      <c r="B1788" s="1" t="n">
        <v>45428</v>
      </c>
      <c r="C1788" s="1" t="n">
        <v>45574</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19342-2024</t>
        </is>
      </c>
      <c r="B1789" s="1" t="n">
        <v>45428</v>
      </c>
      <c r="C1789" s="1" t="n">
        <v>45574</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19396-2024</t>
        </is>
      </c>
      <c r="B1790" s="1" t="n">
        <v>45428</v>
      </c>
      <c r="C1790" s="1" t="n">
        <v>45574</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19557-2024</t>
        </is>
      </c>
      <c r="B1791" s="1" t="n">
        <v>45429</v>
      </c>
      <c r="C1791" s="1" t="n">
        <v>45574</v>
      </c>
      <c r="D1791" t="inlineStr">
        <is>
          <t>VÄSTERNORRLANDS LÄN</t>
        </is>
      </c>
      <c r="E1791" t="inlineStr">
        <is>
          <t>ÅNGE</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20276-2024</t>
        </is>
      </c>
      <c r="B1792" s="1" t="n">
        <v>45435</v>
      </c>
      <c r="C1792" s="1" t="n">
        <v>45574</v>
      </c>
      <c r="D1792" t="inlineStr">
        <is>
          <t>VÄSTERNORRLANDS LÄN</t>
        </is>
      </c>
      <c r="E1792" t="inlineStr">
        <is>
          <t>ÅNGE</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20761-2024</t>
        </is>
      </c>
      <c r="B1793" s="1" t="n">
        <v>45436</v>
      </c>
      <c r="C1793" s="1" t="n">
        <v>45574</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20927-2024</t>
        </is>
      </c>
      <c r="B1794" s="1" t="n">
        <v>45439</v>
      </c>
      <c r="C1794" s="1" t="n">
        <v>45574</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20915-2024</t>
        </is>
      </c>
      <c r="B1795" s="1" t="n">
        <v>45439</v>
      </c>
      <c r="C1795" s="1" t="n">
        <v>45574</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20925-2024</t>
        </is>
      </c>
      <c r="B1796" s="1" t="n">
        <v>45439</v>
      </c>
      <c r="C1796" s="1" t="n">
        <v>45574</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20932-2024</t>
        </is>
      </c>
      <c r="B1797" s="1" t="n">
        <v>45439</v>
      </c>
      <c r="C1797" s="1" t="n">
        <v>45574</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21089-2024</t>
        </is>
      </c>
      <c r="B1798" s="1" t="n">
        <v>45440</v>
      </c>
      <c r="C1798" s="1" t="n">
        <v>45574</v>
      </c>
      <c r="D1798" t="inlineStr">
        <is>
          <t>VÄSTERNORRLANDS LÄN</t>
        </is>
      </c>
      <c r="E1798" t="inlineStr">
        <is>
          <t>ÅNGE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20815-2024</t>
        </is>
      </c>
      <c r="B1799" s="1" t="n">
        <v>45439</v>
      </c>
      <c r="C1799" s="1" t="n">
        <v>45574</v>
      </c>
      <c r="D1799" t="inlineStr">
        <is>
          <t>VÄSTERNORRLANDS LÄN</t>
        </is>
      </c>
      <c r="E1799" t="inlineStr">
        <is>
          <t>ÅNGE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21200-2024</t>
        </is>
      </c>
      <c r="B1800" s="1" t="n">
        <v>45440</v>
      </c>
      <c r="C1800" s="1" t="n">
        <v>45574</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21179-2024</t>
        </is>
      </c>
      <c r="B1801" s="1" t="n">
        <v>45440</v>
      </c>
      <c r="C1801" s="1" t="n">
        <v>45574</v>
      </c>
      <c r="D1801" t="inlineStr">
        <is>
          <t>VÄSTERNORRLANDS LÄN</t>
        </is>
      </c>
      <c r="E1801" t="inlineStr">
        <is>
          <t>ÅNGE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21151-2024</t>
        </is>
      </c>
      <c r="B1802" s="1" t="n">
        <v>45440</v>
      </c>
      <c r="C1802" s="1" t="n">
        <v>45574</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21387-2024</t>
        </is>
      </c>
      <c r="B1803" s="1" t="n">
        <v>45440</v>
      </c>
      <c r="C1803" s="1" t="n">
        <v>45574</v>
      </c>
      <c r="D1803" t="inlineStr">
        <is>
          <t>VÄSTERNORRLANDS LÄN</t>
        </is>
      </c>
      <c r="E1803" t="inlineStr">
        <is>
          <t>ÅNGE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21833-2024</t>
        </is>
      </c>
      <c r="B1804" s="1" t="n">
        <v>45442</v>
      </c>
      <c r="C1804" s="1" t="n">
        <v>45574</v>
      </c>
      <c r="D1804" t="inlineStr">
        <is>
          <t>VÄSTERNORRLANDS LÄN</t>
        </is>
      </c>
      <c r="E1804" t="inlineStr">
        <is>
          <t>ÅNGE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22122-2024</t>
        </is>
      </c>
      <c r="B1805" s="1" t="n">
        <v>45443</v>
      </c>
      <c r="C1805" s="1" t="n">
        <v>45574</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22463-2024</t>
        </is>
      </c>
      <c r="B1806" s="1" t="n">
        <v>45446</v>
      </c>
      <c r="C1806" s="1" t="n">
        <v>45574</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22187-2024</t>
        </is>
      </c>
      <c r="B1807" s="1" t="n">
        <v>45446</v>
      </c>
      <c r="C1807" s="1" t="n">
        <v>45574</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22465-2024</t>
        </is>
      </c>
      <c r="B1808" s="1" t="n">
        <v>45446</v>
      </c>
      <c r="C1808" s="1" t="n">
        <v>45574</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22461-2024</t>
        </is>
      </c>
      <c r="B1809" s="1" t="n">
        <v>45447</v>
      </c>
      <c r="C1809" s="1" t="n">
        <v>45574</v>
      </c>
      <c r="D1809" t="inlineStr">
        <is>
          <t>VÄSTERNORRLANDS LÄN</t>
        </is>
      </c>
      <c r="E1809" t="inlineStr">
        <is>
          <t>ÅNGE</t>
        </is>
      </c>
      <c r="F1809" t="inlineStr">
        <is>
          <t>SCA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22460-2024</t>
        </is>
      </c>
      <c r="B1810" s="1" t="n">
        <v>45446</v>
      </c>
      <c r="C1810" s="1" t="n">
        <v>45574</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22464-2024</t>
        </is>
      </c>
      <c r="B1811" s="1" t="n">
        <v>45447</v>
      </c>
      <c r="C1811" s="1" t="n">
        <v>45574</v>
      </c>
      <c r="D1811" t="inlineStr">
        <is>
          <t>VÄSTERNORRLANDS LÄN</t>
        </is>
      </c>
      <c r="E1811" t="inlineStr">
        <is>
          <t>ÅNGE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22679-2024</t>
        </is>
      </c>
      <c r="B1812" s="1" t="n">
        <v>45447</v>
      </c>
      <c r="C1812" s="1" t="n">
        <v>45574</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22678-2024</t>
        </is>
      </c>
      <c r="B1813" s="1" t="n">
        <v>45448</v>
      </c>
      <c r="C1813" s="1" t="n">
        <v>45574</v>
      </c>
      <c r="D1813" t="inlineStr">
        <is>
          <t>VÄSTERNORRLANDS LÄN</t>
        </is>
      </c>
      <c r="E1813" t="inlineStr">
        <is>
          <t>ÅNGE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22680-2024</t>
        </is>
      </c>
      <c r="B1814" s="1" t="n">
        <v>45448</v>
      </c>
      <c r="C1814" s="1" t="n">
        <v>45574</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22681-2024</t>
        </is>
      </c>
      <c r="B1815" s="1" t="n">
        <v>45447</v>
      </c>
      <c r="C1815" s="1" t="n">
        <v>45574</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22986-2024</t>
        </is>
      </c>
      <c r="B1816" s="1" t="n">
        <v>45450</v>
      </c>
      <c r="C1816" s="1" t="n">
        <v>45574</v>
      </c>
      <c r="D1816" t="inlineStr">
        <is>
          <t>VÄSTERNORRLANDS LÄN</t>
        </is>
      </c>
      <c r="E1816" t="inlineStr">
        <is>
          <t>ÅNGE</t>
        </is>
      </c>
      <c r="F1816" t="inlineStr">
        <is>
          <t>SCA</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22990-2024</t>
        </is>
      </c>
      <c r="B1817" s="1" t="n">
        <v>45450</v>
      </c>
      <c r="C1817" s="1" t="n">
        <v>45574</v>
      </c>
      <c r="D1817" t="inlineStr">
        <is>
          <t>VÄSTERNORRLANDS LÄN</t>
        </is>
      </c>
      <c r="E1817" t="inlineStr">
        <is>
          <t>ÅNGE</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22989-2024</t>
        </is>
      </c>
      <c r="B1818" s="1" t="n">
        <v>45450</v>
      </c>
      <c r="C1818" s="1" t="n">
        <v>45574</v>
      </c>
      <c r="D1818" t="inlineStr">
        <is>
          <t>VÄSTERNORRLANDS LÄN</t>
        </is>
      </c>
      <c r="E1818" t="inlineStr">
        <is>
          <t>ÅNGE</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22987-2024</t>
        </is>
      </c>
      <c r="B1819" s="1" t="n">
        <v>45450</v>
      </c>
      <c r="C1819" s="1" t="n">
        <v>45574</v>
      </c>
      <c r="D1819" t="inlineStr">
        <is>
          <t>VÄSTERNORRLANDS LÄN</t>
        </is>
      </c>
      <c r="E1819" t="inlineStr">
        <is>
          <t>ÅNGE</t>
        </is>
      </c>
      <c r="F1819" t="inlineStr">
        <is>
          <t>SCA</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22991-2024</t>
        </is>
      </c>
      <c r="B1820" s="1" t="n">
        <v>45450</v>
      </c>
      <c r="C1820" s="1" t="n">
        <v>45574</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22988-2024</t>
        </is>
      </c>
      <c r="B1821" s="1" t="n">
        <v>45450</v>
      </c>
      <c r="C1821" s="1" t="n">
        <v>45574</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22984-2024</t>
        </is>
      </c>
      <c r="B1822" s="1" t="n">
        <v>45450</v>
      </c>
      <c r="C1822" s="1" t="n">
        <v>45574</v>
      </c>
      <c r="D1822" t="inlineStr">
        <is>
          <t>VÄSTERNORRLANDS LÄN</t>
        </is>
      </c>
      <c r="E1822" t="inlineStr">
        <is>
          <t>ÅNGE</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23035-2024</t>
        </is>
      </c>
      <c r="B1823" s="1" t="n">
        <v>45450</v>
      </c>
      <c r="C1823" s="1" t="n">
        <v>45574</v>
      </c>
      <c r="D1823" t="inlineStr">
        <is>
          <t>VÄSTERNORRLANDS LÄN</t>
        </is>
      </c>
      <c r="E1823" t="inlineStr">
        <is>
          <t>ÅNGE</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23045-2024</t>
        </is>
      </c>
      <c r="B1824" s="1" t="n">
        <v>45450</v>
      </c>
      <c r="C1824" s="1" t="n">
        <v>45574</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23058-2024</t>
        </is>
      </c>
      <c r="B1825" s="1" t="n">
        <v>45450</v>
      </c>
      <c r="C1825" s="1" t="n">
        <v>45574</v>
      </c>
      <c r="D1825" t="inlineStr">
        <is>
          <t>VÄSTERNORRLANDS LÄN</t>
        </is>
      </c>
      <c r="E1825" t="inlineStr">
        <is>
          <t>ÅNGE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23063-2024</t>
        </is>
      </c>
      <c r="B1826" s="1" t="n">
        <v>45450</v>
      </c>
      <c r="C1826" s="1" t="n">
        <v>45574</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23069-2024</t>
        </is>
      </c>
      <c r="B1827" s="1" t="n">
        <v>45450</v>
      </c>
      <c r="C1827" s="1" t="n">
        <v>45574</v>
      </c>
      <c r="D1827" t="inlineStr">
        <is>
          <t>VÄSTERNORRLANDS LÄN</t>
        </is>
      </c>
      <c r="E1827" t="inlineStr">
        <is>
          <t>ÅNGE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23225-2024</t>
        </is>
      </c>
      <c r="B1828" s="1" t="n">
        <v>45453</v>
      </c>
      <c r="C1828" s="1" t="n">
        <v>45574</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23224-2024</t>
        </is>
      </c>
      <c r="B1829" s="1" t="n">
        <v>45452</v>
      </c>
      <c r="C1829" s="1" t="n">
        <v>45574</v>
      </c>
      <c r="D1829" t="inlineStr">
        <is>
          <t>VÄSTERNORRLANDS LÄN</t>
        </is>
      </c>
      <c r="E1829" t="inlineStr">
        <is>
          <t>ÅNGE</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23353-2024</t>
        </is>
      </c>
      <c r="B1830" s="1" t="n">
        <v>45453</v>
      </c>
      <c r="C1830" s="1" t="n">
        <v>45574</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23419-2024</t>
        </is>
      </c>
      <c r="B1831" s="1" t="n">
        <v>45453</v>
      </c>
      <c r="C1831" s="1" t="n">
        <v>45574</v>
      </c>
      <c r="D1831" t="inlineStr">
        <is>
          <t>VÄSTERNORRLANDS LÄN</t>
        </is>
      </c>
      <c r="E1831" t="inlineStr">
        <is>
          <t>ÅNGE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23933-2024</t>
        </is>
      </c>
      <c r="B1832" s="1" t="n">
        <v>45455</v>
      </c>
      <c r="C1832" s="1" t="n">
        <v>45574</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23961-2024</t>
        </is>
      </c>
      <c r="B1833" s="1" t="n">
        <v>45456</v>
      </c>
      <c r="C1833" s="1" t="n">
        <v>45574</v>
      </c>
      <c r="D1833" t="inlineStr">
        <is>
          <t>VÄSTERNORRLANDS LÄN</t>
        </is>
      </c>
      <c r="E1833" t="inlineStr">
        <is>
          <t>ÅNGE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24131-2024</t>
        </is>
      </c>
      <c r="B1834" s="1" t="n">
        <v>45456</v>
      </c>
      <c r="C1834" s="1" t="n">
        <v>45574</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24231-2024</t>
        </is>
      </c>
      <c r="B1835" s="1" t="n">
        <v>45457</v>
      </c>
      <c r="C1835" s="1" t="n">
        <v>45574</v>
      </c>
      <c r="D1835" t="inlineStr">
        <is>
          <t>VÄSTERNORRLANDS LÄN</t>
        </is>
      </c>
      <c r="E1835" t="inlineStr">
        <is>
          <t>ÅNGE</t>
        </is>
      </c>
      <c r="F1835" t="inlineStr">
        <is>
          <t>Sveaskog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24436-2024</t>
        </is>
      </c>
      <c r="B1836" s="1" t="n">
        <v>45458</v>
      </c>
      <c r="C1836" s="1" t="n">
        <v>45574</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24229-2024</t>
        </is>
      </c>
      <c r="B1837" s="1" t="n">
        <v>45457</v>
      </c>
      <c r="C1837" s="1" t="n">
        <v>45574</v>
      </c>
      <c r="D1837" t="inlineStr">
        <is>
          <t>VÄSTERNORRLANDS LÄN</t>
        </is>
      </c>
      <c r="E1837" t="inlineStr">
        <is>
          <t>ÅNGE</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24232-2024</t>
        </is>
      </c>
      <c r="B1838" s="1" t="n">
        <v>45457</v>
      </c>
      <c r="C1838" s="1" t="n">
        <v>45574</v>
      </c>
      <c r="D1838" t="inlineStr">
        <is>
          <t>VÄSTERNORRLANDS LÄN</t>
        </is>
      </c>
      <c r="E1838" t="inlineStr">
        <is>
          <t>ÅNGE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24498-2024</t>
        </is>
      </c>
      <c r="B1839" s="1" t="n">
        <v>45460</v>
      </c>
      <c r="C1839" s="1" t="n">
        <v>45574</v>
      </c>
      <c r="D1839" t="inlineStr">
        <is>
          <t>VÄSTERNORRLANDS LÄN</t>
        </is>
      </c>
      <c r="E1839" t="inlineStr">
        <is>
          <t>ÅNGE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24798-2024</t>
        </is>
      </c>
      <c r="B1840" s="1" t="n">
        <v>45461</v>
      </c>
      <c r="C1840" s="1" t="n">
        <v>45574</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24797-2024</t>
        </is>
      </c>
      <c r="B1841" s="1" t="n">
        <v>45461</v>
      </c>
      <c r="C1841" s="1" t="n">
        <v>45574</v>
      </c>
      <c r="D1841" t="inlineStr">
        <is>
          <t>VÄSTERNORRLANDS LÄN</t>
        </is>
      </c>
      <c r="E1841" t="inlineStr">
        <is>
          <t>ÅNGE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25033-2024</t>
        </is>
      </c>
      <c r="B1842" s="1" t="n">
        <v>45462</v>
      </c>
      <c r="C1842" s="1" t="n">
        <v>45574</v>
      </c>
      <c r="D1842" t="inlineStr">
        <is>
          <t>VÄSTERNORRLANDS LÄN</t>
        </is>
      </c>
      <c r="E1842" t="inlineStr">
        <is>
          <t>ÅNGE</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25025-2024</t>
        </is>
      </c>
      <c r="B1843" s="1" t="n">
        <v>45462</v>
      </c>
      <c r="C1843" s="1" t="n">
        <v>45574</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25376-2024</t>
        </is>
      </c>
      <c r="B1844" s="1" t="n">
        <v>45463</v>
      </c>
      <c r="C1844" s="1" t="n">
        <v>45574</v>
      </c>
      <c r="D1844" t="inlineStr">
        <is>
          <t>VÄSTERNORRLANDS LÄN</t>
        </is>
      </c>
      <c r="E1844" t="inlineStr">
        <is>
          <t>ÅNGE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25377-2024</t>
        </is>
      </c>
      <c r="B1845" s="1" t="n">
        <v>45463</v>
      </c>
      <c r="C1845" s="1" t="n">
        <v>45574</v>
      </c>
      <c r="D1845" t="inlineStr">
        <is>
          <t>VÄSTERNORRLANDS LÄN</t>
        </is>
      </c>
      <c r="E1845" t="inlineStr">
        <is>
          <t>ÅNGE</t>
        </is>
      </c>
      <c r="F1845" t="inlineStr">
        <is>
          <t>SCA</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25700-2024</t>
        </is>
      </c>
      <c r="B1846" s="1" t="n">
        <v>45463</v>
      </c>
      <c r="C1846" s="1" t="n">
        <v>45574</v>
      </c>
      <c r="D1846" t="inlineStr">
        <is>
          <t>VÄSTERNORRLANDS LÄN</t>
        </is>
      </c>
      <c r="E1846" t="inlineStr">
        <is>
          <t>ÅNGE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25867-2024</t>
        </is>
      </c>
      <c r="B1847" s="1" t="n">
        <v>45463</v>
      </c>
      <c r="C1847" s="1" t="n">
        <v>45574</v>
      </c>
      <c r="D1847" t="inlineStr">
        <is>
          <t>VÄSTERNORRLANDS LÄN</t>
        </is>
      </c>
      <c r="E1847" t="inlineStr">
        <is>
          <t>ÅNGE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26013-2024</t>
        </is>
      </c>
      <c r="B1848" s="1" t="n">
        <v>45467</v>
      </c>
      <c r="C1848" s="1" t="n">
        <v>45574</v>
      </c>
      <c r="D1848" t="inlineStr">
        <is>
          <t>VÄSTERNORRLANDS LÄN</t>
        </is>
      </c>
      <c r="E1848" t="inlineStr">
        <is>
          <t>ÅNGE</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26017-2024</t>
        </is>
      </c>
      <c r="B1849" s="1" t="n">
        <v>45468</v>
      </c>
      <c r="C1849" s="1" t="n">
        <v>45574</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26021-2024</t>
        </is>
      </c>
      <c r="B1850" s="1" t="n">
        <v>45467</v>
      </c>
      <c r="C1850" s="1" t="n">
        <v>45574</v>
      </c>
      <c r="D1850" t="inlineStr">
        <is>
          <t>VÄSTERNORRLANDS LÄN</t>
        </is>
      </c>
      <c r="E1850" t="inlineStr">
        <is>
          <t>ÅNGE</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26010-2024</t>
        </is>
      </c>
      <c r="B1851" s="1" t="n">
        <v>45468</v>
      </c>
      <c r="C1851" s="1" t="n">
        <v>45574</v>
      </c>
      <c r="D1851" t="inlineStr">
        <is>
          <t>VÄSTERNORRLANDS LÄN</t>
        </is>
      </c>
      <c r="E1851" t="inlineStr">
        <is>
          <t>ÅNGE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26011-2024</t>
        </is>
      </c>
      <c r="B1852" s="1" t="n">
        <v>45468</v>
      </c>
      <c r="C1852" s="1" t="n">
        <v>45574</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26015-2024</t>
        </is>
      </c>
      <c r="B1853" s="1" t="n">
        <v>45468</v>
      </c>
      <c r="C1853" s="1" t="n">
        <v>45574</v>
      </c>
      <c r="D1853" t="inlineStr">
        <is>
          <t>VÄSTERNORRLANDS LÄN</t>
        </is>
      </c>
      <c r="E1853" t="inlineStr">
        <is>
          <t>ÅNGE</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26019-2024</t>
        </is>
      </c>
      <c r="B1854" s="1" t="n">
        <v>45468</v>
      </c>
      <c r="C1854" s="1" t="n">
        <v>45574</v>
      </c>
      <c r="D1854" t="inlineStr">
        <is>
          <t>VÄSTERNORRLANDS LÄN</t>
        </is>
      </c>
      <c r="E1854" t="inlineStr">
        <is>
          <t>ÅNGE</t>
        </is>
      </c>
      <c r="F1854" t="inlineStr">
        <is>
          <t>SCA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26012-2024</t>
        </is>
      </c>
      <c r="B1855" s="1" t="n">
        <v>45467</v>
      </c>
      <c r="C1855" s="1" t="n">
        <v>45574</v>
      </c>
      <c r="D1855" t="inlineStr">
        <is>
          <t>VÄSTERNORRLANDS LÄN</t>
        </is>
      </c>
      <c r="E1855" t="inlineStr">
        <is>
          <t>ÅNGE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26016-2024</t>
        </is>
      </c>
      <c r="B1856" s="1" t="n">
        <v>45467</v>
      </c>
      <c r="C1856" s="1" t="n">
        <v>45574</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26014-2024</t>
        </is>
      </c>
      <c r="B1857" s="1" t="n">
        <v>45468</v>
      </c>
      <c r="C1857" s="1" t="n">
        <v>45574</v>
      </c>
      <c r="D1857" t="inlineStr">
        <is>
          <t>VÄSTERNORRLANDS LÄN</t>
        </is>
      </c>
      <c r="E1857" t="inlineStr">
        <is>
          <t>ÅNGE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26018-2024</t>
        </is>
      </c>
      <c r="B1858" s="1" t="n">
        <v>45468</v>
      </c>
      <c r="C1858" s="1" t="n">
        <v>45574</v>
      </c>
      <c r="D1858" t="inlineStr">
        <is>
          <t>VÄSTERNORRLANDS LÄN</t>
        </is>
      </c>
      <c r="E1858" t="inlineStr">
        <is>
          <t>ÅNGE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26321-2024</t>
        </is>
      </c>
      <c r="B1859" s="1" t="n">
        <v>45468</v>
      </c>
      <c r="C1859" s="1" t="n">
        <v>45574</v>
      </c>
      <c r="D1859" t="inlineStr">
        <is>
          <t>VÄSTERNORRLANDS LÄN</t>
        </is>
      </c>
      <c r="E1859" t="inlineStr">
        <is>
          <t>ÅNGE</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26641-2024</t>
        </is>
      </c>
      <c r="B1860" s="1" t="n">
        <v>45470</v>
      </c>
      <c r="C1860" s="1" t="n">
        <v>45574</v>
      </c>
      <c r="D1860" t="inlineStr">
        <is>
          <t>VÄSTERNORRLANDS LÄN</t>
        </is>
      </c>
      <c r="E1860" t="inlineStr">
        <is>
          <t>ÅNGE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26424-2024</t>
        </is>
      </c>
      <c r="B1861" s="1" t="n">
        <v>45469</v>
      </c>
      <c r="C1861" s="1" t="n">
        <v>45574</v>
      </c>
      <c r="D1861" t="inlineStr">
        <is>
          <t>VÄSTERNORRLANDS LÄN</t>
        </is>
      </c>
      <c r="E1861" t="inlineStr">
        <is>
          <t>ÅNGE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26490-2024</t>
        </is>
      </c>
      <c r="B1862" s="1" t="n">
        <v>45469</v>
      </c>
      <c r="C1862" s="1" t="n">
        <v>45574</v>
      </c>
      <c r="D1862" t="inlineStr">
        <is>
          <t>VÄSTERNORRLANDS LÄN</t>
        </is>
      </c>
      <c r="E1862" t="inlineStr">
        <is>
          <t>ÅNGE</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26639-2024</t>
        </is>
      </c>
      <c r="B1863" s="1" t="n">
        <v>45470</v>
      </c>
      <c r="C1863" s="1" t="n">
        <v>45574</v>
      </c>
      <c r="D1863" t="inlineStr">
        <is>
          <t>VÄSTERNORRLANDS LÄN</t>
        </is>
      </c>
      <c r="E1863" t="inlineStr">
        <is>
          <t>ÅNGE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26640-2024</t>
        </is>
      </c>
      <c r="B1864" s="1" t="n">
        <v>45470</v>
      </c>
      <c r="C1864" s="1" t="n">
        <v>45574</v>
      </c>
      <c r="D1864" t="inlineStr">
        <is>
          <t>VÄSTERNORRLANDS LÄN</t>
        </is>
      </c>
      <c r="E1864" t="inlineStr">
        <is>
          <t>ÅNGE</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26950-2024</t>
        </is>
      </c>
      <c r="B1865" s="1" t="n">
        <v>45470</v>
      </c>
      <c r="C1865" s="1" t="n">
        <v>45574</v>
      </c>
      <c r="D1865" t="inlineStr">
        <is>
          <t>VÄSTERNORRLANDS LÄN</t>
        </is>
      </c>
      <c r="E1865" t="inlineStr">
        <is>
          <t>ÅNGE</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26943-2024</t>
        </is>
      </c>
      <c r="B1866" s="1" t="n">
        <v>45470</v>
      </c>
      <c r="C1866" s="1" t="n">
        <v>45574</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26942-2024</t>
        </is>
      </c>
      <c r="B1867" s="1" t="n">
        <v>45470</v>
      </c>
      <c r="C1867" s="1" t="n">
        <v>45574</v>
      </c>
      <c r="D1867" t="inlineStr">
        <is>
          <t>VÄSTERNORRLANDS LÄN</t>
        </is>
      </c>
      <c r="E1867" t="inlineStr">
        <is>
          <t>ÅNGE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26951-2024</t>
        </is>
      </c>
      <c r="B1868" s="1" t="n">
        <v>45471</v>
      </c>
      <c r="C1868" s="1" t="n">
        <v>45574</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26952-2024</t>
        </is>
      </c>
      <c r="B1869" s="1" t="n">
        <v>45470</v>
      </c>
      <c r="C1869" s="1" t="n">
        <v>45574</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26957-2024</t>
        </is>
      </c>
      <c r="B1870" s="1" t="n">
        <v>45470</v>
      </c>
      <c r="C1870" s="1" t="n">
        <v>45574</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26945-2024</t>
        </is>
      </c>
      <c r="B1871" s="1" t="n">
        <v>45471</v>
      </c>
      <c r="C1871" s="1" t="n">
        <v>45574</v>
      </c>
      <c r="D1871" t="inlineStr">
        <is>
          <t>VÄSTERNORRLANDS LÄN</t>
        </is>
      </c>
      <c r="E1871" t="inlineStr">
        <is>
          <t>ÅNGE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27306-2024</t>
        </is>
      </c>
      <c r="B1872" s="1" t="n">
        <v>45472</v>
      </c>
      <c r="C1872" s="1" t="n">
        <v>45574</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27321-2024</t>
        </is>
      </c>
      <c r="B1873" s="1" t="n">
        <v>45471</v>
      </c>
      <c r="C1873" s="1" t="n">
        <v>45574</v>
      </c>
      <c r="D1873" t="inlineStr">
        <is>
          <t>VÄSTERNORRLANDS LÄN</t>
        </is>
      </c>
      <c r="E1873" t="inlineStr">
        <is>
          <t>ÅNGE</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27668-2024</t>
        </is>
      </c>
      <c r="B1874" s="1" t="n">
        <v>45475</v>
      </c>
      <c r="C1874" s="1" t="n">
        <v>45574</v>
      </c>
      <c r="D1874" t="inlineStr">
        <is>
          <t>VÄSTERNORRLANDS LÄN</t>
        </is>
      </c>
      <c r="E1874" t="inlineStr">
        <is>
          <t>ÅNGE</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27468-2024</t>
        </is>
      </c>
      <c r="B1875" s="1" t="n">
        <v>45474</v>
      </c>
      <c r="C1875" s="1" t="n">
        <v>45574</v>
      </c>
      <c r="D1875" t="inlineStr">
        <is>
          <t>VÄSTERNORRLANDS LÄN</t>
        </is>
      </c>
      <c r="E1875" t="inlineStr">
        <is>
          <t>ÅNGE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27461-2024</t>
        </is>
      </c>
      <c r="B1876" s="1" t="n">
        <v>45474</v>
      </c>
      <c r="C1876" s="1" t="n">
        <v>45574</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27630-2024</t>
        </is>
      </c>
      <c r="B1877" s="1" t="n">
        <v>45474</v>
      </c>
      <c r="C1877" s="1" t="n">
        <v>45574</v>
      </c>
      <c r="D1877" t="inlineStr">
        <is>
          <t>VÄSTERNORRLANDS LÄN</t>
        </is>
      </c>
      <c r="E1877" t="inlineStr">
        <is>
          <t>ÅNGE</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27629-2024</t>
        </is>
      </c>
      <c r="B1878" s="1" t="n">
        <v>45474</v>
      </c>
      <c r="C1878" s="1" t="n">
        <v>45574</v>
      </c>
      <c r="D1878" t="inlineStr">
        <is>
          <t>VÄSTERNORRLANDS LÄN</t>
        </is>
      </c>
      <c r="E1878" t="inlineStr">
        <is>
          <t>ÅNGE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27661-2024</t>
        </is>
      </c>
      <c r="B1879" s="1" t="n">
        <v>45475</v>
      </c>
      <c r="C1879" s="1" t="n">
        <v>45574</v>
      </c>
      <c r="D1879" t="inlineStr">
        <is>
          <t>VÄSTERNORRLANDS LÄN</t>
        </is>
      </c>
      <c r="E1879" t="inlineStr">
        <is>
          <t>ÅNGE</t>
        </is>
      </c>
      <c r="F1879" t="inlineStr">
        <is>
          <t>SCA</t>
        </is>
      </c>
      <c r="G1879" t="n">
        <v>19.1</v>
      </c>
      <c r="H1879" t="n">
        <v>0</v>
      </c>
      <c r="I1879" t="n">
        <v>0</v>
      </c>
      <c r="J1879" t="n">
        <v>0</v>
      </c>
      <c r="K1879" t="n">
        <v>0</v>
      </c>
      <c r="L1879" t="n">
        <v>0</v>
      </c>
      <c r="M1879" t="n">
        <v>0</v>
      </c>
      <c r="N1879" t="n">
        <v>0</v>
      </c>
      <c r="O1879" t="n">
        <v>0</v>
      </c>
      <c r="P1879" t="n">
        <v>0</v>
      </c>
      <c r="Q1879" t="n">
        <v>0</v>
      </c>
      <c r="R1879" s="2" t="inlineStr"/>
    </row>
    <row r="1880" ht="15" customHeight="1">
      <c r="A1880" t="inlineStr">
        <is>
          <t>A 27935-2024</t>
        </is>
      </c>
      <c r="B1880" s="1" t="n">
        <v>45475</v>
      </c>
      <c r="C1880" s="1" t="n">
        <v>45574</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27915-2024</t>
        </is>
      </c>
      <c r="B1881" s="1" t="n">
        <v>45475</v>
      </c>
      <c r="C1881" s="1" t="n">
        <v>45574</v>
      </c>
      <c r="D1881" t="inlineStr">
        <is>
          <t>VÄSTERNORRLANDS LÄN</t>
        </is>
      </c>
      <c r="E1881" t="inlineStr">
        <is>
          <t>ÅNGE</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27853-2024</t>
        </is>
      </c>
      <c r="B1882" s="1" t="n">
        <v>45475</v>
      </c>
      <c r="C1882" s="1" t="n">
        <v>45574</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28171-2024</t>
        </is>
      </c>
      <c r="B1883" s="1" t="n">
        <v>45477</v>
      </c>
      <c r="C1883" s="1" t="n">
        <v>45574</v>
      </c>
      <c r="D1883" t="inlineStr">
        <is>
          <t>VÄSTERNORRLANDS LÄN</t>
        </is>
      </c>
      <c r="E1883" t="inlineStr">
        <is>
          <t>ÅNGE</t>
        </is>
      </c>
      <c r="F1883" t="inlineStr">
        <is>
          <t>SCA</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27952-2024</t>
        </is>
      </c>
      <c r="B1884" s="1" t="n">
        <v>45476</v>
      </c>
      <c r="C1884" s="1" t="n">
        <v>45574</v>
      </c>
      <c r="D1884" t="inlineStr">
        <is>
          <t>VÄSTERNORRLANDS LÄN</t>
        </is>
      </c>
      <c r="E1884" t="inlineStr">
        <is>
          <t>ÅNGE</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28506-2024</t>
        </is>
      </c>
      <c r="B1885" s="1" t="n">
        <v>45478</v>
      </c>
      <c r="C1885" s="1" t="n">
        <v>45574</v>
      </c>
      <c r="D1885" t="inlineStr">
        <is>
          <t>VÄSTERNORRLANDS LÄN</t>
        </is>
      </c>
      <c r="E1885" t="inlineStr">
        <is>
          <t>ÅNGE</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28504-2024</t>
        </is>
      </c>
      <c r="B1886" s="1" t="n">
        <v>45477</v>
      </c>
      <c r="C1886" s="1" t="n">
        <v>45574</v>
      </c>
      <c r="D1886" t="inlineStr">
        <is>
          <t>VÄSTERNORRLANDS LÄN</t>
        </is>
      </c>
      <c r="E1886" t="inlineStr">
        <is>
          <t>ÅNGE</t>
        </is>
      </c>
      <c r="F1886" t="inlineStr">
        <is>
          <t>SCA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28873-2024</t>
        </is>
      </c>
      <c r="B1887" s="1" t="n">
        <v>45479</v>
      </c>
      <c r="C1887" s="1" t="n">
        <v>45574</v>
      </c>
      <c r="D1887" t="inlineStr">
        <is>
          <t>VÄSTERNORRLANDS LÄN</t>
        </is>
      </c>
      <c r="E1887" t="inlineStr">
        <is>
          <t>ÅNGE</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28604-2024</t>
        </is>
      </c>
      <c r="B1888" s="1" t="n">
        <v>45478</v>
      </c>
      <c r="C1888" s="1" t="n">
        <v>45574</v>
      </c>
      <c r="D1888" t="inlineStr">
        <is>
          <t>VÄSTERNORRLANDS LÄN</t>
        </is>
      </c>
      <c r="E1888" t="inlineStr">
        <is>
          <t>ÅNGE</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29088-2024</t>
        </is>
      </c>
      <c r="B1889" s="1" t="n">
        <v>45481</v>
      </c>
      <c r="C1889" s="1" t="n">
        <v>45574</v>
      </c>
      <c r="D1889" t="inlineStr">
        <is>
          <t>VÄSTERNORRLANDS LÄN</t>
        </is>
      </c>
      <c r="E1889" t="inlineStr">
        <is>
          <t>ÅNGE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29270-2024</t>
        </is>
      </c>
      <c r="B1890" s="1" t="n">
        <v>45483</v>
      </c>
      <c r="C1890" s="1" t="n">
        <v>45574</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29193-2024</t>
        </is>
      </c>
      <c r="B1891" s="1" t="n">
        <v>45482</v>
      </c>
      <c r="C1891" s="1" t="n">
        <v>45574</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29268-2024</t>
        </is>
      </c>
      <c r="B1892" s="1" t="n">
        <v>45482</v>
      </c>
      <c r="C1892" s="1" t="n">
        <v>45574</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29196-2024</t>
        </is>
      </c>
      <c r="B1893" s="1" t="n">
        <v>45482</v>
      </c>
      <c r="C1893" s="1" t="n">
        <v>45574</v>
      </c>
      <c r="D1893" t="inlineStr">
        <is>
          <t>VÄSTERNORRLANDS LÄN</t>
        </is>
      </c>
      <c r="E1893" t="inlineStr">
        <is>
          <t>ÅNGE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29251-2024</t>
        </is>
      </c>
      <c r="B1894" s="1" t="n">
        <v>45483</v>
      </c>
      <c r="C1894" s="1" t="n">
        <v>45574</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29259-2024</t>
        </is>
      </c>
      <c r="B1895" s="1" t="n">
        <v>45483</v>
      </c>
      <c r="C1895" s="1" t="n">
        <v>45574</v>
      </c>
      <c r="D1895" t="inlineStr">
        <is>
          <t>VÄSTERNORRLANDS LÄN</t>
        </is>
      </c>
      <c r="E1895" t="inlineStr">
        <is>
          <t>ÅNGE</t>
        </is>
      </c>
      <c r="F1895" t="inlineStr">
        <is>
          <t>SCA</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29271-2024</t>
        </is>
      </c>
      <c r="B1896" s="1" t="n">
        <v>45482</v>
      </c>
      <c r="C1896" s="1" t="n">
        <v>45574</v>
      </c>
      <c r="D1896" t="inlineStr">
        <is>
          <t>VÄSTERNORRLANDS LÄN</t>
        </is>
      </c>
      <c r="E1896" t="inlineStr">
        <is>
          <t>ÅNGE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29395-2024</t>
        </is>
      </c>
      <c r="B1897" s="1" t="n">
        <v>45483</v>
      </c>
      <c r="C1897" s="1" t="n">
        <v>45574</v>
      </c>
      <c r="D1897" t="inlineStr">
        <is>
          <t>VÄSTERNORRLANDS LÄN</t>
        </is>
      </c>
      <c r="E1897" t="inlineStr">
        <is>
          <t>ÅNGE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29421-2024</t>
        </is>
      </c>
      <c r="B1898" s="1" t="n">
        <v>45483</v>
      </c>
      <c r="C1898" s="1" t="n">
        <v>45574</v>
      </c>
      <c r="D1898" t="inlineStr">
        <is>
          <t>VÄSTERNORRLANDS LÄN</t>
        </is>
      </c>
      <c r="E1898" t="inlineStr">
        <is>
          <t>ÅNGE</t>
        </is>
      </c>
      <c r="F1898" t="inlineStr">
        <is>
          <t>Kyrkan</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29458-2024</t>
        </is>
      </c>
      <c r="B1899" s="1" t="n">
        <v>45484</v>
      </c>
      <c r="C1899" s="1" t="n">
        <v>45574</v>
      </c>
      <c r="D1899" t="inlineStr">
        <is>
          <t>VÄSTERNORRLANDS LÄN</t>
        </is>
      </c>
      <c r="E1899" t="inlineStr">
        <is>
          <t>ÅNGE</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29462-2024</t>
        </is>
      </c>
      <c r="B1900" s="1" t="n">
        <v>45484</v>
      </c>
      <c r="C1900" s="1" t="n">
        <v>45574</v>
      </c>
      <c r="D1900" t="inlineStr">
        <is>
          <t>VÄSTERNORRLANDS LÄN</t>
        </is>
      </c>
      <c r="E1900" t="inlineStr">
        <is>
          <t>ÅNGE</t>
        </is>
      </c>
      <c r="F1900" t="inlineStr">
        <is>
          <t>SCA</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29470-2024</t>
        </is>
      </c>
      <c r="B1901" s="1" t="n">
        <v>45484</v>
      </c>
      <c r="C1901" s="1" t="n">
        <v>45574</v>
      </c>
      <c r="D1901" t="inlineStr">
        <is>
          <t>VÄSTERNORRLANDS LÄN</t>
        </is>
      </c>
      <c r="E1901" t="inlineStr">
        <is>
          <t>ÅNGE</t>
        </is>
      </c>
      <c r="F1901" t="inlineStr">
        <is>
          <t>SCA</t>
        </is>
      </c>
      <c r="G1901" t="n">
        <v>24.5</v>
      </c>
      <c r="H1901" t="n">
        <v>0</v>
      </c>
      <c r="I1901" t="n">
        <v>0</v>
      </c>
      <c r="J1901" t="n">
        <v>0</v>
      </c>
      <c r="K1901" t="n">
        <v>0</v>
      </c>
      <c r="L1901" t="n">
        <v>0</v>
      </c>
      <c r="M1901" t="n">
        <v>0</v>
      </c>
      <c r="N1901" t="n">
        <v>0</v>
      </c>
      <c r="O1901" t="n">
        <v>0</v>
      </c>
      <c r="P1901" t="n">
        <v>0</v>
      </c>
      <c r="Q1901" t="n">
        <v>0</v>
      </c>
      <c r="R1901" s="2" t="inlineStr"/>
    </row>
    <row r="1902" ht="15" customHeight="1">
      <c r="A1902" t="inlineStr">
        <is>
          <t>A 29673-2024</t>
        </is>
      </c>
      <c r="B1902" s="1" t="n">
        <v>45485</v>
      </c>
      <c r="C1902" s="1" t="n">
        <v>45574</v>
      </c>
      <c r="D1902" t="inlineStr">
        <is>
          <t>VÄSTERNORRLANDS LÄN</t>
        </is>
      </c>
      <c r="E1902" t="inlineStr">
        <is>
          <t>ÅNGE</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29667-2024</t>
        </is>
      </c>
      <c r="B1903" s="1" t="n">
        <v>45485</v>
      </c>
      <c r="C1903" s="1" t="n">
        <v>45574</v>
      </c>
      <c r="D1903" t="inlineStr">
        <is>
          <t>VÄSTERNORRLANDS LÄN</t>
        </is>
      </c>
      <c r="E1903" t="inlineStr">
        <is>
          <t>ÅNGE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29699-2024</t>
        </is>
      </c>
      <c r="B1904" s="1" t="n">
        <v>45484</v>
      </c>
      <c r="C1904" s="1" t="n">
        <v>45574</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29666-2024</t>
        </is>
      </c>
      <c r="B1905" s="1" t="n">
        <v>45484</v>
      </c>
      <c r="C1905" s="1" t="n">
        <v>45574</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29664-2024</t>
        </is>
      </c>
      <c r="B1906" s="1" t="n">
        <v>45484</v>
      </c>
      <c r="C1906" s="1" t="n">
        <v>45574</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29697-2024</t>
        </is>
      </c>
      <c r="B1907" s="1" t="n">
        <v>45484</v>
      </c>
      <c r="C1907" s="1" t="n">
        <v>45574</v>
      </c>
      <c r="D1907" t="inlineStr">
        <is>
          <t>VÄSTERNORRLANDS LÄN</t>
        </is>
      </c>
      <c r="E1907" t="inlineStr">
        <is>
          <t>ÅNGE</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29696-2024</t>
        </is>
      </c>
      <c r="B1908" s="1" t="n">
        <v>45485</v>
      </c>
      <c r="C1908" s="1" t="n">
        <v>45574</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29702-2024</t>
        </is>
      </c>
      <c r="B1909" s="1" t="n">
        <v>45485</v>
      </c>
      <c r="C1909" s="1" t="n">
        <v>45574</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29848-2024</t>
        </is>
      </c>
      <c r="B1910" s="1" t="n">
        <v>45485</v>
      </c>
      <c r="C1910" s="1" t="n">
        <v>45574</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30055-2024</t>
        </is>
      </c>
      <c r="B1911" s="1" t="n">
        <v>45489</v>
      </c>
      <c r="C1911" s="1" t="n">
        <v>45574</v>
      </c>
      <c r="D1911" t="inlineStr">
        <is>
          <t>VÄSTERNORRLANDS LÄN</t>
        </is>
      </c>
      <c r="E1911" t="inlineStr">
        <is>
          <t>ÅNGE</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30054-2024</t>
        </is>
      </c>
      <c r="B1912" s="1" t="n">
        <v>45489</v>
      </c>
      <c r="C1912" s="1" t="n">
        <v>45574</v>
      </c>
      <c r="D1912" t="inlineStr">
        <is>
          <t>VÄSTERNORRLANDS LÄN</t>
        </is>
      </c>
      <c r="E1912" t="inlineStr">
        <is>
          <t>ÅNGE</t>
        </is>
      </c>
      <c r="F1912" t="inlineStr">
        <is>
          <t>SCA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30235-2024</t>
        </is>
      </c>
      <c r="B1913" s="1" t="n">
        <v>45490</v>
      </c>
      <c r="C1913" s="1" t="n">
        <v>45574</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30256-2024</t>
        </is>
      </c>
      <c r="B1914" s="1" t="n">
        <v>45490</v>
      </c>
      <c r="C1914" s="1" t="n">
        <v>45574</v>
      </c>
      <c r="D1914" t="inlineStr">
        <is>
          <t>VÄSTERNORRLANDS LÄN</t>
        </is>
      </c>
      <c r="E1914" t="inlineStr">
        <is>
          <t>ÅNGE</t>
        </is>
      </c>
      <c r="G1914" t="n">
        <v>22.8</v>
      </c>
      <c r="H1914" t="n">
        <v>0</v>
      </c>
      <c r="I1914" t="n">
        <v>0</v>
      </c>
      <c r="J1914" t="n">
        <v>0</v>
      </c>
      <c r="K1914" t="n">
        <v>0</v>
      </c>
      <c r="L1914" t="n">
        <v>0</v>
      </c>
      <c r="M1914" t="n">
        <v>0</v>
      </c>
      <c r="N1914" t="n">
        <v>0</v>
      </c>
      <c r="O1914" t="n">
        <v>0</v>
      </c>
      <c r="P1914" t="n">
        <v>0</v>
      </c>
      <c r="Q1914" t="n">
        <v>0</v>
      </c>
      <c r="R1914" s="2" t="inlineStr"/>
    </row>
    <row r="1915" ht="15" customHeight="1">
      <c r="A1915" t="inlineStr">
        <is>
          <t>A 30222-2024</t>
        </is>
      </c>
      <c r="B1915" s="1" t="n">
        <v>45490</v>
      </c>
      <c r="C1915" s="1" t="n">
        <v>45574</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30217-2024</t>
        </is>
      </c>
      <c r="B1916" s="1" t="n">
        <v>45490</v>
      </c>
      <c r="C1916" s="1" t="n">
        <v>45574</v>
      </c>
      <c r="D1916" t="inlineStr">
        <is>
          <t>VÄSTERNORRLANDS LÄN</t>
        </is>
      </c>
      <c r="E1916" t="inlineStr">
        <is>
          <t>ÅNGE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30346-2024</t>
        </is>
      </c>
      <c r="B1917" s="1" t="n">
        <v>45491</v>
      </c>
      <c r="C1917" s="1" t="n">
        <v>45574</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30348-2024</t>
        </is>
      </c>
      <c r="B1918" s="1" t="n">
        <v>45491</v>
      </c>
      <c r="C1918" s="1" t="n">
        <v>45574</v>
      </c>
      <c r="D1918" t="inlineStr">
        <is>
          <t>VÄSTERNORRLANDS LÄN</t>
        </is>
      </c>
      <c r="E1918" t="inlineStr">
        <is>
          <t>ÅNGE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30353-2024</t>
        </is>
      </c>
      <c r="B1919" s="1" t="n">
        <v>45491</v>
      </c>
      <c r="C1919" s="1" t="n">
        <v>45574</v>
      </c>
      <c r="D1919" t="inlineStr">
        <is>
          <t>VÄSTERNORRLANDS LÄN</t>
        </is>
      </c>
      <c r="E1919" t="inlineStr">
        <is>
          <t>ÅNGE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30347-2024</t>
        </is>
      </c>
      <c r="B1920" s="1" t="n">
        <v>45491</v>
      </c>
      <c r="C1920" s="1" t="n">
        <v>45574</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30469-2024</t>
        </is>
      </c>
      <c r="B1921" s="1" t="n">
        <v>45491</v>
      </c>
      <c r="C1921" s="1" t="n">
        <v>45574</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30481-2024</t>
        </is>
      </c>
      <c r="B1922" s="1" t="n">
        <v>45492</v>
      </c>
      <c r="C1922" s="1" t="n">
        <v>45574</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30474-2024</t>
        </is>
      </c>
      <c r="B1923" s="1" t="n">
        <v>45491</v>
      </c>
      <c r="C1923" s="1" t="n">
        <v>45574</v>
      </c>
      <c r="D1923" t="inlineStr">
        <is>
          <t>VÄSTERNORRLANDS LÄN</t>
        </is>
      </c>
      <c r="E1923" t="inlineStr">
        <is>
          <t>ÅNGE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30478-2024</t>
        </is>
      </c>
      <c r="B1924" s="1" t="n">
        <v>45492</v>
      </c>
      <c r="C1924" s="1" t="n">
        <v>45574</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c r="U1924">
        <f>HYPERLINK("https://klasma.github.io/Logging_2260/knärot/A 30478-2024 karta knärot.png", "A 30478-2024")</f>
        <v/>
      </c>
      <c r="V1924">
        <f>HYPERLINK("https://klasma.github.io/Logging_2260/klagomål/A 30478-2024 FSC-klagomål.docx", "A 30478-2024")</f>
        <v/>
      </c>
      <c r="W1924">
        <f>HYPERLINK("https://klasma.github.io/Logging_2260/klagomålsmail/A 30478-2024 FSC-klagomål mail.docx", "A 30478-2024")</f>
        <v/>
      </c>
      <c r="X1924">
        <f>HYPERLINK("https://klasma.github.io/Logging_2260/tillsyn/A 30478-2024 tillsynsbegäran.docx", "A 30478-2024")</f>
        <v/>
      </c>
      <c r="Y1924">
        <f>HYPERLINK("https://klasma.github.io/Logging_2260/tillsynsmail/A 30478-2024 tillsynsbegäran mail.docx", "A 30478-2024")</f>
        <v/>
      </c>
    </row>
    <row r="1925" ht="15" customHeight="1">
      <c r="A1925" t="inlineStr">
        <is>
          <t>A 30467-2024</t>
        </is>
      </c>
      <c r="B1925" s="1" t="n">
        <v>45492</v>
      </c>
      <c r="C1925" s="1" t="n">
        <v>45574</v>
      </c>
      <c r="D1925" t="inlineStr">
        <is>
          <t>VÄSTERNORRLANDS LÄN</t>
        </is>
      </c>
      <c r="E1925" t="inlineStr">
        <is>
          <t>ÅNGE</t>
        </is>
      </c>
      <c r="F1925" t="inlineStr">
        <is>
          <t>SCA</t>
        </is>
      </c>
      <c r="G1925" t="n">
        <v>2.4</v>
      </c>
      <c r="H1925" t="n">
        <v>0</v>
      </c>
      <c r="I1925" t="n">
        <v>0</v>
      </c>
      <c r="J1925" t="n">
        <v>0</v>
      </c>
      <c r="K1925" t="n">
        <v>0</v>
      </c>
      <c r="L1925" t="n">
        <v>0</v>
      </c>
      <c r="M1925" t="n">
        <v>0</v>
      </c>
      <c r="N1925" t="n">
        <v>0</v>
      </c>
      <c r="O1925" t="n">
        <v>0</v>
      </c>
      <c r="P1925" t="n">
        <v>0</v>
      </c>
      <c r="Q1925" t="n">
        <v>0</v>
      </c>
      <c r="R1925" s="2" t="inlineStr"/>
      <c r="U1925">
        <f>HYPERLINK("https://klasma.github.io/Logging_2260/knärot/A 30467-2024 karta knärot.png", "A 30467-2024")</f>
        <v/>
      </c>
      <c r="V1925">
        <f>HYPERLINK("https://klasma.github.io/Logging_2260/klagomål/A 30467-2024 FSC-klagomål.docx", "A 30467-2024")</f>
        <v/>
      </c>
      <c r="W1925">
        <f>HYPERLINK("https://klasma.github.io/Logging_2260/klagomålsmail/A 30467-2024 FSC-klagomål mail.docx", "A 30467-2024")</f>
        <v/>
      </c>
      <c r="X1925">
        <f>HYPERLINK("https://klasma.github.io/Logging_2260/tillsyn/A 30467-2024 tillsynsbegäran.docx", "A 30467-2024")</f>
        <v/>
      </c>
      <c r="Y1925">
        <f>HYPERLINK("https://klasma.github.io/Logging_2260/tillsynsmail/A 30467-2024 tillsynsbegäran mail.docx", "A 30467-2024")</f>
        <v/>
      </c>
    </row>
    <row r="1926" ht="15" customHeight="1">
      <c r="A1926" t="inlineStr">
        <is>
          <t>A 30475-2024</t>
        </is>
      </c>
      <c r="B1926" s="1" t="n">
        <v>45491</v>
      </c>
      <c r="C1926" s="1" t="n">
        <v>45574</v>
      </c>
      <c r="D1926" t="inlineStr">
        <is>
          <t>VÄSTERNORRLANDS LÄN</t>
        </is>
      </c>
      <c r="E1926" t="inlineStr">
        <is>
          <t>ÅNGE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30568-2024</t>
        </is>
      </c>
      <c r="B1927" s="1" t="n">
        <v>45493</v>
      </c>
      <c r="C1927" s="1" t="n">
        <v>45574</v>
      </c>
      <c r="D1927" t="inlineStr">
        <is>
          <t>VÄSTERNORRLANDS LÄN</t>
        </is>
      </c>
      <c r="E1927" t="inlineStr">
        <is>
          <t>ÅNGE</t>
        </is>
      </c>
      <c r="F1927" t="inlineStr">
        <is>
          <t>SCA</t>
        </is>
      </c>
      <c r="G1927" t="n">
        <v>7.9</v>
      </c>
      <c r="H1927" t="n">
        <v>0</v>
      </c>
      <c r="I1927" t="n">
        <v>0</v>
      </c>
      <c r="J1927" t="n">
        <v>0</v>
      </c>
      <c r="K1927" t="n">
        <v>0</v>
      </c>
      <c r="L1927" t="n">
        <v>0</v>
      </c>
      <c r="M1927" t="n">
        <v>0</v>
      </c>
      <c r="N1927" t="n">
        <v>0</v>
      </c>
      <c r="O1927" t="n">
        <v>0</v>
      </c>
      <c r="P1927" t="n">
        <v>0</v>
      </c>
      <c r="Q1927" t="n">
        <v>0</v>
      </c>
      <c r="R1927" s="2" t="inlineStr"/>
      <c r="U1927">
        <f>HYPERLINK("https://klasma.github.io/Logging_2260/knärot/A 30568-2024 karta knärot.png", "A 30568-2024")</f>
        <v/>
      </c>
      <c r="V1927">
        <f>HYPERLINK("https://klasma.github.io/Logging_2260/klagomål/A 30568-2024 FSC-klagomål.docx", "A 30568-2024")</f>
        <v/>
      </c>
      <c r="W1927">
        <f>HYPERLINK("https://klasma.github.io/Logging_2260/klagomålsmail/A 30568-2024 FSC-klagomål mail.docx", "A 30568-2024")</f>
        <v/>
      </c>
      <c r="X1927">
        <f>HYPERLINK("https://klasma.github.io/Logging_2260/tillsyn/A 30568-2024 tillsynsbegäran.docx", "A 30568-2024")</f>
        <v/>
      </c>
      <c r="Y1927">
        <f>HYPERLINK("https://klasma.github.io/Logging_2260/tillsynsmail/A 30568-2024 tillsynsbegäran mail.docx", "A 30568-2024")</f>
        <v/>
      </c>
    </row>
    <row r="1928" ht="15" customHeight="1">
      <c r="A1928" t="inlineStr">
        <is>
          <t>A 30683-2024</t>
        </is>
      </c>
      <c r="B1928" s="1" t="n">
        <v>45495</v>
      </c>
      <c r="C1928" s="1" t="n">
        <v>45574</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30687-2024</t>
        </is>
      </c>
      <c r="B1929" s="1" t="n">
        <v>45496</v>
      </c>
      <c r="C1929" s="1" t="n">
        <v>45574</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30682-2024</t>
        </is>
      </c>
      <c r="B1930" s="1" t="n">
        <v>45496</v>
      </c>
      <c r="C1930" s="1" t="n">
        <v>45574</v>
      </c>
      <c r="D1930" t="inlineStr">
        <is>
          <t>VÄSTERNORRLANDS LÄN</t>
        </is>
      </c>
      <c r="E1930" t="inlineStr">
        <is>
          <t>ÅNGE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30754-2024</t>
        </is>
      </c>
      <c r="B1931" s="1" t="n">
        <v>45496</v>
      </c>
      <c r="C1931" s="1" t="n">
        <v>45574</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30774-2024</t>
        </is>
      </c>
      <c r="B1932" s="1" t="n">
        <v>45497</v>
      </c>
      <c r="C1932" s="1" t="n">
        <v>45574</v>
      </c>
      <c r="D1932" t="inlineStr">
        <is>
          <t>VÄSTERNORRLANDS LÄN</t>
        </is>
      </c>
      <c r="E1932" t="inlineStr">
        <is>
          <t>ÅNGE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30751-2024</t>
        </is>
      </c>
      <c r="B1933" s="1" t="n">
        <v>45496</v>
      </c>
      <c r="C1933" s="1" t="n">
        <v>45574</v>
      </c>
      <c r="D1933" t="inlineStr">
        <is>
          <t>VÄSTERNORRLANDS LÄN</t>
        </is>
      </c>
      <c r="E1933" t="inlineStr">
        <is>
          <t>ÅNGE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30747-2024</t>
        </is>
      </c>
      <c r="B1934" s="1" t="n">
        <v>45496</v>
      </c>
      <c r="C1934" s="1" t="n">
        <v>45574</v>
      </c>
      <c r="D1934" t="inlineStr">
        <is>
          <t>VÄSTERNORRLANDS LÄN</t>
        </is>
      </c>
      <c r="E1934" t="inlineStr">
        <is>
          <t>ÅNGE</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30753-2024</t>
        </is>
      </c>
      <c r="B1935" s="1" t="n">
        <v>45496</v>
      </c>
      <c r="C1935" s="1" t="n">
        <v>45574</v>
      </c>
      <c r="D1935" t="inlineStr">
        <is>
          <t>VÄSTERNORRLANDS LÄN</t>
        </is>
      </c>
      <c r="E1935" t="inlineStr">
        <is>
          <t>ÅNGE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31177-2024</t>
        </is>
      </c>
      <c r="B1936" s="1" t="n">
        <v>45503</v>
      </c>
      <c r="C1936" s="1" t="n">
        <v>45574</v>
      </c>
      <c r="D1936" t="inlineStr">
        <is>
          <t>VÄSTERNORRLANDS LÄN</t>
        </is>
      </c>
      <c r="E1936" t="inlineStr">
        <is>
          <t>ÅNGE</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31182-2024</t>
        </is>
      </c>
      <c r="B1937" s="1" t="n">
        <v>45503</v>
      </c>
      <c r="C1937" s="1" t="n">
        <v>45574</v>
      </c>
      <c r="D1937" t="inlineStr">
        <is>
          <t>VÄSTERNORRLANDS LÄN</t>
        </is>
      </c>
      <c r="E1937" t="inlineStr">
        <is>
          <t>ÅNGE</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31184-2024</t>
        </is>
      </c>
      <c r="B1938" s="1" t="n">
        <v>45503</v>
      </c>
      <c r="C1938" s="1" t="n">
        <v>45574</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31568-2024</t>
        </is>
      </c>
      <c r="B1939" s="1" t="n">
        <v>45506</v>
      </c>
      <c r="C1939" s="1" t="n">
        <v>45574</v>
      </c>
      <c r="D1939" t="inlineStr">
        <is>
          <t>VÄSTERNORRLANDS LÄN</t>
        </is>
      </c>
      <c r="E1939" t="inlineStr">
        <is>
          <t>ÅNGE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31492-2024</t>
        </is>
      </c>
      <c r="B1940" s="1" t="n">
        <v>45505</v>
      </c>
      <c r="C1940" s="1" t="n">
        <v>45574</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31545-2024</t>
        </is>
      </c>
      <c r="B1941" s="1" t="n">
        <v>45505</v>
      </c>
      <c r="C1941" s="1" t="n">
        <v>45574</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31457-2024</t>
        </is>
      </c>
      <c r="B1942" s="1" t="n">
        <v>45505</v>
      </c>
      <c r="C1942" s="1" t="n">
        <v>45574</v>
      </c>
      <c r="D1942" t="inlineStr">
        <is>
          <t>VÄSTERNORRLANDS LÄN</t>
        </is>
      </c>
      <c r="E1942" t="inlineStr">
        <is>
          <t>ÅNGE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31563-2024</t>
        </is>
      </c>
      <c r="B1943" s="1" t="n">
        <v>45505</v>
      </c>
      <c r="C1943" s="1" t="n">
        <v>45574</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31447-2024</t>
        </is>
      </c>
      <c r="B1944" s="1" t="n">
        <v>45506</v>
      </c>
      <c r="C1944" s="1" t="n">
        <v>45574</v>
      </c>
      <c r="D1944" t="inlineStr">
        <is>
          <t>VÄSTERNORRLANDS LÄN</t>
        </is>
      </c>
      <c r="E1944" t="inlineStr">
        <is>
          <t>ÅNGE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31671-2024</t>
        </is>
      </c>
      <c r="B1945" s="1" t="n">
        <v>45507</v>
      </c>
      <c r="C1945" s="1" t="n">
        <v>45574</v>
      </c>
      <c r="D1945" t="inlineStr">
        <is>
          <t>VÄSTERNORRLANDS LÄN</t>
        </is>
      </c>
      <c r="E1945" t="inlineStr">
        <is>
          <t>ÅNGE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31729-2024</t>
        </is>
      </c>
      <c r="B1946" s="1" t="n">
        <v>45509</v>
      </c>
      <c r="C1946" s="1" t="n">
        <v>45574</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31863-2024</t>
        </is>
      </c>
      <c r="B1947" s="1" t="n">
        <v>45509</v>
      </c>
      <c r="C1947" s="1" t="n">
        <v>45574</v>
      </c>
      <c r="D1947" t="inlineStr">
        <is>
          <t>VÄSTERNORRLANDS LÄN</t>
        </is>
      </c>
      <c r="E1947" t="inlineStr">
        <is>
          <t>ÅNGE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31864-2024</t>
        </is>
      </c>
      <c r="B1948" s="1" t="n">
        <v>45509</v>
      </c>
      <c r="C1948" s="1" t="n">
        <v>45574</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31866-2024</t>
        </is>
      </c>
      <c r="B1949" s="1" t="n">
        <v>45509</v>
      </c>
      <c r="C1949" s="1" t="n">
        <v>45574</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31867-2024</t>
        </is>
      </c>
      <c r="B1950" s="1" t="n">
        <v>45509</v>
      </c>
      <c r="C1950" s="1" t="n">
        <v>45574</v>
      </c>
      <c r="D1950" t="inlineStr">
        <is>
          <t>VÄSTERNORRLANDS LÄN</t>
        </is>
      </c>
      <c r="E1950" t="inlineStr">
        <is>
          <t>ÅNGE</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32053-2024</t>
        </is>
      </c>
      <c r="B1951" s="1" t="n">
        <v>45510</v>
      </c>
      <c r="C1951" s="1" t="n">
        <v>45574</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32054-2024</t>
        </is>
      </c>
      <c r="B1952" s="1" t="n">
        <v>45510</v>
      </c>
      <c r="C1952" s="1" t="n">
        <v>45574</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32055-2024</t>
        </is>
      </c>
      <c r="B1953" s="1" t="n">
        <v>45510</v>
      </c>
      <c r="C1953" s="1" t="n">
        <v>45574</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32245-2024</t>
        </is>
      </c>
      <c r="B1954" s="1" t="n">
        <v>45511</v>
      </c>
      <c r="C1954" s="1" t="n">
        <v>45574</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32257-2024</t>
        </is>
      </c>
      <c r="B1955" s="1" t="n">
        <v>45511</v>
      </c>
      <c r="C1955" s="1" t="n">
        <v>45574</v>
      </c>
      <c r="D1955" t="inlineStr">
        <is>
          <t>VÄSTERNORRLANDS LÄN</t>
        </is>
      </c>
      <c r="E1955" t="inlineStr">
        <is>
          <t>ÅNGE</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32458-2024</t>
        </is>
      </c>
      <c r="B1956" s="1" t="n">
        <v>45512</v>
      </c>
      <c r="C1956" s="1" t="n">
        <v>45574</v>
      </c>
      <c r="D1956" t="inlineStr">
        <is>
          <t>VÄSTERNORRLANDS LÄN</t>
        </is>
      </c>
      <c r="E1956" t="inlineStr">
        <is>
          <t>ÅNGE</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32442-2024</t>
        </is>
      </c>
      <c r="B1957" s="1" t="n">
        <v>45512</v>
      </c>
      <c r="C1957" s="1" t="n">
        <v>45574</v>
      </c>
      <c r="D1957" t="inlineStr">
        <is>
          <t>VÄSTERNORRLANDS LÄN</t>
        </is>
      </c>
      <c r="E1957" t="inlineStr">
        <is>
          <t>ÅNGE</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32439-2024</t>
        </is>
      </c>
      <c r="B1958" s="1" t="n">
        <v>45512</v>
      </c>
      <c r="C1958" s="1" t="n">
        <v>45574</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32447-2024</t>
        </is>
      </c>
      <c r="B1959" s="1" t="n">
        <v>45513</v>
      </c>
      <c r="C1959" s="1" t="n">
        <v>45574</v>
      </c>
      <c r="D1959" t="inlineStr">
        <is>
          <t>VÄSTERNORRLANDS LÄN</t>
        </is>
      </c>
      <c r="E1959" t="inlineStr">
        <is>
          <t>ÅNGE</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32384-2024</t>
        </is>
      </c>
      <c r="B1960" s="1" t="n">
        <v>45512</v>
      </c>
      <c r="C1960" s="1" t="n">
        <v>45574</v>
      </c>
      <c r="D1960" t="inlineStr">
        <is>
          <t>VÄSTERNORRLANDS LÄN</t>
        </is>
      </c>
      <c r="E1960" t="inlineStr">
        <is>
          <t>ÅNGE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32640-2024</t>
        </is>
      </c>
      <c r="B1961" s="1" t="n">
        <v>45514</v>
      </c>
      <c r="C1961" s="1" t="n">
        <v>45574</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32641-2024</t>
        </is>
      </c>
      <c r="B1962" s="1" t="n">
        <v>45513</v>
      </c>
      <c r="C1962" s="1" t="n">
        <v>45574</v>
      </c>
      <c r="D1962" t="inlineStr">
        <is>
          <t>VÄSTERNORRLANDS LÄN</t>
        </is>
      </c>
      <c r="E1962" t="inlineStr">
        <is>
          <t>ÅNGE</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32658-2024</t>
        </is>
      </c>
      <c r="B1963" s="1" t="n">
        <v>45513</v>
      </c>
      <c r="C1963" s="1" t="n">
        <v>45574</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32897-2024</t>
        </is>
      </c>
      <c r="B1964" s="1" t="n">
        <v>45517</v>
      </c>
      <c r="C1964" s="1" t="n">
        <v>45574</v>
      </c>
      <c r="D1964" t="inlineStr">
        <is>
          <t>VÄSTERNORRLANDS LÄN</t>
        </is>
      </c>
      <c r="E1964" t="inlineStr">
        <is>
          <t>ÅNGE</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32922-2024</t>
        </is>
      </c>
      <c r="B1965" s="1" t="n">
        <v>45517</v>
      </c>
      <c r="C1965" s="1" t="n">
        <v>45574</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32909-2024</t>
        </is>
      </c>
      <c r="B1966" s="1" t="n">
        <v>45516</v>
      </c>
      <c r="C1966" s="1" t="n">
        <v>45574</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33302-2024</t>
        </is>
      </c>
      <c r="B1967" s="1" t="n">
        <v>45519</v>
      </c>
      <c r="C1967" s="1" t="n">
        <v>45574</v>
      </c>
      <c r="D1967" t="inlineStr">
        <is>
          <t>VÄSTERNORRLANDS LÄN</t>
        </is>
      </c>
      <c r="E1967" t="inlineStr">
        <is>
          <t>ÅNGE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33210-2024</t>
        </is>
      </c>
      <c r="B1968" s="1" t="n">
        <v>45518</v>
      </c>
      <c r="C1968" s="1" t="n">
        <v>45574</v>
      </c>
      <c r="D1968" t="inlineStr">
        <is>
          <t>VÄSTERNORRLANDS LÄN</t>
        </is>
      </c>
      <c r="E1968" t="inlineStr">
        <is>
          <t>ÅNGE</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33313-2024</t>
        </is>
      </c>
      <c r="B1969" s="1" t="n">
        <v>45519</v>
      </c>
      <c r="C1969" s="1" t="n">
        <v>45574</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33305-2024</t>
        </is>
      </c>
      <c r="B1970" s="1" t="n">
        <v>45518</v>
      </c>
      <c r="C1970" s="1" t="n">
        <v>45574</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33306-2024</t>
        </is>
      </c>
      <c r="B1971" s="1" t="n">
        <v>45518</v>
      </c>
      <c r="C1971" s="1" t="n">
        <v>45574</v>
      </c>
      <c r="D1971" t="inlineStr">
        <is>
          <t>VÄSTERNORRLANDS LÄN</t>
        </is>
      </c>
      <c r="E1971" t="inlineStr">
        <is>
          <t>ÅNGE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33395-2024</t>
        </is>
      </c>
      <c r="B1972" s="1" t="n">
        <v>45519</v>
      </c>
      <c r="C1972" s="1" t="n">
        <v>45574</v>
      </c>
      <c r="D1972" t="inlineStr">
        <is>
          <t>VÄSTERNORRLANDS LÄN</t>
        </is>
      </c>
      <c r="E1972" t="inlineStr">
        <is>
          <t>ÅNGE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33373-2024</t>
        </is>
      </c>
      <c r="B1973" s="1" t="n">
        <v>45519</v>
      </c>
      <c r="C1973" s="1" t="n">
        <v>45574</v>
      </c>
      <c r="D1973" t="inlineStr">
        <is>
          <t>VÄSTERNORRLANDS LÄN</t>
        </is>
      </c>
      <c r="E1973" t="inlineStr">
        <is>
          <t>ÅNGE</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33468-2024</t>
        </is>
      </c>
      <c r="B1974" s="1" t="n">
        <v>45519</v>
      </c>
      <c r="C1974" s="1" t="n">
        <v>45574</v>
      </c>
      <c r="D1974" t="inlineStr">
        <is>
          <t>VÄSTERNORRLANDS LÄN</t>
        </is>
      </c>
      <c r="E1974" t="inlineStr">
        <is>
          <t>ÅNGE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33747-2024</t>
        </is>
      </c>
      <c r="B1975" s="1" t="n">
        <v>45520</v>
      </c>
      <c r="C1975" s="1" t="n">
        <v>45574</v>
      </c>
      <c r="D1975" t="inlineStr">
        <is>
          <t>VÄSTERNORRLANDS LÄN</t>
        </is>
      </c>
      <c r="E1975" t="inlineStr">
        <is>
          <t>ÅNGE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33631-2024</t>
        </is>
      </c>
      <c r="B1976" s="1" t="n">
        <v>45520</v>
      </c>
      <c r="C1976" s="1" t="n">
        <v>45574</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33783-2024</t>
        </is>
      </c>
      <c r="B1977" s="1" t="n">
        <v>45520</v>
      </c>
      <c r="C1977" s="1" t="n">
        <v>45574</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33740-2024</t>
        </is>
      </c>
      <c r="B1978" s="1" t="n">
        <v>45520</v>
      </c>
      <c r="C1978" s="1" t="n">
        <v>45574</v>
      </c>
      <c r="D1978" t="inlineStr">
        <is>
          <t>VÄSTERNORRLANDS LÄN</t>
        </is>
      </c>
      <c r="E1978" t="inlineStr">
        <is>
          <t>ÅNGE</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33750-2024</t>
        </is>
      </c>
      <c r="B1979" s="1" t="n">
        <v>45520</v>
      </c>
      <c r="C1979" s="1" t="n">
        <v>45574</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33967-2024</t>
        </is>
      </c>
      <c r="B1980" s="1" t="n">
        <v>45523</v>
      </c>
      <c r="C1980" s="1" t="n">
        <v>45574</v>
      </c>
      <c r="D1980" t="inlineStr">
        <is>
          <t>VÄSTERNORRLANDS LÄN</t>
        </is>
      </c>
      <c r="E1980" t="inlineStr">
        <is>
          <t>ÅNGE</t>
        </is>
      </c>
      <c r="F1980" t="inlineStr">
        <is>
          <t>SCA</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34107-2024</t>
        </is>
      </c>
      <c r="B1981" s="1" t="n">
        <v>45523</v>
      </c>
      <c r="C1981" s="1" t="n">
        <v>45574</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34251-2024</t>
        </is>
      </c>
      <c r="B1982" s="1" t="n">
        <v>45524</v>
      </c>
      <c r="C1982" s="1" t="n">
        <v>45574</v>
      </c>
      <c r="D1982" t="inlineStr">
        <is>
          <t>VÄSTERNORRLANDS LÄN</t>
        </is>
      </c>
      <c r="E1982" t="inlineStr">
        <is>
          <t>ÅNGE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34457-2024</t>
        </is>
      </c>
      <c r="B1983" s="1" t="n">
        <v>45525</v>
      </c>
      <c r="C1983" s="1" t="n">
        <v>45574</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34559-2024</t>
        </is>
      </c>
      <c r="B1984" s="1" t="n">
        <v>45526</v>
      </c>
      <c r="C1984" s="1" t="n">
        <v>45574</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34754-2024</t>
        </is>
      </c>
      <c r="B1985" s="1" t="n">
        <v>45526</v>
      </c>
      <c r="C1985" s="1" t="n">
        <v>45574</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34815-2024</t>
        </is>
      </c>
      <c r="B1986" s="1" t="n">
        <v>45526</v>
      </c>
      <c r="C1986" s="1" t="n">
        <v>45574</v>
      </c>
      <c r="D1986" t="inlineStr">
        <is>
          <t>VÄSTERNORRLANDS LÄN</t>
        </is>
      </c>
      <c r="E1986" t="inlineStr">
        <is>
          <t>ÅNGE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34649-2024</t>
        </is>
      </c>
      <c r="B1987" s="1" t="n">
        <v>45526</v>
      </c>
      <c r="C1987" s="1" t="n">
        <v>45574</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34726-2024</t>
        </is>
      </c>
      <c r="B1988" s="1" t="n">
        <v>45526</v>
      </c>
      <c r="C1988" s="1" t="n">
        <v>45574</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34820-2024</t>
        </is>
      </c>
      <c r="B1989" s="1" t="n">
        <v>45526</v>
      </c>
      <c r="C1989" s="1" t="n">
        <v>45574</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34655-2024</t>
        </is>
      </c>
      <c r="B1990" s="1" t="n">
        <v>45526</v>
      </c>
      <c r="C1990" s="1" t="n">
        <v>45574</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34679-2024</t>
        </is>
      </c>
      <c r="B1991" s="1" t="n">
        <v>45526</v>
      </c>
      <c r="C1991" s="1" t="n">
        <v>45574</v>
      </c>
      <c r="D1991" t="inlineStr">
        <is>
          <t>VÄSTERNORRLANDS LÄN</t>
        </is>
      </c>
      <c r="E1991" t="inlineStr">
        <is>
          <t>ÅNGE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34691-2024</t>
        </is>
      </c>
      <c r="B1992" s="1" t="n">
        <v>45526</v>
      </c>
      <c r="C1992" s="1" t="n">
        <v>45574</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34727-2024</t>
        </is>
      </c>
      <c r="B1993" s="1" t="n">
        <v>45526</v>
      </c>
      <c r="C1993" s="1" t="n">
        <v>45574</v>
      </c>
      <c r="D1993" t="inlineStr">
        <is>
          <t>VÄSTERNORRLANDS LÄN</t>
        </is>
      </c>
      <c r="E1993" t="inlineStr">
        <is>
          <t>ÅNGE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34861-2024</t>
        </is>
      </c>
      <c r="B1994" s="1" t="n">
        <v>45527</v>
      </c>
      <c r="C1994" s="1" t="n">
        <v>45574</v>
      </c>
      <c r="D1994" t="inlineStr">
        <is>
          <t>VÄSTERNORRLANDS LÄN</t>
        </is>
      </c>
      <c r="E1994" t="inlineStr">
        <is>
          <t>ÅNGE</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35257-2024</t>
        </is>
      </c>
      <c r="B1995" s="1" t="n">
        <v>45530</v>
      </c>
      <c r="C1995" s="1" t="n">
        <v>45574</v>
      </c>
      <c r="D1995" t="inlineStr">
        <is>
          <t>VÄSTERNORRLANDS LÄN</t>
        </is>
      </c>
      <c r="E1995" t="inlineStr">
        <is>
          <t>ÅNGE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35390-2024</t>
        </is>
      </c>
      <c r="B1996" s="1" t="n">
        <v>45531</v>
      </c>
      <c r="C1996" s="1" t="n">
        <v>45574</v>
      </c>
      <c r="D1996" t="inlineStr">
        <is>
          <t>VÄSTERNORRLANDS LÄN</t>
        </is>
      </c>
      <c r="E1996" t="inlineStr">
        <is>
          <t>ÅNGE</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35402-2024</t>
        </is>
      </c>
      <c r="B1997" s="1" t="n">
        <v>45531</v>
      </c>
      <c r="C1997" s="1" t="n">
        <v>45574</v>
      </c>
      <c r="D1997" t="inlineStr">
        <is>
          <t>VÄSTERNORRLANDS LÄN</t>
        </is>
      </c>
      <c r="E1997" t="inlineStr">
        <is>
          <t>ÅNGE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35414-2024</t>
        </is>
      </c>
      <c r="B1998" s="1" t="n">
        <v>45531</v>
      </c>
      <c r="C1998" s="1" t="n">
        <v>45574</v>
      </c>
      <c r="D1998" t="inlineStr">
        <is>
          <t>VÄSTERNORRLANDS LÄN</t>
        </is>
      </c>
      <c r="E1998" t="inlineStr">
        <is>
          <t>ÅNGE</t>
        </is>
      </c>
      <c r="F1998" t="inlineStr">
        <is>
          <t>SCA</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35426-2024</t>
        </is>
      </c>
      <c r="B1999" s="1" t="n">
        <v>45531</v>
      </c>
      <c r="C1999" s="1" t="n">
        <v>45574</v>
      </c>
      <c r="D1999" t="inlineStr">
        <is>
          <t>VÄSTERNORRLANDS LÄN</t>
        </is>
      </c>
      <c r="E1999" t="inlineStr">
        <is>
          <t>ÅNGE</t>
        </is>
      </c>
      <c r="F1999" t="inlineStr">
        <is>
          <t>SCA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35582-2024</t>
        </is>
      </c>
      <c r="B2000" s="1" t="n">
        <v>45531</v>
      </c>
      <c r="C2000" s="1" t="n">
        <v>45574</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35399-2024</t>
        </is>
      </c>
      <c r="B2001" s="1" t="n">
        <v>45531</v>
      </c>
      <c r="C2001" s="1" t="n">
        <v>45574</v>
      </c>
      <c r="D2001" t="inlineStr">
        <is>
          <t>VÄSTERNORRLANDS LÄN</t>
        </is>
      </c>
      <c r="E2001" t="inlineStr">
        <is>
          <t>ÅNGE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35401-2024</t>
        </is>
      </c>
      <c r="B2002" s="1" t="n">
        <v>45531</v>
      </c>
      <c r="C2002" s="1" t="n">
        <v>45574</v>
      </c>
      <c r="D2002" t="inlineStr">
        <is>
          <t>VÄSTERNORRLANDS LÄN</t>
        </is>
      </c>
      <c r="E2002" t="inlineStr">
        <is>
          <t>ÅNGE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35429-2024</t>
        </is>
      </c>
      <c r="B2003" s="1" t="n">
        <v>45531</v>
      </c>
      <c r="C2003" s="1" t="n">
        <v>45574</v>
      </c>
      <c r="D2003" t="inlineStr">
        <is>
          <t>VÄSTERNORRLANDS LÄN</t>
        </is>
      </c>
      <c r="E2003" t="inlineStr">
        <is>
          <t>ÅNGE</t>
        </is>
      </c>
      <c r="F2003" t="inlineStr">
        <is>
          <t>SCA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35392-2024</t>
        </is>
      </c>
      <c r="B2004" s="1" t="n">
        <v>45531</v>
      </c>
      <c r="C2004" s="1" t="n">
        <v>45574</v>
      </c>
      <c r="D2004" t="inlineStr">
        <is>
          <t>VÄSTERNORRLANDS LÄN</t>
        </is>
      </c>
      <c r="E2004" t="inlineStr">
        <is>
          <t>ÅNGE</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35488-2024</t>
        </is>
      </c>
      <c r="B2005" s="1" t="n">
        <v>45531</v>
      </c>
      <c r="C2005" s="1" t="n">
        <v>45574</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35577-2024</t>
        </is>
      </c>
      <c r="B2006" s="1" t="n">
        <v>45531</v>
      </c>
      <c r="C2006" s="1" t="n">
        <v>45574</v>
      </c>
      <c r="D2006" t="inlineStr">
        <is>
          <t>VÄSTERNORRLANDS LÄN</t>
        </is>
      </c>
      <c r="E2006" t="inlineStr">
        <is>
          <t>ÅNGE</t>
        </is>
      </c>
      <c r="F2006" t="inlineStr">
        <is>
          <t>SCA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35581-2024</t>
        </is>
      </c>
      <c r="B2007" s="1" t="n">
        <v>45531</v>
      </c>
      <c r="C2007" s="1" t="n">
        <v>45574</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35593-2024</t>
        </is>
      </c>
      <c r="B2008" s="1" t="n">
        <v>45531</v>
      </c>
      <c r="C2008" s="1" t="n">
        <v>45574</v>
      </c>
      <c r="D2008" t="inlineStr">
        <is>
          <t>VÄSTERNORRLANDS LÄN</t>
        </is>
      </c>
      <c r="E2008" t="inlineStr">
        <is>
          <t>ÅNGE</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35579-2024</t>
        </is>
      </c>
      <c r="B2009" s="1" t="n">
        <v>45531</v>
      </c>
      <c r="C2009" s="1" t="n">
        <v>45574</v>
      </c>
      <c r="D2009" t="inlineStr">
        <is>
          <t>VÄSTERNORRLANDS LÄN</t>
        </is>
      </c>
      <c r="E2009" t="inlineStr">
        <is>
          <t>ÅNGE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35576-2024</t>
        </is>
      </c>
      <c r="B2010" s="1" t="n">
        <v>45531</v>
      </c>
      <c r="C2010" s="1" t="n">
        <v>45574</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35580-2024</t>
        </is>
      </c>
      <c r="B2011" s="1" t="n">
        <v>45531</v>
      </c>
      <c r="C2011" s="1" t="n">
        <v>45574</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35592-2024</t>
        </is>
      </c>
      <c r="B2012" s="1" t="n">
        <v>45531</v>
      </c>
      <c r="C2012" s="1" t="n">
        <v>45574</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35596-2024</t>
        </is>
      </c>
      <c r="B2013" s="1" t="n">
        <v>45531</v>
      </c>
      <c r="C2013" s="1" t="n">
        <v>45574</v>
      </c>
      <c r="D2013" t="inlineStr">
        <is>
          <t>VÄSTERNORRLANDS LÄN</t>
        </is>
      </c>
      <c r="E2013" t="inlineStr">
        <is>
          <t>ÅNGE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35674-2024</t>
        </is>
      </c>
      <c r="B2014" s="1" t="n">
        <v>45532</v>
      </c>
      <c r="C2014" s="1" t="n">
        <v>45574</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35650-2024</t>
        </is>
      </c>
      <c r="B2015" s="1" t="n">
        <v>45532</v>
      </c>
      <c r="C2015" s="1" t="n">
        <v>45574</v>
      </c>
      <c r="D2015" t="inlineStr">
        <is>
          <t>VÄSTERNORRLANDS LÄN</t>
        </is>
      </c>
      <c r="E2015" t="inlineStr">
        <is>
          <t>ÅNGE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35672-2024</t>
        </is>
      </c>
      <c r="B2016" s="1" t="n">
        <v>45532</v>
      </c>
      <c r="C2016" s="1" t="n">
        <v>45574</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35979-2024</t>
        </is>
      </c>
      <c r="B2017" s="1" t="n">
        <v>45533</v>
      </c>
      <c r="C2017" s="1" t="n">
        <v>45574</v>
      </c>
      <c r="D2017" t="inlineStr">
        <is>
          <t>VÄSTERNORRLANDS LÄN</t>
        </is>
      </c>
      <c r="E2017" t="inlineStr">
        <is>
          <t>ÅNGE</t>
        </is>
      </c>
      <c r="F2017" t="inlineStr">
        <is>
          <t>Kyrkan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36321-2024</t>
        </is>
      </c>
      <c r="B2018" s="1" t="n">
        <v>45534</v>
      </c>
      <c r="C2018" s="1" t="n">
        <v>45574</v>
      </c>
      <c r="D2018" t="inlineStr">
        <is>
          <t>VÄSTERNORRLANDS LÄN</t>
        </is>
      </c>
      <c r="E2018" t="inlineStr">
        <is>
          <t>ÅNGE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36342-2024</t>
        </is>
      </c>
      <c r="B2019" s="1" t="n">
        <v>45534</v>
      </c>
      <c r="C2019" s="1" t="n">
        <v>45574</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36466-2024</t>
        </is>
      </c>
      <c r="B2020" s="1" t="n">
        <v>45537</v>
      </c>
      <c r="C2020" s="1" t="n">
        <v>45574</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36468-2024</t>
        </is>
      </c>
      <c r="B2021" s="1" t="n">
        <v>45537</v>
      </c>
      <c r="C2021" s="1" t="n">
        <v>45574</v>
      </c>
      <c r="D2021" t="inlineStr">
        <is>
          <t>VÄSTERNORRLANDS LÄN</t>
        </is>
      </c>
      <c r="E2021" t="inlineStr">
        <is>
          <t>ÅNGE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45574</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45574</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36877-2024</t>
        </is>
      </c>
      <c r="B2024" s="1" t="n">
        <v>45538</v>
      </c>
      <c r="C2024" s="1" t="n">
        <v>45574</v>
      </c>
      <c r="D2024" t="inlineStr">
        <is>
          <t>VÄSTERNORRLANDS LÄN</t>
        </is>
      </c>
      <c r="E2024" t="inlineStr">
        <is>
          <t>ÅNGE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36876-2024</t>
        </is>
      </c>
      <c r="B2025" s="1" t="n">
        <v>45538</v>
      </c>
      <c r="C2025" s="1" t="n">
        <v>45574</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36875-2024</t>
        </is>
      </c>
      <c r="B2026" s="1" t="n">
        <v>45538</v>
      </c>
      <c r="C2026" s="1" t="n">
        <v>45574</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45574</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37009-2024</t>
        </is>
      </c>
      <c r="B2028" s="1" t="n">
        <v>45539</v>
      </c>
      <c r="C2028" s="1" t="n">
        <v>45574</v>
      </c>
      <c r="D2028" t="inlineStr">
        <is>
          <t>VÄSTERNORRLANDS LÄN</t>
        </is>
      </c>
      <c r="E2028" t="inlineStr">
        <is>
          <t>ÅNGE</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37038-2024</t>
        </is>
      </c>
      <c r="B2029" s="1" t="n">
        <v>45539</v>
      </c>
      <c r="C2029" s="1" t="n">
        <v>45574</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37010-2024</t>
        </is>
      </c>
      <c r="B2030" s="1" t="n">
        <v>45539</v>
      </c>
      <c r="C2030" s="1" t="n">
        <v>45574</v>
      </c>
      <c r="D2030" t="inlineStr">
        <is>
          <t>VÄSTERNORRLANDS LÄN</t>
        </is>
      </c>
      <c r="E2030" t="inlineStr">
        <is>
          <t>ÅNGE</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36999-2024</t>
        </is>
      </c>
      <c r="B2031" s="1" t="n">
        <v>45539</v>
      </c>
      <c r="C2031" s="1" t="n">
        <v>45574</v>
      </c>
      <c r="D2031" t="inlineStr">
        <is>
          <t>VÄSTERNORRLANDS LÄN</t>
        </is>
      </c>
      <c r="E2031" t="inlineStr">
        <is>
          <t>ÅNGE</t>
        </is>
      </c>
      <c r="F2031" t="inlineStr">
        <is>
          <t>SCA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37540-2024</t>
        </is>
      </c>
      <c r="B2032" s="1" t="n">
        <v>45541</v>
      </c>
      <c r="C2032" s="1" t="n">
        <v>45574</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37577-2024</t>
        </is>
      </c>
      <c r="B2033" s="1" t="n">
        <v>45541</v>
      </c>
      <c r="C2033" s="1" t="n">
        <v>45574</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37992-2024</t>
        </is>
      </c>
      <c r="B2034" s="1" t="n">
        <v>45544</v>
      </c>
      <c r="C2034" s="1" t="n">
        <v>45574</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37991-2024</t>
        </is>
      </c>
      <c r="B2035" s="1" t="n">
        <v>45544</v>
      </c>
      <c r="C2035" s="1" t="n">
        <v>45574</v>
      </c>
      <c r="D2035" t="inlineStr">
        <is>
          <t>VÄSTERNORRLANDS LÄN</t>
        </is>
      </c>
      <c r="E2035" t="inlineStr">
        <is>
          <t>ÅNGE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38002-2024</t>
        </is>
      </c>
      <c r="B2036" s="1" t="n">
        <v>45544</v>
      </c>
      <c r="C2036" s="1" t="n">
        <v>45574</v>
      </c>
      <c r="D2036" t="inlineStr">
        <is>
          <t>VÄSTERNORRLANDS LÄN</t>
        </is>
      </c>
      <c r="E2036" t="inlineStr">
        <is>
          <t>ÅNGE</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38099-2024</t>
        </is>
      </c>
      <c r="B2037" s="1" t="n">
        <v>45545</v>
      </c>
      <c r="C2037" s="1" t="n">
        <v>45574</v>
      </c>
      <c r="D2037" t="inlineStr">
        <is>
          <t>VÄSTERNORRLANDS LÄN</t>
        </is>
      </c>
      <c r="E2037" t="inlineStr">
        <is>
          <t>ÅNGE</t>
        </is>
      </c>
      <c r="F2037" t="inlineStr">
        <is>
          <t>Holmen skog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38246-2024</t>
        </is>
      </c>
      <c r="B2038" s="1" t="n">
        <v>45545</v>
      </c>
      <c r="C2038" s="1" t="n">
        <v>45574</v>
      </c>
      <c r="D2038" t="inlineStr">
        <is>
          <t>VÄSTERNORRLANDS LÄN</t>
        </is>
      </c>
      <c r="E2038" t="inlineStr">
        <is>
          <t>ÅNGE</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38262-2024</t>
        </is>
      </c>
      <c r="B2039" s="1" t="n">
        <v>45545</v>
      </c>
      <c r="C2039" s="1" t="n">
        <v>45574</v>
      </c>
      <c r="D2039" t="inlineStr">
        <is>
          <t>VÄSTERNORRLANDS LÄN</t>
        </is>
      </c>
      <c r="E2039" t="inlineStr">
        <is>
          <t>ÅNGE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38272-2024</t>
        </is>
      </c>
      <c r="B2040" s="1" t="n">
        <v>45545</v>
      </c>
      <c r="C2040" s="1" t="n">
        <v>45574</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38403-2024</t>
        </is>
      </c>
      <c r="B2041" s="1" t="n">
        <v>45546</v>
      </c>
      <c r="C2041" s="1" t="n">
        <v>45574</v>
      </c>
      <c r="D2041" t="inlineStr">
        <is>
          <t>VÄSTERNORRLANDS LÄN</t>
        </is>
      </c>
      <c r="E2041" t="inlineStr">
        <is>
          <t>ÅNGE</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38604-2024</t>
        </is>
      </c>
      <c r="B2042" s="1" t="n">
        <v>45546</v>
      </c>
      <c r="C2042" s="1" t="n">
        <v>45574</v>
      </c>
      <c r="D2042" t="inlineStr">
        <is>
          <t>VÄSTERNORRLANDS LÄN</t>
        </is>
      </c>
      <c r="E2042" t="inlineStr">
        <is>
          <t>ÅNGE</t>
        </is>
      </c>
      <c r="F2042" t="inlineStr">
        <is>
          <t>SCA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38510-2024</t>
        </is>
      </c>
      <c r="B2043" s="1" t="n">
        <v>45546</v>
      </c>
      <c r="C2043" s="1" t="n">
        <v>45574</v>
      </c>
      <c r="D2043" t="inlineStr">
        <is>
          <t>VÄSTERNORRLANDS LÄN</t>
        </is>
      </c>
      <c r="E2043" t="inlineStr">
        <is>
          <t>ÅNGE</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38607-2024</t>
        </is>
      </c>
      <c r="B2044" s="1" t="n">
        <v>45546</v>
      </c>
      <c r="C2044" s="1" t="n">
        <v>45574</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c r="U2044">
        <f>HYPERLINK("https://klasma.github.io/Logging_2260/knärot/A 38607-2024 karta knärot.png", "A 38607-2024")</f>
        <v/>
      </c>
      <c r="V2044">
        <f>HYPERLINK("https://klasma.github.io/Logging_2260/klagomål/A 38607-2024 FSC-klagomål.docx", "A 38607-2024")</f>
        <v/>
      </c>
      <c r="W2044">
        <f>HYPERLINK("https://klasma.github.io/Logging_2260/klagomålsmail/A 38607-2024 FSC-klagomål mail.docx", "A 38607-2024")</f>
        <v/>
      </c>
      <c r="X2044">
        <f>HYPERLINK("https://klasma.github.io/Logging_2260/tillsyn/A 38607-2024 tillsynsbegäran.docx", "A 38607-2024")</f>
        <v/>
      </c>
      <c r="Y2044">
        <f>HYPERLINK("https://klasma.github.io/Logging_2260/tillsynsmail/A 38607-2024 tillsynsbegäran mail.docx", "A 38607-2024")</f>
        <v/>
      </c>
    </row>
    <row r="2045" ht="15" customHeight="1">
      <c r="A2045" t="inlineStr">
        <is>
          <t>A 38688-2024</t>
        </is>
      </c>
      <c r="B2045" s="1" t="n">
        <v>45547</v>
      </c>
      <c r="C2045" s="1" t="n">
        <v>45574</v>
      </c>
      <c r="D2045" t="inlineStr">
        <is>
          <t>VÄSTERNORRLANDS LÄN</t>
        </is>
      </c>
      <c r="E2045" t="inlineStr">
        <is>
          <t>ÅNGE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38800-2024</t>
        </is>
      </c>
      <c r="B2046" s="1" t="n">
        <v>45547</v>
      </c>
      <c r="C2046" s="1" t="n">
        <v>45574</v>
      </c>
      <c r="D2046" t="inlineStr">
        <is>
          <t>VÄSTERNORRLANDS LÄN</t>
        </is>
      </c>
      <c r="E2046" t="inlineStr">
        <is>
          <t>ÅNGE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39005-2024</t>
        </is>
      </c>
      <c r="B2047" s="1" t="n">
        <v>45548</v>
      </c>
      <c r="C2047" s="1" t="n">
        <v>45574</v>
      </c>
      <c r="D2047" t="inlineStr">
        <is>
          <t>VÄSTERNORRLANDS LÄN</t>
        </is>
      </c>
      <c r="E2047" t="inlineStr">
        <is>
          <t>ÅNGE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39021-2024</t>
        </is>
      </c>
      <c r="B2048" s="1" t="n">
        <v>45548</v>
      </c>
      <c r="C2048" s="1" t="n">
        <v>45574</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45574</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39119-2024</t>
        </is>
      </c>
      <c r="B2050" s="1" t="n">
        <v>45548</v>
      </c>
      <c r="C2050" s="1" t="n">
        <v>45574</v>
      </c>
      <c r="D2050" t="inlineStr">
        <is>
          <t>VÄSTERNORRLANDS LÄN</t>
        </is>
      </c>
      <c r="E2050" t="inlineStr">
        <is>
          <t>ÅNGE</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39174-2024</t>
        </is>
      </c>
      <c r="B2051" s="1" t="n">
        <v>45548</v>
      </c>
      <c r="C2051" s="1" t="n">
        <v>45574</v>
      </c>
      <c r="D2051" t="inlineStr">
        <is>
          <t>VÄSTERNORRLANDS LÄN</t>
        </is>
      </c>
      <c r="E2051" t="inlineStr">
        <is>
          <t>ÅNGE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39178-2024</t>
        </is>
      </c>
      <c r="B2052" s="1" t="n">
        <v>45548</v>
      </c>
      <c r="C2052" s="1" t="n">
        <v>45574</v>
      </c>
      <c r="D2052" t="inlineStr">
        <is>
          <t>VÄSTERNORRLANDS LÄN</t>
        </is>
      </c>
      <c r="E2052" t="inlineStr">
        <is>
          <t>ÅNGE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39603-2024</t>
        </is>
      </c>
      <c r="B2053" s="1" t="n">
        <v>45552</v>
      </c>
      <c r="C2053" s="1" t="n">
        <v>45574</v>
      </c>
      <c r="D2053" t="inlineStr">
        <is>
          <t>VÄSTERNORRLANDS LÄN</t>
        </is>
      </c>
      <c r="E2053" t="inlineStr">
        <is>
          <t>ÅNGE</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39619-2024</t>
        </is>
      </c>
      <c r="B2054" s="1" t="n">
        <v>45552</v>
      </c>
      <c r="C2054" s="1" t="n">
        <v>45574</v>
      </c>
      <c r="D2054" t="inlineStr">
        <is>
          <t>VÄSTERNORRLANDS LÄN</t>
        </is>
      </c>
      <c r="E2054" t="inlineStr">
        <is>
          <t>ÅNGE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39682-2024</t>
        </is>
      </c>
      <c r="B2055" s="1" t="n">
        <v>45552</v>
      </c>
      <c r="C2055" s="1" t="n">
        <v>45574</v>
      </c>
      <c r="D2055" t="inlineStr">
        <is>
          <t>VÄSTERNORRLANDS LÄN</t>
        </is>
      </c>
      <c r="E2055" t="inlineStr">
        <is>
          <t>ÅNGE</t>
        </is>
      </c>
      <c r="G2055" t="n">
        <v>35.4</v>
      </c>
      <c r="H2055" t="n">
        <v>0</v>
      </c>
      <c r="I2055" t="n">
        <v>0</v>
      </c>
      <c r="J2055" t="n">
        <v>0</v>
      </c>
      <c r="K2055" t="n">
        <v>0</v>
      </c>
      <c r="L2055" t="n">
        <v>0</v>
      </c>
      <c r="M2055" t="n">
        <v>0</v>
      </c>
      <c r="N2055" t="n">
        <v>0</v>
      </c>
      <c r="O2055" t="n">
        <v>0</v>
      </c>
      <c r="P2055" t="n">
        <v>0</v>
      </c>
      <c r="Q2055" t="n">
        <v>0</v>
      </c>
      <c r="R2055" s="2" t="inlineStr"/>
    </row>
    <row r="2056" ht="15" customHeight="1">
      <c r="A2056" t="inlineStr">
        <is>
          <t>A 39707-2024</t>
        </is>
      </c>
      <c r="B2056" s="1" t="n">
        <v>45552</v>
      </c>
      <c r="C2056" s="1" t="n">
        <v>45574</v>
      </c>
      <c r="D2056" t="inlineStr">
        <is>
          <t>VÄSTERNORRLANDS LÄN</t>
        </is>
      </c>
      <c r="E2056" t="inlineStr">
        <is>
          <t>ÅNGE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39764-2024</t>
        </is>
      </c>
      <c r="B2057" s="1" t="n">
        <v>45552</v>
      </c>
      <c r="C2057" s="1" t="n">
        <v>45574</v>
      </c>
      <c r="D2057" t="inlineStr">
        <is>
          <t>VÄSTERNORRLANDS LÄN</t>
        </is>
      </c>
      <c r="E2057" t="inlineStr">
        <is>
          <t>ÅNGE</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40428-2024</t>
        </is>
      </c>
      <c r="B2058" s="1" t="n">
        <v>45555</v>
      </c>
      <c r="C2058" s="1" t="n">
        <v>45574</v>
      </c>
      <c r="D2058" t="inlineStr">
        <is>
          <t>VÄSTERNORRLANDS LÄN</t>
        </is>
      </c>
      <c r="E2058" t="inlineStr">
        <is>
          <t>ÅNGE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40788-2024</t>
        </is>
      </c>
      <c r="B2059" s="1" t="n">
        <v>45558</v>
      </c>
      <c r="C2059" s="1" t="n">
        <v>45574</v>
      </c>
      <c r="D2059" t="inlineStr">
        <is>
          <t>VÄSTERNORRLANDS LÄN</t>
        </is>
      </c>
      <c r="E2059" t="inlineStr">
        <is>
          <t>ÅNGE</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40803-2024</t>
        </is>
      </c>
      <c r="B2060" s="1" t="n">
        <v>45558</v>
      </c>
      <c r="C2060" s="1" t="n">
        <v>45574</v>
      </c>
      <c r="D2060" t="inlineStr">
        <is>
          <t>VÄSTERNORRLANDS LÄN</t>
        </is>
      </c>
      <c r="E2060" t="inlineStr">
        <is>
          <t>ÅNGE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40802-2024</t>
        </is>
      </c>
      <c r="B2061" s="1" t="n">
        <v>45558</v>
      </c>
      <c r="C2061" s="1" t="n">
        <v>45574</v>
      </c>
      <c r="D2061" t="inlineStr">
        <is>
          <t>VÄSTERNORRLANDS LÄN</t>
        </is>
      </c>
      <c r="E2061" t="inlineStr">
        <is>
          <t>ÅNGE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45574</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41302-2024</t>
        </is>
      </c>
      <c r="B2063" s="1" t="n">
        <v>45559</v>
      </c>
      <c r="C2063" s="1" t="n">
        <v>45574</v>
      </c>
      <c r="D2063" t="inlineStr">
        <is>
          <t>VÄSTERNORRLANDS LÄN</t>
        </is>
      </c>
      <c r="E2063" t="inlineStr">
        <is>
          <t>ÅNGE</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41284-2024</t>
        </is>
      </c>
      <c r="B2064" s="1" t="n">
        <v>45559</v>
      </c>
      <c r="C2064" s="1" t="n">
        <v>45574</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41222-2024</t>
        </is>
      </c>
      <c r="B2065" s="1" t="n">
        <v>45559</v>
      </c>
      <c r="C2065" s="1" t="n">
        <v>45574</v>
      </c>
      <c r="D2065" t="inlineStr">
        <is>
          <t>VÄSTERNORRLANDS LÄN</t>
        </is>
      </c>
      <c r="E2065" t="inlineStr">
        <is>
          <t>ÅNGE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41083-2024</t>
        </is>
      </c>
      <c r="B2066" s="1" t="n">
        <v>45559</v>
      </c>
      <c r="C2066" s="1" t="n">
        <v>45574</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41153-2024</t>
        </is>
      </c>
      <c r="B2067" s="1" t="n">
        <v>45559</v>
      </c>
      <c r="C2067" s="1" t="n">
        <v>45574</v>
      </c>
      <c r="D2067" t="inlineStr">
        <is>
          <t>VÄSTERNORRLANDS LÄN</t>
        </is>
      </c>
      <c r="E2067" t="inlineStr">
        <is>
          <t>ÅNGE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41355-2024</t>
        </is>
      </c>
      <c r="B2068" s="1" t="n">
        <v>45559</v>
      </c>
      <c r="C2068" s="1" t="n">
        <v>45574</v>
      </c>
      <c r="D2068" t="inlineStr">
        <is>
          <t>VÄSTERNORRLANDS LÄN</t>
        </is>
      </c>
      <c r="E2068" t="inlineStr">
        <is>
          <t>ÅNGE</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41507-2024</t>
        </is>
      </c>
      <c r="B2069" s="1" t="n">
        <v>45560</v>
      </c>
      <c r="C2069" s="1" t="n">
        <v>45574</v>
      </c>
      <c r="D2069" t="inlineStr">
        <is>
          <t>VÄSTERNORRLANDS LÄN</t>
        </is>
      </c>
      <c r="E2069" t="inlineStr">
        <is>
          <t>ÅNGE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41575-2024</t>
        </is>
      </c>
      <c r="B2070" s="1" t="n">
        <v>45560</v>
      </c>
      <c r="C2070" s="1" t="n">
        <v>45574</v>
      </c>
      <c r="D2070" t="inlineStr">
        <is>
          <t>VÄSTERNORRLANDS LÄN</t>
        </is>
      </c>
      <c r="E2070" t="inlineStr">
        <is>
          <t>ÅNGE</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41586-2024</t>
        </is>
      </c>
      <c r="B2071" s="1" t="n">
        <v>45560</v>
      </c>
      <c r="C2071" s="1" t="n">
        <v>45574</v>
      </c>
      <c r="D2071" t="inlineStr">
        <is>
          <t>VÄSTERNORRLANDS LÄN</t>
        </is>
      </c>
      <c r="E2071" t="inlineStr">
        <is>
          <t>ÅNGE</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41564-2024</t>
        </is>
      </c>
      <c r="B2072" s="1" t="n">
        <v>45560</v>
      </c>
      <c r="C2072" s="1" t="n">
        <v>45574</v>
      </c>
      <c r="D2072" t="inlineStr">
        <is>
          <t>VÄSTERNORRLANDS LÄN</t>
        </is>
      </c>
      <c r="E2072" t="inlineStr">
        <is>
          <t>ÅNGE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41758-2024</t>
        </is>
      </c>
      <c r="B2073" s="1" t="n">
        <v>45561</v>
      </c>
      <c r="C2073" s="1" t="n">
        <v>45574</v>
      </c>
      <c r="D2073" t="inlineStr">
        <is>
          <t>VÄSTERNORRLANDS LÄN</t>
        </is>
      </c>
      <c r="E2073" t="inlineStr">
        <is>
          <t>ÅNGE</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41766-2024</t>
        </is>
      </c>
      <c r="B2074" s="1" t="n">
        <v>45561</v>
      </c>
      <c r="C2074" s="1" t="n">
        <v>45574</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41764-2024</t>
        </is>
      </c>
      <c r="B2075" s="1" t="n">
        <v>45561</v>
      </c>
      <c r="C2075" s="1" t="n">
        <v>45574</v>
      </c>
      <c r="D2075" t="inlineStr">
        <is>
          <t>VÄSTERNORRLANDS LÄN</t>
        </is>
      </c>
      <c r="E2075" t="inlineStr">
        <is>
          <t>ÅNGE</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41781-2024</t>
        </is>
      </c>
      <c r="B2076" s="1" t="n">
        <v>45561</v>
      </c>
      <c r="C2076" s="1" t="n">
        <v>45574</v>
      </c>
      <c r="D2076" t="inlineStr">
        <is>
          <t>VÄSTERNORRLANDS LÄN</t>
        </is>
      </c>
      <c r="E2076" t="inlineStr">
        <is>
          <t>ÅNGE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42046-2024</t>
        </is>
      </c>
      <c r="B2077" s="1" t="n">
        <v>45561</v>
      </c>
      <c r="C2077" s="1" t="n">
        <v>45574</v>
      </c>
      <c r="D2077" t="inlineStr">
        <is>
          <t>VÄSTERNORRLANDS LÄN</t>
        </is>
      </c>
      <c r="E2077" t="inlineStr">
        <is>
          <t>ÅNGE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42004-2024</t>
        </is>
      </c>
      <c r="B2078" s="1" t="n">
        <v>45561</v>
      </c>
      <c r="C2078" s="1" t="n">
        <v>45574</v>
      </c>
      <c r="D2078" t="inlineStr">
        <is>
          <t>VÄSTERNORRLANDS LÄN</t>
        </is>
      </c>
      <c r="E2078" t="inlineStr">
        <is>
          <t>ÅNGE</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42043-2024</t>
        </is>
      </c>
      <c r="B2079" s="1" t="n">
        <v>45561</v>
      </c>
      <c r="C2079" s="1" t="n">
        <v>45574</v>
      </c>
      <c r="D2079" t="inlineStr">
        <is>
          <t>VÄSTERNORRLANDS LÄN</t>
        </is>
      </c>
      <c r="E2079" t="inlineStr">
        <is>
          <t>ÅNGE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42040-2024</t>
        </is>
      </c>
      <c r="B2080" s="1" t="n">
        <v>45561</v>
      </c>
      <c r="C2080" s="1" t="n">
        <v>45574</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42044-2024</t>
        </is>
      </c>
      <c r="B2081" s="1" t="n">
        <v>45561</v>
      </c>
      <c r="C2081" s="1" t="n">
        <v>45574</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42090-2024</t>
        </is>
      </c>
      <c r="B2082" s="1" t="n">
        <v>45562</v>
      </c>
      <c r="C2082" s="1" t="n">
        <v>45574</v>
      </c>
      <c r="D2082" t="inlineStr">
        <is>
          <t>VÄSTERNORRLANDS LÄN</t>
        </is>
      </c>
      <c r="E2082" t="inlineStr">
        <is>
          <t>ÅNGE</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42098-2024</t>
        </is>
      </c>
      <c r="B2083" s="1" t="n">
        <v>45562</v>
      </c>
      <c r="C2083" s="1" t="n">
        <v>45574</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42488-2024</t>
        </is>
      </c>
      <c r="B2084" s="1" t="n">
        <v>45565</v>
      </c>
      <c r="C2084" s="1" t="n">
        <v>45574</v>
      </c>
      <c r="D2084" t="inlineStr">
        <is>
          <t>VÄSTERNORRLANDS LÄN</t>
        </is>
      </c>
      <c r="E2084" t="inlineStr">
        <is>
          <t>ÅNGE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42529-2024</t>
        </is>
      </c>
      <c r="B2085" s="1" t="n">
        <v>45565</v>
      </c>
      <c r="C2085" s="1" t="n">
        <v>45574</v>
      </c>
      <c r="D2085" t="inlineStr">
        <is>
          <t>VÄSTERNORRLANDS LÄN</t>
        </is>
      </c>
      <c r="E2085" t="inlineStr">
        <is>
          <t>ÅNGE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42881-2024</t>
        </is>
      </c>
      <c r="B2086" s="1" t="n">
        <v>45566</v>
      </c>
      <c r="C2086" s="1" t="n">
        <v>45574</v>
      </c>
      <c r="D2086" t="inlineStr">
        <is>
          <t>VÄSTERNORRLANDS LÄN</t>
        </is>
      </c>
      <c r="E2086" t="inlineStr">
        <is>
          <t>ÅNGE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42880-2024</t>
        </is>
      </c>
      <c r="B2087" s="1" t="n">
        <v>45566</v>
      </c>
      <c r="C2087" s="1" t="n">
        <v>45574</v>
      </c>
      <c r="D2087" t="inlineStr">
        <is>
          <t>VÄSTERNORRLANDS LÄN</t>
        </is>
      </c>
      <c r="E2087" t="inlineStr">
        <is>
          <t>ÅNGE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42958-2024</t>
        </is>
      </c>
      <c r="B2088" s="1" t="n">
        <v>45567</v>
      </c>
      <c r="C2088" s="1" t="n">
        <v>45574</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42953-2024</t>
        </is>
      </c>
      <c r="B2089" s="1" t="n">
        <v>45567</v>
      </c>
      <c r="C2089" s="1" t="n">
        <v>45574</v>
      </c>
      <c r="D2089" t="inlineStr">
        <is>
          <t>VÄSTERNORRLANDS LÄN</t>
        </is>
      </c>
      <c r="E2089" t="inlineStr">
        <is>
          <t>ÅNGE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42969-2024</t>
        </is>
      </c>
      <c r="B2090" s="1" t="n">
        <v>45567</v>
      </c>
      <c r="C2090" s="1" t="n">
        <v>45574</v>
      </c>
      <c r="D2090" t="inlineStr">
        <is>
          <t>VÄSTERNORRLANDS LÄN</t>
        </is>
      </c>
      <c r="E2090" t="inlineStr">
        <is>
          <t>ÅNGE</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42948-2024</t>
        </is>
      </c>
      <c r="B2091" s="1" t="n">
        <v>45567</v>
      </c>
      <c r="C2091" s="1" t="n">
        <v>45574</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42968-2024</t>
        </is>
      </c>
      <c r="B2092" s="1" t="n">
        <v>45567</v>
      </c>
      <c r="C2092" s="1" t="n">
        <v>45574</v>
      </c>
      <c r="D2092" t="inlineStr">
        <is>
          <t>VÄSTERNORRLANDS LÄN</t>
        </is>
      </c>
      <c r="E2092" t="inlineStr">
        <is>
          <t>ÅNGE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43145-2024</t>
        </is>
      </c>
      <c r="B2093" s="1" t="n">
        <v>45567</v>
      </c>
      <c r="C2093" s="1" t="n">
        <v>45574</v>
      </c>
      <c r="D2093" t="inlineStr">
        <is>
          <t>VÄSTERNORRLANDS LÄN</t>
        </is>
      </c>
      <c r="E2093" t="inlineStr">
        <is>
          <t>ÅNGE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42999-2024</t>
        </is>
      </c>
      <c r="B2094" s="1" t="n">
        <v>45567</v>
      </c>
      <c r="C2094" s="1" t="n">
        <v>45574</v>
      </c>
      <c r="D2094" t="inlineStr">
        <is>
          <t>VÄSTERNORRLANDS LÄN</t>
        </is>
      </c>
      <c r="E2094" t="inlineStr">
        <is>
          <t>ÅNGE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43139-2024</t>
        </is>
      </c>
      <c r="B2095" s="1" t="n">
        <v>45567</v>
      </c>
      <c r="C2095" s="1" t="n">
        <v>45574</v>
      </c>
      <c r="D2095" t="inlineStr">
        <is>
          <t>VÄSTERNORRLANDS LÄN</t>
        </is>
      </c>
      <c r="E2095" t="inlineStr">
        <is>
          <t>ÅNGE</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43184-2024</t>
        </is>
      </c>
      <c r="B2096" s="1" t="n">
        <v>45567</v>
      </c>
      <c r="C2096" s="1" t="n">
        <v>45574</v>
      </c>
      <c r="D2096" t="inlineStr">
        <is>
          <t>VÄSTERNORRLANDS LÄN</t>
        </is>
      </c>
      <c r="E2096" t="inlineStr">
        <is>
          <t>ÅNGE</t>
        </is>
      </c>
      <c r="G2096" t="n">
        <v>15.3</v>
      </c>
      <c r="H2096" t="n">
        <v>0</v>
      </c>
      <c r="I2096" t="n">
        <v>0</v>
      </c>
      <c r="J2096" t="n">
        <v>0</v>
      </c>
      <c r="K2096" t="n">
        <v>0</v>
      </c>
      <c r="L2096" t="n">
        <v>0</v>
      </c>
      <c r="M2096" t="n">
        <v>0</v>
      </c>
      <c r="N2096" t="n">
        <v>0</v>
      </c>
      <c r="O2096" t="n">
        <v>0</v>
      </c>
      <c r="P2096" t="n">
        <v>0</v>
      </c>
      <c r="Q2096" t="n">
        <v>0</v>
      </c>
      <c r="R2096" s="2" t="inlineStr"/>
    </row>
    <row r="2097" ht="15" customHeight="1">
      <c r="A2097" t="inlineStr">
        <is>
          <t>A 43190-2024</t>
        </is>
      </c>
      <c r="B2097" s="1" t="n">
        <v>45567</v>
      </c>
      <c r="C2097" s="1" t="n">
        <v>45574</v>
      </c>
      <c r="D2097" t="inlineStr">
        <is>
          <t>VÄSTERNORRLANDS LÄN</t>
        </is>
      </c>
      <c r="E2097" t="inlineStr">
        <is>
          <t>ÅNGE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43366-2024</t>
        </is>
      </c>
      <c r="B2098" s="1" t="n">
        <v>45568</v>
      </c>
      <c r="C2098" s="1" t="n">
        <v>45574</v>
      </c>
      <c r="D2098" t="inlineStr">
        <is>
          <t>VÄSTERNORRLANDS LÄN</t>
        </is>
      </c>
      <c r="E2098" t="inlineStr">
        <is>
          <t>ÅNGE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43343-2024</t>
        </is>
      </c>
      <c r="B2099" s="1" t="n">
        <v>45568</v>
      </c>
      <c r="C2099" s="1" t="n">
        <v>45574</v>
      </c>
      <c r="D2099" t="inlineStr">
        <is>
          <t>VÄSTERNORRLANDS LÄN</t>
        </is>
      </c>
      <c r="E2099" t="inlineStr">
        <is>
          <t>ÅNGE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43970-2024</t>
        </is>
      </c>
      <c r="B2100" s="1" t="n">
        <v>45571</v>
      </c>
      <c r="C2100" s="1" t="n">
        <v>45574</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43842-2024</t>
        </is>
      </c>
      <c r="B2101" s="1" t="n">
        <v>45572</v>
      </c>
      <c r="C2101" s="1" t="n">
        <v>45574</v>
      </c>
      <c r="D2101" t="inlineStr">
        <is>
          <t>VÄSTERNORRLANDS LÄN</t>
        </is>
      </c>
      <c r="E2101" t="inlineStr">
        <is>
          <t>ÅNGE</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44158-2024</t>
        </is>
      </c>
      <c r="B2102" s="1" t="n">
        <v>45572</v>
      </c>
      <c r="C2102" s="1" t="n">
        <v>45574</v>
      </c>
      <c r="D2102" t="inlineStr">
        <is>
          <t>VÄSTERNORRLANDS LÄN</t>
        </is>
      </c>
      <c r="E2102" t="inlineStr">
        <is>
          <t>ÅNGE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44389-2024</t>
        </is>
      </c>
      <c r="B2103" s="1" t="n">
        <v>45573</v>
      </c>
      <c r="C2103" s="1" t="n">
        <v>45574</v>
      </c>
      <c r="D2103" t="inlineStr">
        <is>
          <t>VÄSTERNORRLANDS LÄN</t>
        </is>
      </c>
      <c r="E2103" t="inlineStr">
        <is>
          <t>ÅNGE</t>
        </is>
      </c>
      <c r="G2103" t="n">
        <v>4.6</v>
      </c>
      <c r="H2103" t="n">
        <v>0</v>
      </c>
      <c r="I2103" t="n">
        <v>0</v>
      </c>
      <c r="J2103" t="n">
        <v>0</v>
      </c>
      <c r="K2103" t="n">
        <v>0</v>
      </c>
      <c r="L2103" t="n">
        <v>0</v>
      </c>
      <c r="M2103" t="n">
        <v>0</v>
      </c>
      <c r="N2103" t="n">
        <v>0</v>
      </c>
      <c r="O2103" t="n">
        <v>0</v>
      </c>
      <c r="P2103" t="n">
        <v>0</v>
      </c>
      <c r="Q2103" t="n">
        <v>0</v>
      </c>
      <c r="R2103" s="2" t="inlineStr"/>
    </row>
    <row r="2104">
      <c r="A2104" t="inlineStr">
        <is>
          <t>A 44386-2024</t>
        </is>
      </c>
      <c r="B2104" s="1" t="n">
        <v>45573</v>
      </c>
      <c r="C2104" s="1" t="n">
        <v>45574</v>
      </c>
      <c r="D2104" t="inlineStr">
        <is>
          <t>VÄSTERNORRLANDS LÄN</t>
        </is>
      </c>
      <c r="E2104" t="inlineStr">
        <is>
          <t>ÅNGE</t>
        </is>
      </c>
      <c r="G2104" t="n">
        <v>0.7</v>
      </c>
      <c r="H2104" t="n">
        <v>0</v>
      </c>
      <c r="I2104" t="n">
        <v>0</v>
      </c>
      <c r="J2104" t="n">
        <v>0</v>
      </c>
      <c r="K2104" t="n">
        <v>0</v>
      </c>
      <c r="L2104" t="n">
        <v>0</v>
      </c>
      <c r="M2104" t="n">
        <v>0</v>
      </c>
      <c r="N2104" t="n">
        <v>0</v>
      </c>
      <c r="O2104" t="n">
        <v>0</v>
      </c>
      <c r="P2104" t="n">
        <v>0</v>
      </c>
      <c r="Q2104" t="n">
        <v>0</v>
      </c>
      <c r="R2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2024-10-09T12:47:03Z</dcterms:created>
  <dcterms:modified xmlns:dcterms="http://purl.org/dc/terms/" xmlns:xsi="http://www.w3.org/2001/XMLSchema-instance" xsi:type="dcterms:W3CDTF">2024-10-09T12:47:05Z</dcterms:modified>
</cp:coreProperties>
</file>