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45939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45939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45939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45939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45939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45939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45939</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45939</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45924.63805555556</v>
      </c>
      <c r="C29" s="1" t="n">
        <v>45939</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62868-2020</t>
        </is>
      </c>
      <c r="B30" s="1" t="n">
        <v>44161</v>
      </c>
      <c r="C30" s="1" t="n">
        <v>45939</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64944-2023</t>
        </is>
      </c>
      <c r="B31" s="1" t="n">
        <v>45282</v>
      </c>
      <c r="C31" s="1" t="n">
        <v>45939</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45939</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45939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45939</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45939</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45939</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11894-2022</t>
        </is>
      </c>
      <c r="B38" s="1" t="n">
        <v>44635</v>
      </c>
      <c r="C38" s="1" t="n">
        <v>45939</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41874-2025</t>
        </is>
      </c>
      <c r="B39" s="1" t="n">
        <v>45903.3452662037</v>
      </c>
      <c r="C39" s="1" t="n">
        <v>45939</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39496-2024</t>
        </is>
      </c>
      <c r="B40" s="1" t="n">
        <v>45551</v>
      </c>
      <c r="C40" s="1" t="n">
        <v>45939</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45939</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45939</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45939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45939</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33783-2025</t>
        </is>
      </c>
      <c r="B45" s="1" t="n">
        <v>45842.40699074074</v>
      </c>
      <c r="C45" s="1" t="n">
        <v>45939</v>
      </c>
      <c r="D45" t="inlineStr">
        <is>
          <t>VÄSTERNORRLANDS LÄN</t>
        </is>
      </c>
      <c r="E45" t="inlineStr">
        <is>
          <t>ÅNGE</t>
        </is>
      </c>
      <c r="F45" t="inlineStr">
        <is>
          <t>SCA</t>
        </is>
      </c>
      <c r="G45" t="n">
        <v>9.300000000000001</v>
      </c>
      <c r="H45" t="n">
        <v>5</v>
      </c>
      <c r="I45" t="n">
        <v>3</v>
      </c>
      <c r="J45" t="n">
        <v>3</v>
      </c>
      <c r="K45" t="n">
        <v>0</v>
      </c>
      <c r="L45" t="n">
        <v>0</v>
      </c>
      <c r="M45" t="n">
        <v>0</v>
      </c>
      <c r="N45" t="n">
        <v>0</v>
      </c>
      <c r="O45" t="n">
        <v>3</v>
      </c>
      <c r="P45" t="n">
        <v>0</v>
      </c>
      <c r="Q45" t="n">
        <v>10</v>
      </c>
      <c r="R45" s="2" t="inlineStr">
        <is>
          <t>Gultoppig fingersvamp
Järpe
Lunglav
Kransrams
Stuplav
Ögonpyrola
Orre
Tjäder
Fläcknycklar
Revlummer</t>
        </is>
      </c>
      <c r="S45">
        <f>HYPERLINK("https://klasma.github.io/Logging_2260/artfynd/A 33783-2025 artfynd.xlsx", "A 33783-2025")</f>
        <v/>
      </c>
      <c r="T45">
        <f>HYPERLINK("https://klasma.github.io/Logging_2260/kartor/A 33783-2025 karta.png", "A 33783-2025")</f>
        <v/>
      </c>
      <c r="V45">
        <f>HYPERLINK("https://klasma.github.io/Logging_2260/klagomål/A 33783-2025 FSC-klagomål.docx", "A 33783-2025")</f>
        <v/>
      </c>
      <c r="W45">
        <f>HYPERLINK("https://klasma.github.io/Logging_2260/klagomålsmail/A 33783-2025 FSC-klagomål mail.docx", "A 33783-2025")</f>
        <v/>
      </c>
      <c r="X45">
        <f>HYPERLINK("https://klasma.github.io/Logging_2260/tillsyn/A 33783-2025 tillsynsbegäran.docx", "A 33783-2025")</f>
        <v/>
      </c>
      <c r="Y45">
        <f>HYPERLINK("https://klasma.github.io/Logging_2260/tillsynsmail/A 33783-2025 tillsynsbegäran mail.docx", "A 33783-2025")</f>
        <v/>
      </c>
      <c r="Z45">
        <f>HYPERLINK("https://klasma.github.io/Logging_2260/fåglar/A 33783-2025 prioriterade fågelarter.docx", "A 33783-2025")</f>
        <v/>
      </c>
    </row>
    <row r="46" ht="15" customHeight="1">
      <c r="A46" t="inlineStr">
        <is>
          <t>A 34519-2022</t>
        </is>
      </c>
      <c r="B46" s="1" t="n">
        <v>44792</v>
      </c>
      <c r="C46" s="1" t="n">
        <v>45939</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20694-2022</t>
        </is>
      </c>
      <c r="B47" s="1" t="n">
        <v>44700</v>
      </c>
      <c r="C47" s="1" t="n">
        <v>45939</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45939</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45939</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34786-2021</t>
        </is>
      </c>
      <c r="B50" s="1" t="n">
        <v>44382</v>
      </c>
      <c r="C50" s="1" t="n">
        <v>45939</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42962-2024</t>
        </is>
      </c>
      <c r="B51" s="1" t="n">
        <v>45567.37194444444</v>
      </c>
      <c r="C51" s="1" t="n">
        <v>45939</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26473-2025</t>
        </is>
      </c>
      <c r="B52" s="1" t="n">
        <v>45807</v>
      </c>
      <c r="C52" s="1" t="n">
        <v>45939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45939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45939</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45939</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45939</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45939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45939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45939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45939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45939</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45939</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45939</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45939</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45939</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45939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3348-2021</t>
        </is>
      </c>
      <c r="B68" s="1" t="n">
        <v>44217</v>
      </c>
      <c r="C68" s="1" t="n">
        <v>45939</v>
      </c>
      <c r="D68" t="inlineStr">
        <is>
          <t>VÄSTERNORRLANDS LÄN</t>
        </is>
      </c>
      <c r="E68" t="inlineStr">
        <is>
          <t>ÅNGE</t>
        </is>
      </c>
      <c r="F68" t="inlineStr">
        <is>
          <t>SCA</t>
        </is>
      </c>
      <c r="G68" t="n">
        <v>6.3</v>
      </c>
      <c r="H68" t="n">
        <v>1</v>
      </c>
      <c r="I68" t="n">
        <v>1</v>
      </c>
      <c r="J68" t="n">
        <v>5</v>
      </c>
      <c r="K68" t="n">
        <v>0</v>
      </c>
      <c r="L68" t="n">
        <v>0</v>
      </c>
      <c r="M68" t="n">
        <v>0</v>
      </c>
      <c r="N68" t="n">
        <v>0</v>
      </c>
      <c r="O68" t="n">
        <v>5</v>
      </c>
      <c r="P68" t="n">
        <v>0</v>
      </c>
      <c r="Q68" t="n">
        <v>6</v>
      </c>
      <c r="R68" s="2" t="inlineStr">
        <is>
          <t>Gammelgransskål
Garnlav
Rosenticka
Tretåig hackspett
Vitgrynig nållav
Barkkornlav</t>
        </is>
      </c>
      <c r="S68">
        <f>HYPERLINK("https://klasma.github.io/Logging_2260/artfynd/A 3348-2021 artfynd.xlsx", "A 3348-2021")</f>
        <v/>
      </c>
      <c r="T68">
        <f>HYPERLINK("https://klasma.github.io/Logging_2260/kartor/A 3348-2021 karta.png", "A 3348-2021")</f>
        <v/>
      </c>
      <c r="V68">
        <f>HYPERLINK("https://klasma.github.io/Logging_2260/klagomål/A 3348-2021 FSC-klagomål.docx", "A 3348-2021")</f>
        <v/>
      </c>
      <c r="W68">
        <f>HYPERLINK("https://klasma.github.io/Logging_2260/klagomålsmail/A 3348-2021 FSC-klagomål mail.docx", "A 3348-2021")</f>
        <v/>
      </c>
      <c r="X68">
        <f>HYPERLINK("https://klasma.github.io/Logging_2260/tillsyn/A 3348-2021 tillsynsbegäran.docx", "A 3348-2021")</f>
        <v/>
      </c>
      <c r="Y68">
        <f>HYPERLINK("https://klasma.github.io/Logging_2260/tillsynsmail/A 3348-2021 tillsynsbegäran mail.docx", "A 3348-2021")</f>
        <v/>
      </c>
      <c r="Z68">
        <f>HYPERLINK("https://klasma.github.io/Logging_2260/fåglar/A 3348-2021 prioriterade fågelarter.docx", "A 3348-2021")</f>
        <v/>
      </c>
    </row>
    <row r="69" ht="15" customHeight="1">
      <c r="A69" t="inlineStr">
        <is>
          <t>A 26363-2023</t>
        </is>
      </c>
      <c r="B69" s="1" t="n">
        <v>45091</v>
      </c>
      <c r="C69" s="1" t="n">
        <v>45939</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45402-2025</t>
        </is>
      </c>
      <c r="B70" s="1" t="n">
        <v>45922.4278587963</v>
      </c>
      <c r="C70" s="1" t="n">
        <v>45939</v>
      </c>
      <c r="D70" t="inlineStr">
        <is>
          <t>VÄSTERNORRLANDS LÄN</t>
        </is>
      </c>
      <c r="E70" t="inlineStr">
        <is>
          <t>ÅNGE</t>
        </is>
      </c>
      <c r="F70" t="inlineStr">
        <is>
          <t>SCA</t>
        </is>
      </c>
      <c r="G70" t="n">
        <v>2.9</v>
      </c>
      <c r="H70" t="n">
        <v>0</v>
      </c>
      <c r="I70" t="n">
        <v>2</v>
      </c>
      <c r="J70" t="n">
        <v>4</v>
      </c>
      <c r="K70" t="n">
        <v>0</v>
      </c>
      <c r="L70" t="n">
        <v>0</v>
      </c>
      <c r="M70" t="n">
        <v>0</v>
      </c>
      <c r="N70" t="n">
        <v>0</v>
      </c>
      <c r="O70" t="n">
        <v>4</v>
      </c>
      <c r="P70" t="n">
        <v>0</v>
      </c>
      <c r="Q70" t="n">
        <v>6</v>
      </c>
      <c r="R70" s="2" t="inlineStr">
        <is>
          <t>Garnlav
Kolflarnlav
Lunglav
Ullticka
Dropptaggsvamp
Vedticka</t>
        </is>
      </c>
      <c r="S70">
        <f>HYPERLINK("https://klasma.github.io/Logging_2260/artfynd/A 45402-2025 artfynd.xlsx", "A 45402-2025")</f>
        <v/>
      </c>
      <c r="T70">
        <f>HYPERLINK("https://klasma.github.io/Logging_2260/kartor/A 45402-2025 karta.png", "A 45402-2025")</f>
        <v/>
      </c>
      <c r="V70">
        <f>HYPERLINK("https://klasma.github.io/Logging_2260/klagomål/A 45402-2025 FSC-klagomål.docx", "A 45402-2025")</f>
        <v/>
      </c>
      <c r="W70">
        <f>HYPERLINK("https://klasma.github.io/Logging_2260/klagomålsmail/A 45402-2025 FSC-klagomål mail.docx", "A 45402-2025")</f>
        <v/>
      </c>
      <c r="X70">
        <f>HYPERLINK("https://klasma.github.io/Logging_2260/tillsyn/A 45402-2025 tillsynsbegäran.docx", "A 45402-2025")</f>
        <v/>
      </c>
      <c r="Y70">
        <f>HYPERLINK("https://klasma.github.io/Logging_2260/tillsynsmail/A 45402-2025 tillsynsbegäran mail.docx", "A 45402-2025")</f>
        <v/>
      </c>
    </row>
    <row r="71" ht="15" customHeight="1">
      <c r="A71" t="inlineStr">
        <is>
          <t>A 31509-2024</t>
        </is>
      </c>
      <c r="B71" s="1" t="n">
        <v>45505</v>
      </c>
      <c r="C71" s="1" t="n">
        <v>45939</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34694-2023</t>
        </is>
      </c>
      <c r="B72" s="1" t="n">
        <v>45140.96324074074</v>
      </c>
      <c r="C72" s="1" t="n">
        <v>45939</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27955-2021</t>
        </is>
      </c>
      <c r="B73" s="1" t="n">
        <v>44354</v>
      </c>
      <c r="C73" s="1" t="n">
        <v>45939</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10085-2023</t>
        </is>
      </c>
      <c r="B74" s="1" t="n">
        <v>44985.9447337963</v>
      </c>
      <c r="C74" s="1" t="n">
        <v>45939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45939</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39570-2025</t>
        </is>
      </c>
      <c r="B76" s="1" t="n">
        <v>45890.49009259259</v>
      </c>
      <c r="C76" s="1" t="n">
        <v>45939</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55176-2024</t>
        </is>
      </c>
      <c r="B77" s="1" t="n">
        <v>45621</v>
      </c>
      <c r="C77" s="1" t="n">
        <v>45939</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19010-2025</t>
        </is>
      </c>
      <c r="B78" s="1" t="n">
        <v>45764</v>
      </c>
      <c r="C78" s="1" t="n">
        <v>45939</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31364-2022</t>
        </is>
      </c>
      <c r="B79" s="1" t="n">
        <v>44774</v>
      </c>
      <c r="C79" s="1" t="n">
        <v>45939</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45939</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27914-2024</t>
        </is>
      </c>
      <c r="B81" s="1" t="n">
        <v>45475</v>
      </c>
      <c r="C81" s="1" t="n">
        <v>45939</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45939</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46375-2025</t>
        </is>
      </c>
      <c r="B83" s="1" t="n">
        <v>45925.51097222222</v>
      </c>
      <c r="C83" s="1" t="n">
        <v>45939</v>
      </c>
      <c r="D83" t="inlineStr">
        <is>
          <t>VÄSTERNORRLANDS LÄN</t>
        </is>
      </c>
      <c r="E83" t="inlineStr">
        <is>
          <t>ÅNGE</t>
        </is>
      </c>
      <c r="F83" t="inlineStr">
        <is>
          <t>SCA</t>
        </is>
      </c>
      <c r="G83" t="n">
        <v>4.7</v>
      </c>
      <c r="H83" t="n">
        <v>1</v>
      </c>
      <c r="I83" t="n">
        <v>1</v>
      </c>
      <c r="J83" t="n">
        <v>3</v>
      </c>
      <c r="K83" t="n">
        <v>0</v>
      </c>
      <c r="L83" t="n">
        <v>0</v>
      </c>
      <c r="M83" t="n">
        <v>0</v>
      </c>
      <c r="N83" t="n">
        <v>0</v>
      </c>
      <c r="O83" t="n">
        <v>3</v>
      </c>
      <c r="P83" t="n">
        <v>0</v>
      </c>
      <c r="Q83" t="n">
        <v>5</v>
      </c>
      <c r="R83" s="2" t="inlineStr">
        <is>
          <t>Garnlav
Lunglav
Ullticka
Dropptaggsvamp
Tjäder</t>
        </is>
      </c>
      <c r="S83">
        <f>HYPERLINK("https://klasma.github.io/Logging_2260/artfynd/A 46375-2025 artfynd.xlsx", "A 46375-2025")</f>
        <v/>
      </c>
      <c r="T83">
        <f>HYPERLINK("https://klasma.github.io/Logging_2260/kartor/A 46375-2025 karta.png", "A 46375-2025")</f>
        <v/>
      </c>
      <c r="V83">
        <f>HYPERLINK("https://klasma.github.io/Logging_2260/klagomål/A 46375-2025 FSC-klagomål.docx", "A 46375-2025")</f>
        <v/>
      </c>
      <c r="W83">
        <f>HYPERLINK("https://klasma.github.io/Logging_2260/klagomålsmail/A 46375-2025 FSC-klagomål mail.docx", "A 46375-2025")</f>
        <v/>
      </c>
      <c r="X83">
        <f>HYPERLINK("https://klasma.github.io/Logging_2260/tillsyn/A 46375-2025 tillsynsbegäran.docx", "A 46375-2025")</f>
        <v/>
      </c>
      <c r="Y83">
        <f>HYPERLINK("https://klasma.github.io/Logging_2260/tillsynsmail/A 46375-2025 tillsynsbegäran mail.docx", "A 46375-2025")</f>
        <v/>
      </c>
      <c r="Z83">
        <f>HYPERLINK("https://klasma.github.io/Logging_2260/fåglar/A 46375-2025 prioriterade fågelarter.docx", "A 46375-2025")</f>
        <v/>
      </c>
    </row>
    <row r="84" ht="15" customHeight="1">
      <c r="A84" t="inlineStr">
        <is>
          <t>A 38327-2025</t>
        </is>
      </c>
      <c r="B84" s="1" t="n">
        <v>45883.49084490741</v>
      </c>
      <c r="C84" s="1" t="n">
        <v>45939</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62640-2020</t>
        </is>
      </c>
      <c r="B85" s="1" t="n">
        <v>44161</v>
      </c>
      <c r="C85" s="1" t="n">
        <v>45939</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38322-2025</t>
        </is>
      </c>
      <c r="B86" s="1" t="n">
        <v>45883.49003472222</v>
      </c>
      <c r="C86" s="1" t="n">
        <v>45939</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13696-2023</t>
        </is>
      </c>
      <c r="B87" s="1" t="n">
        <v>45006</v>
      </c>
      <c r="C87" s="1" t="n">
        <v>45939</v>
      </c>
      <c r="D87" t="inlineStr">
        <is>
          <t>VÄSTERNORRLANDS LÄN</t>
        </is>
      </c>
      <c r="E87" t="inlineStr">
        <is>
          <t>ÅNGE</t>
        </is>
      </c>
      <c r="F87" t="inlineStr">
        <is>
          <t>SCA</t>
        </is>
      </c>
      <c r="G87" t="n">
        <v>47.6</v>
      </c>
      <c r="H87" t="n">
        <v>1</v>
      </c>
      <c r="I87" t="n">
        <v>0</v>
      </c>
      <c r="J87" t="n">
        <v>4</v>
      </c>
      <c r="K87" t="n">
        <v>1</v>
      </c>
      <c r="L87" t="n">
        <v>0</v>
      </c>
      <c r="M87" t="n">
        <v>0</v>
      </c>
      <c r="N87" t="n">
        <v>0</v>
      </c>
      <c r="O87" t="n">
        <v>5</v>
      </c>
      <c r="P87" t="n">
        <v>1</v>
      </c>
      <c r="Q87" t="n">
        <v>5</v>
      </c>
      <c r="R87" s="2" t="inlineStr">
        <is>
          <t>Knärot
Dvärgbägarlav
Knottrig blåslav
Mörk kolflarnlav
Nordtagging</t>
        </is>
      </c>
      <c r="S87">
        <f>HYPERLINK("https://klasma.github.io/Logging_2260/artfynd/A 13696-2023 artfynd.xlsx", "A 13696-2023")</f>
        <v/>
      </c>
      <c r="T87">
        <f>HYPERLINK("https://klasma.github.io/Logging_2260/kartor/A 13696-2023 karta.png", "A 13696-2023")</f>
        <v/>
      </c>
      <c r="U87">
        <f>HYPERLINK("https://klasma.github.io/Logging_2260/knärot/A 13696-2023 karta knärot.png", "A 13696-2023")</f>
        <v/>
      </c>
      <c r="V87">
        <f>HYPERLINK("https://klasma.github.io/Logging_2260/klagomål/A 13696-2023 FSC-klagomål.docx", "A 13696-2023")</f>
        <v/>
      </c>
      <c r="W87">
        <f>HYPERLINK("https://klasma.github.io/Logging_2260/klagomålsmail/A 13696-2023 FSC-klagomål mail.docx", "A 13696-2023")</f>
        <v/>
      </c>
      <c r="X87">
        <f>HYPERLINK("https://klasma.github.io/Logging_2260/tillsyn/A 13696-2023 tillsynsbegäran.docx", "A 13696-2023")</f>
        <v/>
      </c>
      <c r="Y87">
        <f>HYPERLINK("https://klasma.github.io/Logging_2260/tillsynsmail/A 13696-2023 tillsynsbegäran mail.docx", "A 13696-2023")</f>
        <v/>
      </c>
    </row>
    <row r="88" ht="15" customHeight="1">
      <c r="A88" t="inlineStr">
        <is>
          <t>A 51065-2024</t>
        </is>
      </c>
      <c r="B88" s="1" t="n">
        <v>45603</v>
      </c>
      <c r="C88" s="1" t="n">
        <v>45939</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52269-2024</t>
        </is>
      </c>
      <c r="B89" s="1" t="n">
        <v>45608.65660879629</v>
      </c>
      <c r="C89" s="1" t="n">
        <v>45939</v>
      </c>
      <c r="D89" t="inlineStr">
        <is>
          <t>VÄSTERNORRLANDS LÄN</t>
        </is>
      </c>
      <c r="E89" t="inlineStr">
        <is>
          <t>ÅNGE</t>
        </is>
      </c>
      <c r="F89" t="inlineStr">
        <is>
          <t>SCA</t>
        </is>
      </c>
      <c r="G89" t="n">
        <v>5.1</v>
      </c>
      <c r="H89" t="n">
        <v>0</v>
      </c>
      <c r="I89" t="n">
        <v>2</v>
      </c>
      <c r="J89" t="n">
        <v>3</v>
      </c>
      <c r="K89" t="n">
        <v>0</v>
      </c>
      <c r="L89" t="n">
        <v>0</v>
      </c>
      <c r="M89" t="n">
        <v>0</v>
      </c>
      <c r="N89" t="n">
        <v>0</v>
      </c>
      <c r="O89" t="n">
        <v>3</v>
      </c>
      <c r="P89" t="n">
        <v>0</v>
      </c>
      <c r="Q89" t="n">
        <v>5</v>
      </c>
      <c r="R89" s="2" t="inlineStr">
        <is>
          <t>Lunglav
Rosenticka
Ullticka
Bårdlav
Stor aspticka</t>
        </is>
      </c>
      <c r="S89">
        <f>HYPERLINK("https://klasma.github.io/Logging_2260/artfynd/A 52269-2024 artfynd.xlsx", "A 52269-2024")</f>
        <v/>
      </c>
      <c r="T89">
        <f>HYPERLINK("https://klasma.github.io/Logging_2260/kartor/A 52269-2024 karta.png", "A 52269-2024")</f>
        <v/>
      </c>
      <c r="V89">
        <f>HYPERLINK("https://klasma.github.io/Logging_2260/klagomål/A 52269-2024 FSC-klagomål.docx", "A 52269-2024")</f>
        <v/>
      </c>
      <c r="W89">
        <f>HYPERLINK("https://klasma.github.io/Logging_2260/klagomålsmail/A 52269-2024 FSC-klagomål mail.docx", "A 52269-2024")</f>
        <v/>
      </c>
      <c r="X89">
        <f>HYPERLINK("https://klasma.github.io/Logging_2260/tillsyn/A 52269-2024 tillsynsbegäran.docx", "A 52269-2024")</f>
        <v/>
      </c>
      <c r="Y89">
        <f>HYPERLINK("https://klasma.github.io/Logging_2260/tillsynsmail/A 52269-2024 tillsynsbegäran mail.docx", "A 52269-2024")</f>
        <v/>
      </c>
    </row>
    <row r="90" ht="15" customHeight="1">
      <c r="A90" t="inlineStr">
        <is>
          <t>A 23601-2025</t>
        </is>
      </c>
      <c r="B90" s="1" t="n">
        <v>45792</v>
      </c>
      <c r="C90" s="1" t="n">
        <v>45939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29880-2025</t>
        </is>
      </c>
      <c r="B91" s="1" t="n">
        <v>45826.36510416667</v>
      </c>
      <c r="C91" s="1" t="n">
        <v>45939</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29880-2025 artfynd.xlsx", "A 29880-2025")</f>
        <v/>
      </c>
      <c r="T91">
        <f>HYPERLINK("https://klasma.github.io/Logging_2260/kartor/A 29880-2025 karta.png", "A 29880-2025")</f>
        <v/>
      </c>
      <c r="V91">
        <f>HYPERLINK("https://klasma.github.io/Logging_2260/klagomål/A 29880-2025 FSC-klagomål.docx", "A 29880-2025")</f>
        <v/>
      </c>
      <c r="W91">
        <f>HYPERLINK("https://klasma.github.io/Logging_2260/klagomålsmail/A 29880-2025 FSC-klagomål mail.docx", "A 29880-2025")</f>
        <v/>
      </c>
      <c r="X91">
        <f>HYPERLINK("https://klasma.github.io/Logging_2260/tillsyn/A 29880-2025 tillsynsbegäran.docx", "A 29880-2025")</f>
        <v/>
      </c>
      <c r="Y91">
        <f>HYPERLINK("https://klasma.github.io/Logging_2260/tillsynsmail/A 29880-2025 tillsynsbegäran mail.docx", "A 29880-2025")</f>
        <v/>
      </c>
      <c r="Z91">
        <f>HYPERLINK("https://klasma.github.io/Logging_2260/fåglar/A 29880-2025 prioriterade fågelarter.docx", "A 29880-2025")</f>
        <v/>
      </c>
    </row>
    <row r="92" ht="15" customHeight="1">
      <c r="A92" t="inlineStr">
        <is>
          <t>A 55004-2023</t>
        </is>
      </c>
      <c r="B92" s="1" t="n">
        <v>45236</v>
      </c>
      <c r="C92" s="1" t="n">
        <v>45939</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43520-2025</t>
        </is>
      </c>
      <c r="B93" s="1" t="n">
        <v>45911.57364583333</v>
      </c>
      <c r="C93" s="1" t="n">
        <v>45939</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46548-2023</t>
        </is>
      </c>
      <c r="B94" s="1" t="n">
        <v>45197</v>
      </c>
      <c r="C94" s="1" t="n">
        <v>45939</v>
      </c>
      <c r="D94" t="inlineStr">
        <is>
          <t>VÄSTERNORRLANDS LÄN</t>
        </is>
      </c>
      <c r="E94" t="inlineStr">
        <is>
          <t>ÅNGE</t>
        </is>
      </c>
      <c r="F94" t="inlineStr">
        <is>
          <t>SCA</t>
        </is>
      </c>
      <c r="G94" t="n">
        <v>4.1</v>
      </c>
      <c r="H94" t="n">
        <v>3</v>
      </c>
      <c r="I94" t="n">
        <v>2</v>
      </c>
      <c r="J94" t="n">
        <v>0</v>
      </c>
      <c r="K94" t="n">
        <v>1</v>
      </c>
      <c r="L94" t="n">
        <v>0</v>
      </c>
      <c r="M94" t="n">
        <v>0</v>
      </c>
      <c r="N94" t="n">
        <v>0</v>
      </c>
      <c r="O94" t="n">
        <v>1</v>
      </c>
      <c r="P94" t="n">
        <v>1</v>
      </c>
      <c r="Q94" t="n">
        <v>4</v>
      </c>
      <c r="R94" s="2" t="inlineStr">
        <is>
          <t>Knärot
Spindelblomster
Svavelriska
Fläcknycklar</t>
        </is>
      </c>
      <c r="S94">
        <f>HYPERLINK("https://klasma.github.io/Logging_2260/artfynd/A 46548-2023 artfynd.xlsx", "A 46548-2023")</f>
        <v/>
      </c>
      <c r="T94">
        <f>HYPERLINK("https://klasma.github.io/Logging_2260/kartor/A 46548-2023 karta.png", "A 46548-2023")</f>
        <v/>
      </c>
      <c r="U94">
        <f>HYPERLINK("https://klasma.github.io/Logging_2260/knärot/A 46548-2023 karta knärot.png", "A 46548-2023")</f>
        <v/>
      </c>
      <c r="V94">
        <f>HYPERLINK("https://klasma.github.io/Logging_2260/klagomål/A 46548-2023 FSC-klagomål.docx", "A 46548-2023")</f>
        <v/>
      </c>
      <c r="W94">
        <f>HYPERLINK("https://klasma.github.io/Logging_2260/klagomålsmail/A 46548-2023 FSC-klagomål mail.docx", "A 46548-2023")</f>
        <v/>
      </c>
      <c r="X94">
        <f>HYPERLINK("https://klasma.github.io/Logging_2260/tillsyn/A 46548-2023 tillsynsbegäran.docx", "A 46548-2023")</f>
        <v/>
      </c>
      <c r="Y94">
        <f>HYPERLINK("https://klasma.github.io/Logging_2260/tillsynsmail/A 46548-2023 tillsynsbegäran mail.docx", "A 46548-2023")</f>
        <v/>
      </c>
    </row>
    <row r="95" ht="15" customHeight="1">
      <c r="A95" t="inlineStr">
        <is>
          <t>A 53169-2020</t>
        </is>
      </c>
      <c r="B95" s="1" t="n">
        <v>44120</v>
      </c>
      <c r="C95" s="1" t="n">
        <v>45939</v>
      </c>
      <c r="D95" t="inlineStr">
        <is>
          <t>VÄSTERNORRLANDS LÄN</t>
        </is>
      </c>
      <c r="E95" t="inlineStr">
        <is>
          <t>ÅNGE</t>
        </is>
      </c>
      <c r="F95" t="inlineStr">
        <is>
          <t>SCA</t>
        </is>
      </c>
      <c r="G95" t="n">
        <v>6.4</v>
      </c>
      <c r="H95" t="n">
        <v>2</v>
      </c>
      <c r="I95" t="n">
        <v>1</v>
      </c>
      <c r="J95" t="n">
        <v>2</v>
      </c>
      <c r="K95" t="n">
        <v>1</v>
      </c>
      <c r="L95" t="n">
        <v>0</v>
      </c>
      <c r="M95" t="n">
        <v>0</v>
      </c>
      <c r="N95" t="n">
        <v>0</v>
      </c>
      <c r="O95" t="n">
        <v>3</v>
      </c>
      <c r="P95" t="n">
        <v>1</v>
      </c>
      <c r="Q95" t="n">
        <v>4</v>
      </c>
      <c r="R95" s="2" t="inlineStr">
        <is>
          <t>Långskägg
Garnlav
Lunglav
Korallrot</t>
        </is>
      </c>
      <c r="S95">
        <f>HYPERLINK("https://klasma.github.io/Logging_2260/artfynd/A 53169-2020 artfynd.xlsx", "A 53169-2020")</f>
        <v/>
      </c>
      <c r="T95">
        <f>HYPERLINK("https://klasma.github.io/Logging_2260/kartor/A 53169-2020 karta.png", "A 53169-2020")</f>
        <v/>
      </c>
      <c r="V95">
        <f>HYPERLINK("https://klasma.github.io/Logging_2260/klagomål/A 53169-2020 FSC-klagomål.docx", "A 53169-2020")</f>
        <v/>
      </c>
      <c r="W95">
        <f>HYPERLINK("https://klasma.github.io/Logging_2260/klagomålsmail/A 53169-2020 FSC-klagomål mail.docx", "A 53169-2020")</f>
        <v/>
      </c>
      <c r="X95">
        <f>HYPERLINK("https://klasma.github.io/Logging_2260/tillsyn/A 53169-2020 tillsynsbegäran.docx", "A 53169-2020")</f>
        <v/>
      </c>
      <c r="Y95">
        <f>HYPERLINK("https://klasma.github.io/Logging_2260/tillsynsmail/A 53169-2020 tillsynsbegäran mail.docx", "A 53169-2020")</f>
        <v/>
      </c>
    </row>
    <row r="96" ht="15" customHeight="1">
      <c r="A96" t="inlineStr">
        <is>
          <t>A 38326-2024</t>
        </is>
      </c>
      <c r="B96" s="1" t="n">
        <v>45545.67741898148</v>
      </c>
      <c r="C96" s="1" t="n">
        <v>45939</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39176-2024</t>
        </is>
      </c>
      <c r="B97" s="1" t="n">
        <v>45548</v>
      </c>
      <c r="C97" s="1" t="n">
        <v>45939</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55179-2024</t>
        </is>
      </c>
      <c r="B98" s="1" t="n">
        <v>45621.53204861111</v>
      </c>
      <c r="C98" s="1" t="n">
        <v>45939</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57299-2022</t>
        </is>
      </c>
      <c r="B99" s="1" t="n">
        <v>44895.95090277777</v>
      </c>
      <c r="C99" s="1" t="n">
        <v>45939</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26953-2024</t>
        </is>
      </c>
      <c r="B100" s="1" t="n">
        <v>45470</v>
      </c>
      <c r="C100" s="1" t="n">
        <v>45939</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11029-2025</t>
        </is>
      </c>
      <c r="B101" s="1" t="n">
        <v>45723</v>
      </c>
      <c r="C101" s="1" t="n">
        <v>45939</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38713-2025</t>
        </is>
      </c>
      <c r="B102" s="1" t="n">
        <v>45886.34479166667</v>
      </c>
      <c r="C102" s="1" t="n">
        <v>45939</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723-2025</t>
        </is>
      </c>
      <c r="B103" s="1" t="n">
        <v>45665.38576388889</v>
      </c>
      <c r="C103" s="1" t="n">
        <v>45939</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44558-2024</t>
        </is>
      </c>
      <c r="B104" s="1" t="n">
        <v>45574.47001157407</v>
      </c>
      <c r="C104" s="1" t="n">
        <v>45939</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27956-2021</t>
        </is>
      </c>
      <c r="B105" s="1" t="n">
        <v>44354</v>
      </c>
      <c r="C105" s="1" t="n">
        <v>45939</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45939</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7533-2023</t>
        </is>
      </c>
      <c r="B107" s="1" t="n">
        <v>44971</v>
      </c>
      <c r="C107" s="1" t="n">
        <v>45939</v>
      </c>
      <c r="D107" t="inlineStr">
        <is>
          <t>VÄSTERNORRLANDS LÄN</t>
        </is>
      </c>
      <c r="E107" t="inlineStr">
        <is>
          <t>ÅNGE</t>
        </is>
      </c>
      <c r="F107" t="inlineStr">
        <is>
          <t>SCA</t>
        </is>
      </c>
      <c r="G107" t="n">
        <v>15.7</v>
      </c>
      <c r="H107" t="n">
        <v>2</v>
      </c>
      <c r="I107" t="n">
        <v>0</v>
      </c>
      <c r="J107" t="n">
        <v>1</v>
      </c>
      <c r="K107" t="n">
        <v>1</v>
      </c>
      <c r="L107" t="n">
        <v>0</v>
      </c>
      <c r="M107" t="n">
        <v>0</v>
      </c>
      <c r="N107" t="n">
        <v>0</v>
      </c>
      <c r="O107" t="n">
        <v>2</v>
      </c>
      <c r="P107" t="n">
        <v>1</v>
      </c>
      <c r="Q107" t="n">
        <v>3</v>
      </c>
      <c r="R107" s="2" t="inlineStr">
        <is>
          <t>Doftticka
Lunglav
Blåsippa</t>
        </is>
      </c>
      <c r="S107">
        <f>HYPERLINK("https://klasma.github.io/Logging_2260/artfynd/A 7533-2023 artfynd.xlsx", "A 7533-2023")</f>
        <v/>
      </c>
      <c r="T107">
        <f>HYPERLINK("https://klasma.github.io/Logging_2260/kartor/A 7533-2023 karta.png", "A 7533-2023")</f>
        <v/>
      </c>
      <c r="V107">
        <f>HYPERLINK("https://klasma.github.io/Logging_2260/klagomål/A 7533-2023 FSC-klagomål.docx", "A 7533-2023")</f>
        <v/>
      </c>
      <c r="W107">
        <f>HYPERLINK("https://klasma.github.io/Logging_2260/klagomålsmail/A 7533-2023 FSC-klagomål mail.docx", "A 7533-2023")</f>
        <v/>
      </c>
      <c r="X107">
        <f>HYPERLINK("https://klasma.github.io/Logging_2260/tillsyn/A 7533-2023 tillsynsbegäran.docx", "A 7533-2023")</f>
        <v/>
      </c>
      <c r="Y107">
        <f>HYPERLINK("https://klasma.github.io/Logging_2260/tillsynsmail/A 7533-2023 tillsynsbegäran mail.docx", "A 7533-2023")</f>
        <v/>
      </c>
    </row>
    <row r="108" ht="15" customHeight="1">
      <c r="A108" t="inlineStr">
        <is>
          <t>A 37184-2025</t>
        </is>
      </c>
      <c r="B108" s="1" t="n">
        <v>45875.63591435185</v>
      </c>
      <c r="C108" s="1" t="n">
        <v>45939</v>
      </c>
      <c r="D108" t="inlineStr">
        <is>
          <t>VÄSTERNORRLANDS LÄN</t>
        </is>
      </c>
      <c r="E108" t="inlineStr">
        <is>
          <t>ÅNGE</t>
        </is>
      </c>
      <c r="F108" t="inlineStr">
        <is>
          <t>SCA</t>
        </is>
      </c>
      <c r="G108" t="n">
        <v>2.5</v>
      </c>
      <c r="H108" t="n">
        <v>0</v>
      </c>
      <c r="I108" t="n">
        <v>0</v>
      </c>
      <c r="J108" t="n">
        <v>3</v>
      </c>
      <c r="K108" t="n">
        <v>0</v>
      </c>
      <c r="L108" t="n">
        <v>0</v>
      </c>
      <c r="M108" t="n">
        <v>0</v>
      </c>
      <c r="N108" t="n">
        <v>0</v>
      </c>
      <c r="O108" t="n">
        <v>3</v>
      </c>
      <c r="P108" t="n">
        <v>0</v>
      </c>
      <c r="Q108" t="n">
        <v>3</v>
      </c>
      <c r="R108" s="2" t="inlineStr">
        <is>
          <t>Granticka
Lunglav
Rosenticka</t>
        </is>
      </c>
      <c r="S108">
        <f>HYPERLINK("https://klasma.github.io/Logging_2260/artfynd/A 37184-2025 artfynd.xlsx", "A 37184-2025")</f>
        <v/>
      </c>
      <c r="T108">
        <f>HYPERLINK("https://klasma.github.io/Logging_2260/kartor/A 37184-2025 karta.png", "A 37184-2025")</f>
        <v/>
      </c>
      <c r="V108">
        <f>HYPERLINK("https://klasma.github.io/Logging_2260/klagomål/A 37184-2025 FSC-klagomål.docx", "A 37184-2025")</f>
        <v/>
      </c>
      <c r="W108">
        <f>HYPERLINK("https://klasma.github.io/Logging_2260/klagomålsmail/A 37184-2025 FSC-klagomål mail.docx", "A 37184-2025")</f>
        <v/>
      </c>
      <c r="X108">
        <f>HYPERLINK("https://klasma.github.io/Logging_2260/tillsyn/A 37184-2025 tillsynsbegäran.docx", "A 37184-2025")</f>
        <v/>
      </c>
      <c r="Y108">
        <f>HYPERLINK("https://klasma.github.io/Logging_2260/tillsynsmail/A 37184-2025 tillsynsbegäran mail.docx", "A 37184-2025")</f>
        <v/>
      </c>
    </row>
    <row r="109" ht="15" customHeight="1">
      <c r="A109" t="inlineStr">
        <is>
          <t>A 38664-2025</t>
        </is>
      </c>
      <c r="B109" s="1" t="n">
        <v>45884.61503472222</v>
      </c>
      <c r="C109" s="1" t="n">
        <v>45939</v>
      </c>
      <c r="D109" t="inlineStr">
        <is>
          <t>VÄSTERNORRLANDS LÄN</t>
        </is>
      </c>
      <c r="E109" t="inlineStr">
        <is>
          <t>ÅNGE</t>
        </is>
      </c>
      <c r="F109" t="inlineStr">
        <is>
          <t>SCA</t>
        </is>
      </c>
      <c r="G109" t="n">
        <v>6.4</v>
      </c>
      <c r="H109" t="n">
        <v>1</v>
      </c>
      <c r="I109" t="n">
        <v>0</v>
      </c>
      <c r="J109" t="n">
        <v>2</v>
      </c>
      <c r="K109" t="n">
        <v>1</v>
      </c>
      <c r="L109" t="n">
        <v>0</v>
      </c>
      <c r="M109" t="n">
        <v>0</v>
      </c>
      <c r="N109" t="n">
        <v>0</v>
      </c>
      <c r="O109" t="n">
        <v>3</v>
      </c>
      <c r="P109" t="n">
        <v>1</v>
      </c>
      <c r="Q109" t="n">
        <v>3</v>
      </c>
      <c r="R109" s="2" t="inlineStr">
        <is>
          <t>Knärot
Kolflarnlav
Mörk kolflarnlav</t>
        </is>
      </c>
      <c r="S109">
        <f>HYPERLINK("https://klasma.github.io/Logging_2260/artfynd/A 38664-2025 artfynd.xlsx", "A 38664-2025")</f>
        <v/>
      </c>
      <c r="T109">
        <f>HYPERLINK("https://klasma.github.io/Logging_2260/kartor/A 38664-2025 karta.png", "A 38664-2025")</f>
        <v/>
      </c>
      <c r="U109">
        <f>HYPERLINK("https://klasma.github.io/Logging_2260/knärot/A 38664-2025 karta knärot.png", "A 38664-2025")</f>
        <v/>
      </c>
      <c r="V109">
        <f>HYPERLINK("https://klasma.github.io/Logging_2260/klagomål/A 38664-2025 FSC-klagomål.docx", "A 38664-2025")</f>
        <v/>
      </c>
      <c r="W109">
        <f>HYPERLINK("https://klasma.github.io/Logging_2260/klagomålsmail/A 38664-2025 FSC-klagomål mail.docx", "A 38664-2025")</f>
        <v/>
      </c>
      <c r="X109">
        <f>HYPERLINK("https://klasma.github.io/Logging_2260/tillsyn/A 38664-2025 tillsynsbegäran.docx", "A 38664-2025")</f>
        <v/>
      </c>
      <c r="Y109">
        <f>HYPERLINK("https://klasma.github.io/Logging_2260/tillsynsmail/A 38664-2025 tillsynsbegäran mail.docx", "A 38664-2025")</f>
        <v/>
      </c>
    </row>
    <row r="110" ht="15" customHeight="1">
      <c r="A110" t="inlineStr">
        <is>
          <t>A 29665-2024</t>
        </is>
      </c>
      <c r="B110" s="1" t="n">
        <v>45484</v>
      </c>
      <c r="C110" s="1" t="n">
        <v>45939</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29691-2024</t>
        </is>
      </c>
      <c r="B111" s="1" t="n">
        <v>45484.9446875</v>
      </c>
      <c r="C111" s="1" t="n">
        <v>45939</v>
      </c>
      <c r="D111" t="inlineStr">
        <is>
          <t>VÄSTERNORRLANDS LÄN</t>
        </is>
      </c>
      <c r="E111" t="inlineStr">
        <is>
          <t>ÅNGE</t>
        </is>
      </c>
      <c r="F111" t="inlineStr">
        <is>
          <t>SCA</t>
        </is>
      </c>
      <c r="G111" t="n">
        <v>6.8</v>
      </c>
      <c r="H111" t="n">
        <v>0</v>
      </c>
      <c r="I111" t="n">
        <v>1</v>
      </c>
      <c r="J111" t="n">
        <v>2</v>
      </c>
      <c r="K111" t="n">
        <v>0</v>
      </c>
      <c r="L111" t="n">
        <v>0</v>
      </c>
      <c r="M111" t="n">
        <v>0</v>
      </c>
      <c r="N111" t="n">
        <v>0</v>
      </c>
      <c r="O111" t="n">
        <v>2</v>
      </c>
      <c r="P111" t="n">
        <v>0</v>
      </c>
      <c r="Q111" t="n">
        <v>3</v>
      </c>
      <c r="R111" s="2" t="inlineStr">
        <is>
          <t>Lunglav
Rosenticka
Vedticka</t>
        </is>
      </c>
      <c r="S111">
        <f>HYPERLINK("https://klasma.github.io/Logging_2260/artfynd/A 29691-2024 artfynd.xlsx", "A 29691-2024")</f>
        <v/>
      </c>
      <c r="T111">
        <f>HYPERLINK("https://klasma.github.io/Logging_2260/kartor/A 29691-2024 karta.png", "A 29691-2024")</f>
        <v/>
      </c>
      <c r="V111">
        <f>HYPERLINK("https://klasma.github.io/Logging_2260/klagomål/A 29691-2024 FSC-klagomål.docx", "A 29691-2024")</f>
        <v/>
      </c>
      <c r="W111">
        <f>HYPERLINK("https://klasma.github.io/Logging_2260/klagomålsmail/A 29691-2024 FSC-klagomål mail.docx", "A 29691-2024")</f>
        <v/>
      </c>
      <c r="X111">
        <f>HYPERLINK("https://klasma.github.io/Logging_2260/tillsyn/A 29691-2024 tillsynsbegäran.docx", "A 29691-2024")</f>
        <v/>
      </c>
      <c r="Y111">
        <f>HYPERLINK("https://klasma.github.io/Logging_2260/tillsynsmail/A 29691-2024 tillsynsbegäran mail.docx", "A 29691-2024")</f>
        <v/>
      </c>
    </row>
    <row r="112" ht="15" customHeight="1">
      <c r="A112" t="inlineStr">
        <is>
          <t>A 38238-2025</t>
        </is>
      </c>
      <c r="B112" s="1" t="n">
        <v>45883.36497685185</v>
      </c>
      <c r="C112" s="1" t="n">
        <v>45939</v>
      </c>
      <c r="D112" t="inlineStr">
        <is>
          <t>VÄSTERNORRLANDS LÄN</t>
        </is>
      </c>
      <c r="E112" t="inlineStr">
        <is>
          <t>ÅNGE</t>
        </is>
      </c>
      <c r="F112" t="inlineStr">
        <is>
          <t>SCA</t>
        </is>
      </c>
      <c r="G112" t="n">
        <v>5.6</v>
      </c>
      <c r="H112" t="n">
        <v>0</v>
      </c>
      <c r="I112" t="n">
        <v>1</v>
      </c>
      <c r="J112" t="n">
        <v>1</v>
      </c>
      <c r="K112" t="n">
        <v>1</v>
      </c>
      <c r="L112" t="n">
        <v>0</v>
      </c>
      <c r="M112" t="n">
        <v>0</v>
      </c>
      <c r="N112" t="n">
        <v>0</v>
      </c>
      <c r="O112" t="n">
        <v>2</v>
      </c>
      <c r="P112" t="n">
        <v>1</v>
      </c>
      <c r="Q112" t="n">
        <v>3</v>
      </c>
      <c r="R112" s="2" t="inlineStr">
        <is>
          <t>Tajgataggsvamp
Vitplätt
Grönpyrola</t>
        </is>
      </c>
      <c r="S112">
        <f>HYPERLINK("https://klasma.github.io/Logging_2260/artfynd/A 38238-2025 artfynd.xlsx", "A 38238-2025")</f>
        <v/>
      </c>
      <c r="T112">
        <f>HYPERLINK("https://klasma.github.io/Logging_2260/kartor/A 38238-2025 karta.png", "A 38238-2025")</f>
        <v/>
      </c>
      <c r="U112">
        <f>HYPERLINK("https://klasma.github.io/Logging_2260/knärot/A 38238-2025 karta knärot.png", "A 38238-2025")</f>
        <v/>
      </c>
      <c r="V112">
        <f>HYPERLINK("https://klasma.github.io/Logging_2260/klagomål/A 38238-2025 FSC-klagomål.docx", "A 38238-2025")</f>
        <v/>
      </c>
      <c r="W112">
        <f>HYPERLINK("https://klasma.github.io/Logging_2260/klagomålsmail/A 38238-2025 FSC-klagomål mail.docx", "A 38238-2025")</f>
        <v/>
      </c>
      <c r="X112">
        <f>HYPERLINK("https://klasma.github.io/Logging_2260/tillsyn/A 38238-2025 tillsynsbegäran.docx", "A 38238-2025")</f>
        <v/>
      </c>
      <c r="Y112">
        <f>HYPERLINK("https://klasma.github.io/Logging_2260/tillsynsmail/A 38238-2025 tillsynsbegäran mail.docx", "A 38238-2025")</f>
        <v/>
      </c>
    </row>
    <row r="113" ht="15" customHeight="1">
      <c r="A113" t="inlineStr">
        <is>
          <t>A 28274-2023</t>
        </is>
      </c>
      <c r="B113" s="1" t="n">
        <v>45099</v>
      </c>
      <c r="C113" s="1" t="n">
        <v>45939</v>
      </c>
      <c r="D113" t="inlineStr">
        <is>
          <t>VÄSTERNORRLANDS LÄN</t>
        </is>
      </c>
      <c r="E113" t="inlineStr">
        <is>
          <t>ÅNGE</t>
        </is>
      </c>
      <c r="G113" t="n">
        <v>19.2</v>
      </c>
      <c r="H113" t="n">
        <v>1</v>
      </c>
      <c r="I113" t="n">
        <v>1</v>
      </c>
      <c r="J113" t="n">
        <v>1</v>
      </c>
      <c r="K113" t="n">
        <v>1</v>
      </c>
      <c r="L113" t="n">
        <v>0</v>
      </c>
      <c r="M113" t="n">
        <v>0</v>
      </c>
      <c r="N113" t="n">
        <v>0</v>
      </c>
      <c r="O113" t="n">
        <v>2</v>
      </c>
      <c r="P113" t="n">
        <v>1</v>
      </c>
      <c r="Q113" t="n">
        <v>3</v>
      </c>
      <c r="R113" s="2" t="inlineStr">
        <is>
          <t>Knärot
Lunglav
Grönpyrola</t>
        </is>
      </c>
      <c r="S113">
        <f>HYPERLINK("https://klasma.github.io/Logging_2260/artfynd/A 28274-2023 artfynd.xlsx", "A 28274-2023")</f>
        <v/>
      </c>
      <c r="T113">
        <f>HYPERLINK("https://klasma.github.io/Logging_2260/kartor/A 28274-2023 karta.png", "A 28274-2023")</f>
        <v/>
      </c>
      <c r="U113">
        <f>HYPERLINK("https://klasma.github.io/Logging_2260/knärot/A 28274-2023 karta knärot.png", "A 28274-2023")</f>
        <v/>
      </c>
      <c r="V113">
        <f>HYPERLINK("https://klasma.github.io/Logging_2260/klagomål/A 28274-2023 FSC-klagomål.docx", "A 28274-2023")</f>
        <v/>
      </c>
      <c r="W113">
        <f>HYPERLINK("https://klasma.github.io/Logging_2260/klagomålsmail/A 28274-2023 FSC-klagomål mail.docx", "A 28274-2023")</f>
        <v/>
      </c>
      <c r="X113">
        <f>HYPERLINK("https://klasma.github.io/Logging_2260/tillsyn/A 28274-2023 tillsynsbegäran.docx", "A 28274-2023")</f>
        <v/>
      </c>
      <c r="Y113">
        <f>HYPERLINK("https://klasma.github.io/Logging_2260/tillsynsmail/A 28274-2023 tillsynsbegäran mail.docx", "A 28274-2023")</f>
        <v/>
      </c>
    </row>
    <row r="114" ht="15" customHeight="1">
      <c r="A114" t="inlineStr">
        <is>
          <t>A 39181-2024</t>
        </is>
      </c>
      <c r="B114" s="1" t="n">
        <v>45548</v>
      </c>
      <c r="C114" s="1" t="n">
        <v>45939</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46417-2025</t>
        </is>
      </c>
      <c r="B115" s="1" t="n">
        <v>45925.59454861111</v>
      </c>
      <c r="C115" s="1" t="n">
        <v>45939</v>
      </c>
      <c r="D115" t="inlineStr">
        <is>
          <t>VÄSTERNORRLANDS LÄN</t>
        </is>
      </c>
      <c r="E115" t="inlineStr">
        <is>
          <t>ÅNGE</t>
        </is>
      </c>
      <c r="F115" t="inlineStr">
        <is>
          <t>SCA</t>
        </is>
      </c>
      <c r="G115" t="n">
        <v>6.6</v>
      </c>
      <c r="H115" t="n">
        <v>0</v>
      </c>
      <c r="I115" t="n">
        <v>0</v>
      </c>
      <c r="J115" t="n">
        <v>3</v>
      </c>
      <c r="K115" t="n">
        <v>0</v>
      </c>
      <c r="L115" t="n">
        <v>0</v>
      </c>
      <c r="M115" t="n">
        <v>0</v>
      </c>
      <c r="N115" t="n">
        <v>0</v>
      </c>
      <c r="O115" t="n">
        <v>3</v>
      </c>
      <c r="P115" t="n">
        <v>0</v>
      </c>
      <c r="Q115" t="n">
        <v>3</v>
      </c>
      <c r="R115" s="2" t="inlineStr">
        <is>
          <t>Garnlav
Kolflarnlav
Lunglav</t>
        </is>
      </c>
      <c r="S115">
        <f>HYPERLINK("https://klasma.github.io/Logging_2260/artfynd/A 46417-2025 artfynd.xlsx", "A 46417-2025")</f>
        <v/>
      </c>
      <c r="T115">
        <f>HYPERLINK("https://klasma.github.io/Logging_2260/kartor/A 46417-2025 karta.png", "A 46417-2025")</f>
        <v/>
      </c>
      <c r="V115">
        <f>HYPERLINK("https://klasma.github.io/Logging_2260/klagomål/A 46417-2025 FSC-klagomål.docx", "A 46417-2025")</f>
        <v/>
      </c>
      <c r="W115">
        <f>HYPERLINK("https://klasma.github.io/Logging_2260/klagomålsmail/A 46417-2025 FSC-klagomål mail.docx", "A 46417-2025")</f>
        <v/>
      </c>
      <c r="X115">
        <f>HYPERLINK("https://klasma.github.io/Logging_2260/tillsyn/A 46417-2025 tillsynsbegäran.docx", "A 46417-2025")</f>
        <v/>
      </c>
      <c r="Y115">
        <f>HYPERLINK("https://klasma.github.io/Logging_2260/tillsynsmail/A 46417-2025 tillsynsbegäran mail.docx", "A 46417-2025")</f>
        <v/>
      </c>
    </row>
    <row r="116" ht="15" customHeight="1">
      <c r="A116" t="inlineStr">
        <is>
          <t>A 39179-2024</t>
        </is>
      </c>
      <c r="B116" s="1" t="n">
        <v>45548.65703703704</v>
      </c>
      <c r="C116" s="1" t="n">
        <v>45939</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45939</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47617-2024</t>
        </is>
      </c>
      <c r="B118" s="1" t="n">
        <v>45588.32125</v>
      </c>
      <c r="C118" s="1" t="n">
        <v>45939</v>
      </c>
      <c r="D118" t="inlineStr">
        <is>
          <t>VÄSTERNORRLANDS LÄN</t>
        </is>
      </c>
      <c r="E118" t="inlineStr">
        <is>
          <t>ÅNGE</t>
        </is>
      </c>
      <c r="F118" t="inlineStr">
        <is>
          <t>Holmen skog AB</t>
        </is>
      </c>
      <c r="G118" t="n">
        <v>8.300000000000001</v>
      </c>
      <c r="H118" t="n">
        <v>0</v>
      </c>
      <c r="I118" t="n">
        <v>0</v>
      </c>
      <c r="J118" t="n">
        <v>3</v>
      </c>
      <c r="K118" t="n">
        <v>0</v>
      </c>
      <c r="L118" t="n">
        <v>0</v>
      </c>
      <c r="M118" t="n">
        <v>0</v>
      </c>
      <c r="N118" t="n">
        <v>0</v>
      </c>
      <c r="O118" t="n">
        <v>3</v>
      </c>
      <c r="P118" t="n">
        <v>0</v>
      </c>
      <c r="Q118" t="n">
        <v>3</v>
      </c>
      <c r="R118" s="2" t="inlineStr">
        <is>
          <t>Granticka
Gränsticka
Lunglav</t>
        </is>
      </c>
      <c r="S118">
        <f>HYPERLINK("https://klasma.github.io/Logging_2260/artfynd/A 47617-2024 artfynd.xlsx", "A 47617-2024")</f>
        <v/>
      </c>
      <c r="T118">
        <f>HYPERLINK("https://klasma.github.io/Logging_2260/kartor/A 47617-2024 karta.png", "A 47617-2024")</f>
        <v/>
      </c>
      <c r="V118">
        <f>HYPERLINK("https://klasma.github.io/Logging_2260/klagomål/A 47617-2024 FSC-klagomål.docx", "A 47617-2024")</f>
        <v/>
      </c>
      <c r="W118">
        <f>HYPERLINK("https://klasma.github.io/Logging_2260/klagomålsmail/A 47617-2024 FSC-klagomål mail.docx", "A 47617-2024")</f>
        <v/>
      </c>
      <c r="X118">
        <f>HYPERLINK("https://klasma.github.io/Logging_2260/tillsyn/A 47617-2024 tillsynsbegäran.docx", "A 47617-2024")</f>
        <v/>
      </c>
      <c r="Y118">
        <f>HYPERLINK("https://klasma.github.io/Logging_2260/tillsynsmail/A 47617-2024 tillsynsbegäran mail.docx", "A 47617-2024")</f>
        <v/>
      </c>
    </row>
    <row r="119" ht="15" customHeight="1">
      <c r="A119" t="inlineStr">
        <is>
          <t>A 39029-2025</t>
        </is>
      </c>
      <c r="B119" s="1" t="n">
        <v>45888.40684027778</v>
      </c>
      <c r="C119" s="1" t="n">
        <v>45939</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43880-2025</t>
        </is>
      </c>
      <c r="B120" s="1" t="n">
        <v>45912</v>
      </c>
      <c r="C120" s="1" t="n">
        <v>45939</v>
      </c>
      <c r="D120" t="inlineStr">
        <is>
          <t>VÄSTERNORRLANDS LÄN</t>
        </is>
      </c>
      <c r="E120" t="inlineStr">
        <is>
          <t>ÅNGE</t>
        </is>
      </c>
      <c r="F120" t="inlineStr">
        <is>
          <t>SCA</t>
        </is>
      </c>
      <c r="G120" t="n">
        <v>3.5</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HYPERLINK("https://klasma.github.io/Logging_2260/artfynd/A 43880-2025 artfynd.xlsx", "A 43880-2025")</f>
        <v/>
      </c>
      <c r="T120">
        <f>HYPERLINK("https://klasma.github.io/Logging_2260/kartor/A 43880-2025 karta.png", "A 43880-2025")</f>
        <v/>
      </c>
      <c r="V120">
        <f>HYPERLINK("https://klasma.github.io/Logging_2260/klagomål/A 43880-2025 FSC-klagomål.docx", "A 43880-2025")</f>
        <v/>
      </c>
      <c r="W120">
        <f>HYPERLINK("https://klasma.github.io/Logging_2260/klagomålsmail/A 43880-2025 FSC-klagomål mail.docx", "A 43880-2025")</f>
        <v/>
      </c>
      <c r="X120">
        <f>HYPERLINK("https://klasma.github.io/Logging_2260/tillsyn/A 43880-2025 tillsynsbegäran.docx", "A 43880-2025")</f>
        <v/>
      </c>
      <c r="Y120">
        <f>HYPERLINK("https://klasma.github.io/Logging_2260/tillsynsmail/A 43880-2025 tillsynsbegäran mail.docx", "A 43880-2025")</f>
        <v/>
      </c>
      <c r="Z120">
        <f>HYPERLINK("https://klasma.github.io/Logging_2260/fåglar/A 43880-2025 prioriterade fågelarter.docx", "A 43880-2025")</f>
        <v/>
      </c>
    </row>
    <row r="121" ht="15" customHeight="1">
      <c r="A121" t="inlineStr">
        <is>
          <t>A 21267-2025</t>
        </is>
      </c>
      <c r="B121" s="1" t="n">
        <v>45779</v>
      </c>
      <c r="C121" s="1" t="n">
        <v>45939</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23754-2025</t>
        </is>
      </c>
      <c r="B122" s="1" t="n">
        <v>45793.45782407407</v>
      </c>
      <c r="C122" s="1" t="n">
        <v>45939</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23759-2025</t>
        </is>
      </c>
      <c r="B123" s="1" t="n">
        <v>45793.46409722222</v>
      </c>
      <c r="C123" s="1" t="n">
        <v>45939</v>
      </c>
      <c r="D123" t="inlineStr">
        <is>
          <t>VÄSTERNORRLANDS LÄN</t>
        </is>
      </c>
      <c r="E123" t="inlineStr">
        <is>
          <t>ÅNGE</t>
        </is>
      </c>
      <c r="F123" t="inlineStr">
        <is>
          <t>Sveaskog</t>
        </is>
      </c>
      <c r="G123" t="n">
        <v>5.2</v>
      </c>
      <c r="H123" t="n">
        <v>0</v>
      </c>
      <c r="I123" t="n">
        <v>1</v>
      </c>
      <c r="J123" t="n">
        <v>2</v>
      </c>
      <c r="K123" t="n">
        <v>0</v>
      </c>
      <c r="L123" t="n">
        <v>0</v>
      </c>
      <c r="M123" t="n">
        <v>0</v>
      </c>
      <c r="N123" t="n">
        <v>0</v>
      </c>
      <c r="O123" t="n">
        <v>2</v>
      </c>
      <c r="P123" t="n">
        <v>0</v>
      </c>
      <c r="Q123" t="n">
        <v>3</v>
      </c>
      <c r="R123" s="2" t="inlineStr">
        <is>
          <t>Lunglav
Skrovellav
Korallblylav</t>
        </is>
      </c>
      <c r="S123">
        <f>HYPERLINK("https://klasma.github.io/Logging_2260/artfynd/A 23759-2025 artfynd.xlsx", "A 23759-2025")</f>
        <v/>
      </c>
      <c r="T123">
        <f>HYPERLINK("https://klasma.github.io/Logging_2260/kartor/A 23759-2025 karta.png", "A 23759-2025")</f>
        <v/>
      </c>
      <c r="V123">
        <f>HYPERLINK("https://klasma.github.io/Logging_2260/klagomål/A 23759-2025 FSC-klagomål.docx", "A 23759-2025")</f>
        <v/>
      </c>
      <c r="W123">
        <f>HYPERLINK("https://klasma.github.io/Logging_2260/klagomålsmail/A 23759-2025 FSC-klagomål mail.docx", "A 23759-2025")</f>
        <v/>
      </c>
      <c r="X123">
        <f>HYPERLINK("https://klasma.github.io/Logging_2260/tillsyn/A 23759-2025 tillsynsbegäran.docx", "A 23759-2025")</f>
        <v/>
      </c>
      <c r="Y123">
        <f>HYPERLINK("https://klasma.github.io/Logging_2260/tillsynsmail/A 23759-2025 tillsynsbegäran mail.docx", "A 23759-2025")</f>
        <v/>
      </c>
    </row>
    <row r="124" ht="15" customHeight="1">
      <c r="A124" t="inlineStr">
        <is>
          <t>A 22996-2023</t>
        </is>
      </c>
      <c r="B124" s="1" t="n">
        <v>45072</v>
      </c>
      <c r="C124" s="1" t="n">
        <v>45939</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26679-2025</t>
        </is>
      </c>
      <c r="B125" s="1" t="n">
        <v>45810</v>
      </c>
      <c r="C125" s="1" t="n">
        <v>45939</v>
      </c>
      <c r="D125" t="inlineStr">
        <is>
          <t>VÄSTERNORRLANDS LÄN</t>
        </is>
      </c>
      <c r="E125" t="inlineStr">
        <is>
          <t>ÅNGE</t>
        </is>
      </c>
      <c r="F125" t="inlineStr">
        <is>
          <t>SCA</t>
        </is>
      </c>
      <c r="G125" t="n">
        <v>5.9</v>
      </c>
      <c r="H125" t="n">
        <v>0</v>
      </c>
      <c r="I125" t="n">
        <v>1</v>
      </c>
      <c r="J125" t="n">
        <v>2</v>
      </c>
      <c r="K125" t="n">
        <v>0</v>
      </c>
      <c r="L125" t="n">
        <v>0</v>
      </c>
      <c r="M125" t="n">
        <v>0</v>
      </c>
      <c r="N125" t="n">
        <v>0</v>
      </c>
      <c r="O125" t="n">
        <v>2</v>
      </c>
      <c r="P125" t="n">
        <v>0</v>
      </c>
      <c r="Q125" t="n">
        <v>3</v>
      </c>
      <c r="R125" s="2" t="inlineStr">
        <is>
          <t>Garnlav
Lunglav
Rödgul trumpetsvamp</t>
        </is>
      </c>
      <c r="S125">
        <f>HYPERLINK("https://klasma.github.io/Logging_2260/artfynd/A 26679-2025 artfynd.xlsx", "A 26679-2025")</f>
        <v/>
      </c>
      <c r="T125">
        <f>HYPERLINK("https://klasma.github.io/Logging_2260/kartor/A 26679-2025 karta.png", "A 26679-2025")</f>
        <v/>
      </c>
      <c r="V125">
        <f>HYPERLINK("https://klasma.github.io/Logging_2260/klagomål/A 26679-2025 FSC-klagomål.docx", "A 26679-2025")</f>
        <v/>
      </c>
      <c r="W125">
        <f>HYPERLINK("https://klasma.github.io/Logging_2260/klagomålsmail/A 26679-2025 FSC-klagomål mail.docx", "A 26679-2025")</f>
        <v/>
      </c>
      <c r="X125">
        <f>HYPERLINK("https://klasma.github.io/Logging_2260/tillsyn/A 26679-2025 tillsynsbegäran.docx", "A 26679-2025")</f>
        <v/>
      </c>
      <c r="Y125">
        <f>HYPERLINK("https://klasma.github.io/Logging_2260/tillsynsmail/A 26679-2025 tillsynsbegäran mail.docx", "A 26679-2025")</f>
        <v/>
      </c>
    </row>
    <row r="126" ht="15" customHeight="1">
      <c r="A126" t="inlineStr">
        <is>
          <t>A 16307-2025</t>
        </is>
      </c>
      <c r="B126" s="1" t="n">
        <v>45751.34686342593</v>
      </c>
      <c r="C126" s="1" t="n">
        <v>45939</v>
      </c>
      <c r="D126" t="inlineStr">
        <is>
          <t>VÄSTERNORRLANDS LÄN</t>
        </is>
      </c>
      <c r="E126" t="inlineStr">
        <is>
          <t>ÅNGE</t>
        </is>
      </c>
      <c r="F126" t="inlineStr">
        <is>
          <t>SCA</t>
        </is>
      </c>
      <c r="G126" t="n">
        <v>12.3</v>
      </c>
      <c r="H126" t="n">
        <v>1</v>
      </c>
      <c r="I126" t="n">
        <v>2</v>
      </c>
      <c r="J126" t="n">
        <v>0</v>
      </c>
      <c r="K126" t="n">
        <v>0</v>
      </c>
      <c r="L126" t="n">
        <v>0</v>
      </c>
      <c r="M126" t="n">
        <v>0</v>
      </c>
      <c r="N126" t="n">
        <v>0</v>
      </c>
      <c r="O126" t="n">
        <v>0</v>
      </c>
      <c r="P126" t="n">
        <v>0</v>
      </c>
      <c r="Q126" t="n">
        <v>3</v>
      </c>
      <c r="R126" s="2" t="inlineStr">
        <is>
          <t>Stor aspticka
Vårärt
Blåsippa</t>
        </is>
      </c>
      <c r="S126">
        <f>HYPERLINK("https://klasma.github.io/Logging_2260/artfynd/A 16307-2025 artfynd.xlsx", "A 16307-2025")</f>
        <v/>
      </c>
      <c r="T126">
        <f>HYPERLINK("https://klasma.github.io/Logging_2260/kartor/A 16307-2025 karta.png", "A 16307-2025")</f>
        <v/>
      </c>
      <c r="V126">
        <f>HYPERLINK("https://klasma.github.io/Logging_2260/klagomål/A 16307-2025 FSC-klagomål.docx", "A 16307-2025")</f>
        <v/>
      </c>
      <c r="W126">
        <f>HYPERLINK("https://klasma.github.io/Logging_2260/klagomålsmail/A 16307-2025 FSC-klagomål mail.docx", "A 16307-2025")</f>
        <v/>
      </c>
      <c r="X126">
        <f>HYPERLINK("https://klasma.github.io/Logging_2260/tillsyn/A 16307-2025 tillsynsbegäran.docx", "A 16307-2025")</f>
        <v/>
      </c>
      <c r="Y126">
        <f>HYPERLINK("https://klasma.github.io/Logging_2260/tillsynsmail/A 16307-2025 tillsynsbegäran mail.docx", "A 16307-2025")</f>
        <v/>
      </c>
    </row>
    <row r="127" ht="15" customHeight="1">
      <c r="A127" t="inlineStr">
        <is>
          <t>A 31212-2025</t>
        </is>
      </c>
      <c r="B127" s="1" t="n">
        <v>45832.71978009259</v>
      </c>
      <c r="C127" s="1" t="n">
        <v>45939</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24796-2024</t>
        </is>
      </c>
      <c r="B128" s="1" t="n">
        <v>45460</v>
      </c>
      <c r="C128" s="1" t="n">
        <v>45939</v>
      </c>
      <c r="D128" t="inlineStr">
        <is>
          <t>VÄSTERNORRLANDS LÄN</t>
        </is>
      </c>
      <c r="E128" t="inlineStr">
        <is>
          <t>ÅNGE</t>
        </is>
      </c>
      <c r="F128" t="inlineStr">
        <is>
          <t>SCA</t>
        </is>
      </c>
      <c r="G128" t="n">
        <v>6.7</v>
      </c>
      <c r="H128" t="n">
        <v>1</v>
      </c>
      <c r="I128" t="n">
        <v>2</v>
      </c>
      <c r="J128" t="n">
        <v>1</v>
      </c>
      <c r="K128" t="n">
        <v>0</v>
      </c>
      <c r="L128" t="n">
        <v>0</v>
      </c>
      <c r="M128" t="n">
        <v>0</v>
      </c>
      <c r="N128" t="n">
        <v>0</v>
      </c>
      <c r="O128" t="n">
        <v>1</v>
      </c>
      <c r="P128" t="n">
        <v>0</v>
      </c>
      <c r="Q128" t="n">
        <v>3</v>
      </c>
      <c r="R128" s="2" t="inlineStr">
        <is>
          <t>Doftskinn
Korallrot
Skinnlav</t>
        </is>
      </c>
      <c r="S128">
        <f>HYPERLINK("https://klasma.github.io/Logging_2260/artfynd/A 24796-2024 artfynd.xlsx", "A 24796-2024")</f>
        <v/>
      </c>
      <c r="T128">
        <f>HYPERLINK("https://klasma.github.io/Logging_2260/kartor/A 24796-2024 karta.png", "A 24796-2024")</f>
        <v/>
      </c>
      <c r="V128">
        <f>HYPERLINK("https://klasma.github.io/Logging_2260/klagomål/A 24796-2024 FSC-klagomål.docx", "A 24796-2024")</f>
        <v/>
      </c>
      <c r="W128">
        <f>HYPERLINK("https://klasma.github.io/Logging_2260/klagomålsmail/A 24796-2024 FSC-klagomål mail.docx", "A 24796-2024")</f>
        <v/>
      </c>
      <c r="X128">
        <f>HYPERLINK("https://klasma.github.io/Logging_2260/tillsyn/A 24796-2024 tillsynsbegäran.docx", "A 24796-2024")</f>
        <v/>
      </c>
      <c r="Y128">
        <f>HYPERLINK("https://klasma.github.io/Logging_2260/tillsynsmail/A 24796-2024 tillsynsbegäran mail.docx", "A 24796-2024")</f>
        <v/>
      </c>
    </row>
    <row r="129" ht="15" customHeight="1">
      <c r="A129" t="inlineStr">
        <is>
          <t>A 33806-2025</t>
        </is>
      </c>
      <c r="B129" s="1" t="n">
        <v>45842.44865740741</v>
      </c>
      <c r="C129" s="1" t="n">
        <v>45939</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41868-2025</t>
        </is>
      </c>
      <c r="B130" s="1" t="n">
        <v>45903.34429398148</v>
      </c>
      <c r="C130" s="1" t="n">
        <v>45939</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45939</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36635-2021</t>
        </is>
      </c>
      <c r="B132" s="1" t="n">
        <v>44391</v>
      </c>
      <c r="C132" s="1" t="n">
        <v>45939</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45939</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45939</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45939</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45939</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45939</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45939</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57594-2022</t>
        </is>
      </c>
      <c r="B139" s="1" t="n">
        <v>44896.97854166666</v>
      </c>
      <c r="C139" s="1" t="n">
        <v>45939</v>
      </c>
      <c r="D139" t="inlineStr">
        <is>
          <t>VÄSTERNORRLANDS LÄN</t>
        </is>
      </c>
      <c r="E139" t="inlineStr">
        <is>
          <t>ÅNGE</t>
        </is>
      </c>
      <c r="F139" t="inlineStr">
        <is>
          <t>SCA</t>
        </is>
      </c>
      <c r="G139" t="n">
        <v>5.3</v>
      </c>
      <c r="H139" t="n">
        <v>0</v>
      </c>
      <c r="I139" t="n">
        <v>0</v>
      </c>
      <c r="J139" t="n">
        <v>2</v>
      </c>
      <c r="K139" t="n">
        <v>0</v>
      </c>
      <c r="L139" t="n">
        <v>0</v>
      </c>
      <c r="M139" t="n">
        <v>0</v>
      </c>
      <c r="N139" t="n">
        <v>0</v>
      </c>
      <c r="O139" t="n">
        <v>2</v>
      </c>
      <c r="P139" t="n">
        <v>0</v>
      </c>
      <c r="Q139" t="n">
        <v>2</v>
      </c>
      <c r="R139" s="2" t="inlineStr">
        <is>
          <t>Granticka
Lunglav</t>
        </is>
      </c>
      <c r="S139">
        <f>HYPERLINK("https://klasma.github.io/Logging_2260/artfynd/A 57594-2022 artfynd.xlsx", "A 57594-2022")</f>
        <v/>
      </c>
      <c r="T139">
        <f>HYPERLINK("https://klasma.github.io/Logging_2260/kartor/A 57594-2022 karta.png", "A 57594-2022")</f>
        <v/>
      </c>
      <c r="V139">
        <f>HYPERLINK("https://klasma.github.io/Logging_2260/klagomål/A 57594-2022 FSC-klagomål.docx", "A 57594-2022")</f>
        <v/>
      </c>
      <c r="W139">
        <f>HYPERLINK("https://klasma.github.io/Logging_2260/klagomålsmail/A 57594-2022 FSC-klagomål mail.docx", "A 57594-2022")</f>
        <v/>
      </c>
      <c r="X139">
        <f>HYPERLINK("https://klasma.github.io/Logging_2260/tillsyn/A 57594-2022 tillsynsbegäran.docx", "A 57594-2022")</f>
        <v/>
      </c>
      <c r="Y139">
        <f>HYPERLINK("https://klasma.github.io/Logging_2260/tillsynsmail/A 57594-2022 tillsynsbegäran mail.docx", "A 57594-2022")</f>
        <v/>
      </c>
    </row>
    <row r="140" ht="15" customHeight="1">
      <c r="A140" t="inlineStr">
        <is>
          <t>A 57597-2022</t>
        </is>
      </c>
      <c r="B140" s="1" t="n">
        <v>44896.97878472223</v>
      </c>
      <c r="C140" s="1" t="n">
        <v>45939</v>
      </c>
      <c r="D140" t="inlineStr">
        <is>
          <t>VÄSTERNORRLANDS LÄN</t>
        </is>
      </c>
      <c r="E140" t="inlineStr">
        <is>
          <t>ÅNGE</t>
        </is>
      </c>
      <c r="F140" t="inlineStr">
        <is>
          <t>SCA</t>
        </is>
      </c>
      <c r="G140" t="n">
        <v>6.2</v>
      </c>
      <c r="H140" t="n">
        <v>0</v>
      </c>
      <c r="I140" t="n">
        <v>0</v>
      </c>
      <c r="J140" t="n">
        <v>2</v>
      </c>
      <c r="K140" t="n">
        <v>0</v>
      </c>
      <c r="L140" t="n">
        <v>0</v>
      </c>
      <c r="M140" t="n">
        <v>0</v>
      </c>
      <c r="N140" t="n">
        <v>0</v>
      </c>
      <c r="O140" t="n">
        <v>2</v>
      </c>
      <c r="P140" t="n">
        <v>0</v>
      </c>
      <c r="Q140" t="n">
        <v>2</v>
      </c>
      <c r="R140" s="2" t="inlineStr">
        <is>
          <t>Garnlav
Lunglav</t>
        </is>
      </c>
      <c r="S140">
        <f>HYPERLINK("https://klasma.github.io/Logging_2260/artfynd/A 57597-2022 artfynd.xlsx", "A 57597-2022")</f>
        <v/>
      </c>
      <c r="T140">
        <f>HYPERLINK("https://klasma.github.io/Logging_2260/kartor/A 57597-2022 karta.png", "A 57597-2022")</f>
        <v/>
      </c>
      <c r="V140">
        <f>HYPERLINK("https://klasma.github.io/Logging_2260/klagomål/A 57597-2022 FSC-klagomål.docx", "A 57597-2022")</f>
        <v/>
      </c>
      <c r="W140">
        <f>HYPERLINK("https://klasma.github.io/Logging_2260/klagomålsmail/A 57597-2022 FSC-klagomål mail.docx", "A 57597-2022")</f>
        <v/>
      </c>
      <c r="X140">
        <f>HYPERLINK("https://klasma.github.io/Logging_2260/tillsyn/A 57597-2022 tillsynsbegäran.docx", "A 57597-2022")</f>
        <v/>
      </c>
      <c r="Y140">
        <f>HYPERLINK("https://klasma.github.io/Logging_2260/tillsynsmail/A 57597-2022 tillsynsbegäran mail.docx", "A 57597-2022")</f>
        <v/>
      </c>
    </row>
    <row r="141" ht="15" customHeight="1">
      <c r="A141" t="inlineStr">
        <is>
          <t>A 26020-2024</t>
        </is>
      </c>
      <c r="B141" s="1" t="n">
        <v>45467.9603125</v>
      </c>
      <c r="C141" s="1" t="n">
        <v>45939</v>
      </c>
      <c r="D141" t="inlineStr">
        <is>
          <t>VÄSTERNORRLANDS LÄN</t>
        </is>
      </c>
      <c r="E141" t="inlineStr">
        <is>
          <t>ÅNGE</t>
        </is>
      </c>
      <c r="F141" t="inlineStr">
        <is>
          <t>SCA</t>
        </is>
      </c>
      <c r="G141" t="n">
        <v>4.8</v>
      </c>
      <c r="H141" t="n">
        <v>0</v>
      </c>
      <c r="I141" t="n">
        <v>1</v>
      </c>
      <c r="J141" t="n">
        <v>1</v>
      </c>
      <c r="K141" t="n">
        <v>0</v>
      </c>
      <c r="L141" t="n">
        <v>0</v>
      </c>
      <c r="M141" t="n">
        <v>0</v>
      </c>
      <c r="N141" t="n">
        <v>0</v>
      </c>
      <c r="O141" t="n">
        <v>1</v>
      </c>
      <c r="P141" t="n">
        <v>0</v>
      </c>
      <c r="Q141" t="n">
        <v>2</v>
      </c>
      <c r="R141" s="2" t="inlineStr">
        <is>
          <t>Lunglav
Stuplav</t>
        </is>
      </c>
      <c r="S141">
        <f>HYPERLINK("https://klasma.github.io/Logging_2260/artfynd/A 26020-2024 artfynd.xlsx", "A 26020-2024")</f>
        <v/>
      </c>
      <c r="T141">
        <f>HYPERLINK("https://klasma.github.io/Logging_2260/kartor/A 26020-2024 karta.png", "A 26020-2024")</f>
        <v/>
      </c>
      <c r="V141">
        <f>HYPERLINK("https://klasma.github.io/Logging_2260/klagomål/A 26020-2024 FSC-klagomål.docx", "A 26020-2024")</f>
        <v/>
      </c>
      <c r="W141">
        <f>HYPERLINK("https://klasma.github.io/Logging_2260/klagomålsmail/A 26020-2024 FSC-klagomål mail.docx", "A 26020-2024")</f>
        <v/>
      </c>
      <c r="X141">
        <f>HYPERLINK("https://klasma.github.io/Logging_2260/tillsyn/A 26020-2024 tillsynsbegäran.docx", "A 26020-2024")</f>
        <v/>
      </c>
      <c r="Y141">
        <f>HYPERLINK("https://klasma.github.io/Logging_2260/tillsynsmail/A 26020-2024 tillsynsbegäran mail.docx", "A 26020-2024")</f>
        <v/>
      </c>
    </row>
    <row r="142" ht="15" customHeight="1">
      <c r="A142" t="inlineStr">
        <is>
          <t>A 32659-2024</t>
        </is>
      </c>
      <c r="B142" s="1" t="n">
        <v>45513</v>
      </c>
      <c r="C142" s="1" t="n">
        <v>45939</v>
      </c>
      <c r="D142" t="inlineStr">
        <is>
          <t>VÄSTERNORRLANDS LÄN</t>
        </is>
      </c>
      <c r="E142" t="inlineStr">
        <is>
          <t>ÅNGE</t>
        </is>
      </c>
      <c r="F142" t="inlineStr">
        <is>
          <t>SCA</t>
        </is>
      </c>
      <c r="G142" t="n">
        <v>6.9</v>
      </c>
      <c r="H142" t="n">
        <v>0</v>
      </c>
      <c r="I142" t="n">
        <v>0</v>
      </c>
      <c r="J142" t="n">
        <v>2</v>
      </c>
      <c r="K142" t="n">
        <v>0</v>
      </c>
      <c r="L142" t="n">
        <v>0</v>
      </c>
      <c r="M142" t="n">
        <v>0</v>
      </c>
      <c r="N142" t="n">
        <v>0</v>
      </c>
      <c r="O142" t="n">
        <v>2</v>
      </c>
      <c r="P142" t="n">
        <v>0</v>
      </c>
      <c r="Q142" t="n">
        <v>2</v>
      </c>
      <c r="R142" s="2" t="inlineStr">
        <is>
          <t>Lunglav
Stjärntagging</t>
        </is>
      </c>
      <c r="S142">
        <f>HYPERLINK("https://klasma.github.io/Logging_2260/artfynd/A 32659-2024 artfynd.xlsx", "A 32659-2024")</f>
        <v/>
      </c>
      <c r="T142">
        <f>HYPERLINK("https://klasma.github.io/Logging_2260/kartor/A 32659-2024 karta.png", "A 32659-2024")</f>
        <v/>
      </c>
      <c r="V142">
        <f>HYPERLINK("https://klasma.github.io/Logging_2260/klagomål/A 32659-2024 FSC-klagomål.docx", "A 32659-2024")</f>
        <v/>
      </c>
      <c r="W142">
        <f>HYPERLINK("https://klasma.github.io/Logging_2260/klagomålsmail/A 32659-2024 FSC-klagomål mail.docx", "A 32659-2024")</f>
        <v/>
      </c>
      <c r="X142">
        <f>HYPERLINK("https://klasma.github.io/Logging_2260/tillsyn/A 32659-2024 tillsynsbegäran.docx", "A 32659-2024")</f>
        <v/>
      </c>
      <c r="Y142">
        <f>HYPERLINK("https://klasma.github.io/Logging_2260/tillsynsmail/A 32659-2024 tillsynsbegäran mail.docx", "A 32659-2024")</f>
        <v/>
      </c>
    </row>
    <row r="143" ht="15" customHeight="1">
      <c r="A143" t="inlineStr">
        <is>
          <t>A 37800-2025</t>
        </is>
      </c>
      <c r="B143" s="1" t="n">
        <v>45881.34420138889</v>
      </c>
      <c r="C143" s="1" t="n">
        <v>45939</v>
      </c>
      <c r="D143" t="inlineStr">
        <is>
          <t>VÄSTERNORRLANDS LÄN</t>
        </is>
      </c>
      <c r="E143" t="inlineStr">
        <is>
          <t>ÅNGE</t>
        </is>
      </c>
      <c r="F143" t="inlineStr">
        <is>
          <t>SCA</t>
        </is>
      </c>
      <c r="G143" t="n">
        <v>4</v>
      </c>
      <c r="H143" t="n">
        <v>1</v>
      </c>
      <c r="I143" t="n">
        <v>0</v>
      </c>
      <c r="J143" t="n">
        <v>1</v>
      </c>
      <c r="K143" t="n">
        <v>0</v>
      </c>
      <c r="L143" t="n">
        <v>0</v>
      </c>
      <c r="M143" t="n">
        <v>0</v>
      </c>
      <c r="N143" t="n">
        <v>0</v>
      </c>
      <c r="O143" t="n">
        <v>1</v>
      </c>
      <c r="P143" t="n">
        <v>0</v>
      </c>
      <c r="Q143" t="n">
        <v>2</v>
      </c>
      <c r="R143" s="2" t="inlineStr">
        <is>
          <t>Garnlav
Revlummer</t>
        </is>
      </c>
      <c r="S143">
        <f>HYPERLINK("https://klasma.github.io/Logging_2260/artfynd/A 37800-2025 artfynd.xlsx", "A 37800-2025")</f>
        <v/>
      </c>
      <c r="T143">
        <f>HYPERLINK("https://klasma.github.io/Logging_2260/kartor/A 37800-2025 karta.png", "A 37800-2025")</f>
        <v/>
      </c>
      <c r="V143">
        <f>HYPERLINK("https://klasma.github.io/Logging_2260/klagomål/A 37800-2025 FSC-klagomål.docx", "A 37800-2025")</f>
        <v/>
      </c>
      <c r="W143">
        <f>HYPERLINK("https://klasma.github.io/Logging_2260/klagomålsmail/A 37800-2025 FSC-klagomål mail.docx", "A 37800-2025")</f>
        <v/>
      </c>
      <c r="X143">
        <f>HYPERLINK("https://klasma.github.io/Logging_2260/tillsyn/A 37800-2025 tillsynsbegäran.docx", "A 37800-2025")</f>
        <v/>
      </c>
      <c r="Y143">
        <f>HYPERLINK("https://klasma.github.io/Logging_2260/tillsynsmail/A 37800-2025 tillsynsbegäran mail.docx", "A 37800-2025")</f>
        <v/>
      </c>
    </row>
    <row r="144" ht="15" customHeight="1">
      <c r="A144" t="inlineStr">
        <is>
          <t>A 51756-2020</t>
        </is>
      </c>
      <c r="B144" s="1" t="n">
        <v>44114</v>
      </c>
      <c r="C144" s="1" t="n">
        <v>45939</v>
      </c>
      <c r="D144" t="inlineStr">
        <is>
          <t>VÄSTERNORRLANDS LÄN</t>
        </is>
      </c>
      <c r="E144" t="inlineStr">
        <is>
          <t>ÅNGE</t>
        </is>
      </c>
      <c r="G144" t="n">
        <v>0.8</v>
      </c>
      <c r="H144" t="n">
        <v>1</v>
      </c>
      <c r="I144" t="n">
        <v>0</v>
      </c>
      <c r="J144" t="n">
        <v>0</v>
      </c>
      <c r="K144" t="n">
        <v>0</v>
      </c>
      <c r="L144" t="n">
        <v>2</v>
      </c>
      <c r="M144" t="n">
        <v>0</v>
      </c>
      <c r="N144" t="n">
        <v>0</v>
      </c>
      <c r="O144" t="n">
        <v>2</v>
      </c>
      <c r="P144" t="n">
        <v>2</v>
      </c>
      <c r="Q144" t="n">
        <v>2</v>
      </c>
      <c r="R144" s="2" t="inlineStr">
        <is>
          <t>Mikroskapania
Timmerskapania</t>
        </is>
      </c>
      <c r="S144">
        <f>HYPERLINK("https://klasma.github.io/Logging_2260/artfynd/A 51756-2020 artfynd.xlsx", "A 51756-2020")</f>
        <v/>
      </c>
      <c r="T144">
        <f>HYPERLINK("https://klasma.github.io/Logging_2260/kartor/A 51756-2020 karta.png", "A 51756-2020")</f>
        <v/>
      </c>
      <c r="V144">
        <f>HYPERLINK("https://klasma.github.io/Logging_2260/klagomål/A 51756-2020 FSC-klagomål.docx", "A 51756-2020")</f>
        <v/>
      </c>
      <c r="W144">
        <f>HYPERLINK("https://klasma.github.io/Logging_2260/klagomålsmail/A 51756-2020 FSC-klagomål mail.docx", "A 51756-2020")</f>
        <v/>
      </c>
      <c r="X144">
        <f>HYPERLINK("https://klasma.github.io/Logging_2260/tillsyn/A 51756-2020 tillsynsbegäran.docx", "A 51756-2020")</f>
        <v/>
      </c>
      <c r="Y144">
        <f>HYPERLINK("https://klasma.github.io/Logging_2260/tillsynsmail/A 51756-2020 tillsynsbegäran mail.docx", "A 51756-2020")</f>
        <v/>
      </c>
    </row>
    <row r="145" ht="15" customHeight="1">
      <c r="A145" t="inlineStr">
        <is>
          <t>A 38298-2025</t>
        </is>
      </c>
      <c r="B145" s="1" t="n">
        <v>45883.4568287037</v>
      </c>
      <c r="C145" s="1" t="n">
        <v>45939</v>
      </c>
      <c r="D145" t="inlineStr">
        <is>
          <t>VÄSTERNORRLANDS LÄN</t>
        </is>
      </c>
      <c r="E145" t="inlineStr">
        <is>
          <t>ÅNGE</t>
        </is>
      </c>
      <c r="G145" t="n">
        <v>4.5</v>
      </c>
      <c r="H145" t="n">
        <v>0</v>
      </c>
      <c r="I145" t="n">
        <v>0</v>
      </c>
      <c r="J145" t="n">
        <v>2</v>
      </c>
      <c r="K145" t="n">
        <v>0</v>
      </c>
      <c r="L145" t="n">
        <v>0</v>
      </c>
      <c r="M145" t="n">
        <v>0</v>
      </c>
      <c r="N145" t="n">
        <v>0</v>
      </c>
      <c r="O145" t="n">
        <v>2</v>
      </c>
      <c r="P145" t="n">
        <v>0</v>
      </c>
      <c r="Q145" t="n">
        <v>2</v>
      </c>
      <c r="R145" s="2" t="inlineStr">
        <is>
          <t>Kolflarnlav
Lunglav</t>
        </is>
      </c>
      <c r="S145">
        <f>HYPERLINK("https://klasma.github.io/Logging_2260/artfynd/A 38298-2025 artfynd.xlsx", "A 38298-2025")</f>
        <v/>
      </c>
      <c r="T145">
        <f>HYPERLINK("https://klasma.github.io/Logging_2260/kartor/A 38298-2025 karta.png", "A 38298-2025")</f>
        <v/>
      </c>
      <c r="V145">
        <f>HYPERLINK("https://klasma.github.io/Logging_2260/klagomål/A 38298-2025 FSC-klagomål.docx", "A 38298-2025")</f>
        <v/>
      </c>
      <c r="W145">
        <f>HYPERLINK("https://klasma.github.io/Logging_2260/klagomålsmail/A 38298-2025 FSC-klagomål mail.docx", "A 38298-2025")</f>
        <v/>
      </c>
      <c r="X145">
        <f>HYPERLINK("https://klasma.github.io/Logging_2260/tillsyn/A 38298-2025 tillsynsbegäran.docx", "A 38298-2025")</f>
        <v/>
      </c>
      <c r="Y145">
        <f>HYPERLINK("https://klasma.github.io/Logging_2260/tillsynsmail/A 38298-2025 tillsynsbegäran mail.docx", "A 38298-2025")</f>
        <v/>
      </c>
    </row>
    <row r="146" ht="15" customHeight="1">
      <c r="A146" t="inlineStr">
        <is>
          <t>A 18081-2025</t>
        </is>
      </c>
      <c r="B146" s="1" t="n">
        <v>45761.51086805556</v>
      </c>
      <c r="C146" s="1" t="n">
        <v>45939</v>
      </c>
      <c r="D146" t="inlineStr">
        <is>
          <t>VÄSTERNORRLANDS LÄN</t>
        </is>
      </c>
      <c r="E146" t="inlineStr">
        <is>
          <t>ÅNGE</t>
        </is>
      </c>
      <c r="F146" t="inlineStr">
        <is>
          <t>SCA</t>
        </is>
      </c>
      <c r="G146" t="n">
        <v>2.6</v>
      </c>
      <c r="H146" t="n">
        <v>1</v>
      </c>
      <c r="I146" t="n">
        <v>1</v>
      </c>
      <c r="J146" t="n">
        <v>0</v>
      </c>
      <c r="K146" t="n">
        <v>1</v>
      </c>
      <c r="L146" t="n">
        <v>0</v>
      </c>
      <c r="M146" t="n">
        <v>0</v>
      </c>
      <c r="N146" t="n">
        <v>0</v>
      </c>
      <c r="O146" t="n">
        <v>1</v>
      </c>
      <c r="P146" t="n">
        <v>1</v>
      </c>
      <c r="Q146" t="n">
        <v>2</v>
      </c>
      <c r="R146" s="2" t="inlineStr">
        <is>
          <t>Knärot
Dropptaggsvamp</t>
        </is>
      </c>
      <c r="S146">
        <f>HYPERLINK("https://klasma.github.io/Logging_2260/artfynd/A 18081-2025 artfynd.xlsx", "A 18081-2025")</f>
        <v/>
      </c>
      <c r="T146">
        <f>HYPERLINK("https://klasma.github.io/Logging_2260/kartor/A 18081-2025 karta.png", "A 18081-2025")</f>
        <v/>
      </c>
      <c r="U146">
        <f>HYPERLINK("https://klasma.github.io/Logging_2260/knärot/A 18081-2025 karta knärot.png", "A 18081-2025")</f>
        <v/>
      </c>
      <c r="V146">
        <f>HYPERLINK("https://klasma.github.io/Logging_2260/klagomål/A 18081-2025 FSC-klagomål.docx", "A 18081-2025")</f>
        <v/>
      </c>
      <c r="W146">
        <f>HYPERLINK("https://klasma.github.io/Logging_2260/klagomålsmail/A 18081-2025 FSC-klagomål mail.docx", "A 18081-2025")</f>
        <v/>
      </c>
      <c r="X146">
        <f>HYPERLINK("https://klasma.github.io/Logging_2260/tillsyn/A 18081-2025 tillsynsbegäran.docx", "A 18081-2025")</f>
        <v/>
      </c>
      <c r="Y146">
        <f>HYPERLINK("https://klasma.github.io/Logging_2260/tillsynsmail/A 18081-2025 tillsynsbegäran mail.docx", "A 18081-2025")</f>
        <v/>
      </c>
    </row>
    <row r="147" ht="15" customHeight="1">
      <c r="A147" t="inlineStr">
        <is>
          <t>A 48374-2024</t>
        </is>
      </c>
      <c r="B147" s="1" t="n">
        <v>45590.58028935185</v>
      </c>
      <c r="C147" s="1" t="n">
        <v>45939</v>
      </c>
      <c r="D147" t="inlineStr">
        <is>
          <t>VÄSTERNORRLANDS LÄN</t>
        </is>
      </c>
      <c r="E147" t="inlineStr">
        <is>
          <t>ÅNGE</t>
        </is>
      </c>
      <c r="G147" t="n">
        <v>6.6</v>
      </c>
      <c r="H147" t="n">
        <v>0</v>
      </c>
      <c r="I147" t="n">
        <v>1</v>
      </c>
      <c r="J147" t="n">
        <v>1</v>
      </c>
      <c r="K147" t="n">
        <v>0</v>
      </c>
      <c r="L147" t="n">
        <v>0</v>
      </c>
      <c r="M147" t="n">
        <v>0</v>
      </c>
      <c r="N147" t="n">
        <v>0</v>
      </c>
      <c r="O147" t="n">
        <v>1</v>
      </c>
      <c r="P147" t="n">
        <v>0</v>
      </c>
      <c r="Q147" t="n">
        <v>2</v>
      </c>
      <c r="R147" s="2" t="inlineStr">
        <is>
          <t>Kolflarnlav
Bollvitmossa</t>
        </is>
      </c>
      <c r="S147">
        <f>HYPERLINK("https://klasma.github.io/Logging_2260/artfynd/A 48374-2024 artfynd.xlsx", "A 48374-2024")</f>
        <v/>
      </c>
      <c r="T147">
        <f>HYPERLINK("https://klasma.github.io/Logging_2260/kartor/A 48374-2024 karta.png", "A 48374-2024")</f>
        <v/>
      </c>
      <c r="V147">
        <f>HYPERLINK("https://klasma.github.io/Logging_2260/klagomål/A 48374-2024 FSC-klagomål.docx", "A 48374-2024")</f>
        <v/>
      </c>
      <c r="W147">
        <f>HYPERLINK("https://klasma.github.io/Logging_2260/klagomålsmail/A 48374-2024 FSC-klagomål mail.docx", "A 48374-2024")</f>
        <v/>
      </c>
      <c r="X147">
        <f>HYPERLINK("https://klasma.github.io/Logging_2260/tillsyn/A 48374-2024 tillsynsbegäran.docx", "A 48374-2024")</f>
        <v/>
      </c>
      <c r="Y147">
        <f>HYPERLINK("https://klasma.github.io/Logging_2260/tillsynsmail/A 48374-2024 tillsynsbegäran mail.docx", "A 48374-2024")</f>
        <v/>
      </c>
    </row>
    <row r="148" ht="15" customHeight="1">
      <c r="A148" t="inlineStr">
        <is>
          <t>A 48695-2024</t>
        </is>
      </c>
      <c r="B148" s="1" t="n">
        <v>45593.5109837963</v>
      </c>
      <c r="C148" s="1" t="n">
        <v>45939</v>
      </c>
      <c r="D148" t="inlineStr">
        <is>
          <t>VÄSTERNORRLANDS LÄN</t>
        </is>
      </c>
      <c r="E148" t="inlineStr">
        <is>
          <t>ÅNGE</t>
        </is>
      </c>
      <c r="F148" t="inlineStr">
        <is>
          <t>SCA</t>
        </is>
      </c>
      <c r="G148" t="n">
        <v>1.2</v>
      </c>
      <c r="H148" t="n">
        <v>0</v>
      </c>
      <c r="I148" t="n">
        <v>0</v>
      </c>
      <c r="J148" t="n">
        <v>2</v>
      </c>
      <c r="K148" t="n">
        <v>0</v>
      </c>
      <c r="L148" t="n">
        <v>0</v>
      </c>
      <c r="M148" t="n">
        <v>0</v>
      </c>
      <c r="N148" t="n">
        <v>0</v>
      </c>
      <c r="O148" t="n">
        <v>2</v>
      </c>
      <c r="P148" t="n">
        <v>0</v>
      </c>
      <c r="Q148" t="n">
        <v>2</v>
      </c>
      <c r="R148" s="2" t="inlineStr">
        <is>
          <t>Lunglav
Ullticka</t>
        </is>
      </c>
      <c r="S148">
        <f>HYPERLINK("https://klasma.github.io/Logging_2260/artfynd/A 48695-2024 artfynd.xlsx", "A 48695-2024")</f>
        <v/>
      </c>
      <c r="T148">
        <f>HYPERLINK("https://klasma.github.io/Logging_2260/kartor/A 48695-2024 karta.png", "A 48695-2024")</f>
        <v/>
      </c>
      <c r="V148">
        <f>HYPERLINK("https://klasma.github.io/Logging_2260/klagomål/A 48695-2024 FSC-klagomål.docx", "A 48695-2024")</f>
        <v/>
      </c>
      <c r="W148">
        <f>HYPERLINK("https://klasma.github.io/Logging_2260/klagomålsmail/A 48695-2024 FSC-klagomål mail.docx", "A 48695-2024")</f>
        <v/>
      </c>
      <c r="X148">
        <f>HYPERLINK("https://klasma.github.io/Logging_2260/tillsyn/A 48695-2024 tillsynsbegäran.docx", "A 48695-2024")</f>
        <v/>
      </c>
      <c r="Y148">
        <f>HYPERLINK("https://klasma.github.io/Logging_2260/tillsynsmail/A 48695-2024 tillsynsbegäran mail.docx", "A 48695-2024")</f>
        <v/>
      </c>
    </row>
    <row r="149" ht="15" customHeight="1">
      <c r="A149" t="inlineStr">
        <is>
          <t>A 49871-2024</t>
        </is>
      </c>
      <c r="B149" s="1" t="n">
        <v>45597.4903125</v>
      </c>
      <c r="C149" s="1" t="n">
        <v>45939</v>
      </c>
      <c r="D149" t="inlineStr">
        <is>
          <t>VÄSTERNORRLANDS LÄN</t>
        </is>
      </c>
      <c r="E149" t="inlineStr">
        <is>
          <t>ÅNGE</t>
        </is>
      </c>
      <c r="F149" t="inlineStr">
        <is>
          <t>SCA</t>
        </is>
      </c>
      <c r="G149" t="n">
        <v>6.3</v>
      </c>
      <c r="H149" t="n">
        <v>1</v>
      </c>
      <c r="I149" t="n">
        <v>0</v>
      </c>
      <c r="J149" t="n">
        <v>1</v>
      </c>
      <c r="K149" t="n">
        <v>1</v>
      </c>
      <c r="L149" t="n">
        <v>0</v>
      </c>
      <c r="M149" t="n">
        <v>0</v>
      </c>
      <c r="N149" t="n">
        <v>0</v>
      </c>
      <c r="O149" t="n">
        <v>2</v>
      </c>
      <c r="P149" t="n">
        <v>1</v>
      </c>
      <c r="Q149" t="n">
        <v>2</v>
      </c>
      <c r="R149" s="2" t="inlineStr">
        <is>
          <t>Knärot
Garnlav</t>
        </is>
      </c>
      <c r="S149">
        <f>HYPERLINK("https://klasma.github.io/Logging_2260/artfynd/A 49871-2024 artfynd.xlsx", "A 49871-2024")</f>
        <v/>
      </c>
      <c r="T149">
        <f>HYPERLINK("https://klasma.github.io/Logging_2260/kartor/A 49871-2024 karta.png", "A 49871-2024")</f>
        <v/>
      </c>
      <c r="U149">
        <f>HYPERLINK("https://klasma.github.io/Logging_2260/knärot/A 49871-2024 karta knärot.png", "A 49871-2024")</f>
        <v/>
      </c>
      <c r="V149">
        <f>HYPERLINK("https://klasma.github.io/Logging_2260/klagomål/A 49871-2024 FSC-klagomål.docx", "A 49871-2024")</f>
        <v/>
      </c>
      <c r="W149">
        <f>HYPERLINK("https://klasma.github.io/Logging_2260/klagomålsmail/A 49871-2024 FSC-klagomål mail.docx", "A 49871-2024")</f>
        <v/>
      </c>
      <c r="X149">
        <f>HYPERLINK("https://klasma.github.io/Logging_2260/tillsyn/A 49871-2024 tillsynsbegäran.docx", "A 49871-2024")</f>
        <v/>
      </c>
      <c r="Y149">
        <f>HYPERLINK("https://klasma.github.io/Logging_2260/tillsynsmail/A 49871-2024 tillsynsbegäran mail.docx", "A 49871-2024")</f>
        <v/>
      </c>
    </row>
    <row r="150" ht="15" customHeight="1">
      <c r="A150" t="inlineStr">
        <is>
          <t>A 47719-2024</t>
        </is>
      </c>
      <c r="B150" s="1" t="n">
        <v>45588.48996527777</v>
      </c>
      <c r="C150" s="1" t="n">
        <v>45939</v>
      </c>
      <c r="D150" t="inlineStr">
        <is>
          <t>VÄSTERNORRLANDS LÄN</t>
        </is>
      </c>
      <c r="E150" t="inlineStr">
        <is>
          <t>ÅNGE</t>
        </is>
      </c>
      <c r="F150" t="inlineStr">
        <is>
          <t>SCA</t>
        </is>
      </c>
      <c r="G150" t="n">
        <v>1.4</v>
      </c>
      <c r="H150" t="n">
        <v>0</v>
      </c>
      <c r="I150" t="n">
        <v>0</v>
      </c>
      <c r="J150" t="n">
        <v>2</v>
      </c>
      <c r="K150" t="n">
        <v>0</v>
      </c>
      <c r="L150" t="n">
        <v>0</v>
      </c>
      <c r="M150" t="n">
        <v>0</v>
      </c>
      <c r="N150" t="n">
        <v>0</v>
      </c>
      <c r="O150" t="n">
        <v>2</v>
      </c>
      <c r="P150" t="n">
        <v>0</v>
      </c>
      <c r="Q150" t="n">
        <v>2</v>
      </c>
      <c r="R150" s="2" t="inlineStr">
        <is>
          <t>Dvärgbägarlav
Vedskivlav</t>
        </is>
      </c>
      <c r="S150">
        <f>HYPERLINK("https://klasma.github.io/Logging_2260/artfynd/A 47719-2024 artfynd.xlsx", "A 47719-2024")</f>
        <v/>
      </c>
      <c r="T150">
        <f>HYPERLINK("https://klasma.github.io/Logging_2260/kartor/A 47719-2024 karta.png", "A 47719-2024")</f>
        <v/>
      </c>
      <c r="V150">
        <f>HYPERLINK("https://klasma.github.io/Logging_2260/klagomål/A 47719-2024 FSC-klagomål.docx", "A 47719-2024")</f>
        <v/>
      </c>
      <c r="W150">
        <f>HYPERLINK("https://klasma.github.io/Logging_2260/klagomålsmail/A 47719-2024 FSC-klagomål mail.docx", "A 47719-2024")</f>
        <v/>
      </c>
      <c r="X150">
        <f>HYPERLINK("https://klasma.github.io/Logging_2260/tillsyn/A 47719-2024 tillsynsbegäran.docx", "A 47719-2024")</f>
        <v/>
      </c>
      <c r="Y150">
        <f>HYPERLINK("https://klasma.github.io/Logging_2260/tillsynsmail/A 47719-2024 tillsynsbegäran mail.docx", "A 47719-2024")</f>
        <v/>
      </c>
    </row>
    <row r="151" ht="15" customHeight="1">
      <c r="A151" t="inlineStr">
        <is>
          <t>A 29325-2023</t>
        </is>
      </c>
      <c r="B151" s="1" t="n">
        <v>45105</v>
      </c>
      <c r="C151" s="1" t="n">
        <v>45939</v>
      </c>
      <c r="D151" t="inlineStr">
        <is>
          <t>VÄSTERNORRLANDS LÄN</t>
        </is>
      </c>
      <c r="E151" t="inlineStr">
        <is>
          <t>ÅNGE</t>
        </is>
      </c>
      <c r="G151" t="n">
        <v>12.4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HYPERLINK("https://klasma.github.io/Logging_2260/artfynd/A 29325-2023 artfynd.xlsx", "A 29325-2023")</f>
        <v/>
      </c>
      <c r="T151">
        <f>HYPERLINK("https://klasma.github.io/Logging_2260/kartor/A 29325-2023 karta.png", "A 29325-2023")</f>
        <v/>
      </c>
      <c r="V151">
        <f>HYPERLINK("https://klasma.github.io/Logging_2260/klagomål/A 29325-2023 FSC-klagomål.docx", "A 29325-2023")</f>
        <v/>
      </c>
      <c r="W151">
        <f>HYPERLINK("https://klasma.github.io/Logging_2260/klagomålsmail/A 29325-2023 FSC-klagomål mail.docx", "A 29325-2023")</f>
        <v/>
      </c>
      <c r="X151">
        <f>HYPERLINK("https://klasma.github.io/Logging_2260/tillsyn/A 29325-2023 tillsynsbegäran.docx", "A 29325-2023")</f>
        <v/>
      </c>
      <c r="Y151">
        <f>HYPERLINK("https://klasma.github.io/Logging_2260/tillsynsmail/A 29325-2023 tillsynsbegäran mail.docx", "A 29325-2023")</f>
        <v/>
      </c>
    </row>
    <row r="152" ht="15" customHeight="1">
      <c r="A152" t="inlineStr">
        <is>
          <t>A 8324-2025</t>
        </is>
      </c>
      <c r="B152" s="1" t="n">
        <v>45708.63621527778</v>
      </c>
      <c r="C152" s="1" t="n">
        <v>45939</v>
      </c>
      <c r="D152" t="inlineStr">
        <is>
          <t>VÄSTERNORRLANDS LÄN</t>
        </is>
      </c>
      <c r="E152" t="inlineStr">
        <is>
          <t>ÅNGE</t>
        </is>
      </c>
      <c r="F152" t="inlineStr">
        <is>
          <t>SCA</t>
        </is>
      </c>
      <c r="G152" t="n">
        <v>7.8</v>
      </c>
      <c r="H152" t="n">
        <v>0</v>
      </c>
      <c r="I152" t="n">
        <v>1</v>
      </c>
      <c r="J152" t="n">
        <v>1</v>
      </c>
      <c r="K152" t="n">
        <v>0</v>
      </c>
      <c r="L152" t="n">
        <v>0</v>
      </c>
      <c r="M152" t="n">
        <v>0</v>
      </c>
      <c r="N152" t="n">
        <v>0</v>
      </c>
      <c r="O152" t="n">
        <v>1</v>
      </c>
      <c r="P152" t="n">
        <v>0</v>
      </c>
      <c r="Q152" t="n">
        <v>2</v>
      </c>
      <c r="R152" s="2" t="inlineStr">
        <is>
          <t>Vitgrynig nållav
Bollvitmossa</t>
        </is>
      </c>
      <c r="S152">
        <f>HYPERLINK("https://klasma.github.io/Logging_2260/artfynd/A 8324-2025 artfynd.xlsx", "A 8324-2025")</f>
        <v/>
      </c>
      <c r="T152">
        <f>HYPERLINK("https://klasma.github.io/Logging_2260/kartor/A 8324-2025 karta.png", "A 8324-2025")</f>
        <v/>
      </c>
      <c r="V152">
        <f>HYPERLINK("https://klasma.github.io/Logging_2260/klagomål/A 8324-2025 FSC-klagomål.docx", "A 8324-2025")</f>
        <v/>
      </c>
      <c r="W152">
        <f>HYPERLINK("https://klasma.github.io/Logging_2260/klagomålsmail/A 8324-2025 FSC-klagomål mail.docx", "A 8324-2025")</f>
        <v/>
      </c>
      <c r="X152">
        <f>HYPERLINK("https://klasma.github.io/Logging_2260/tillsyn/A 8324-2025 tillsynsbegäran.docx", "A 8324-2025")</f>
        <v/>
      </c>
      <c r="Y152">
        <f>HYPERLINK("https://klasma.github.io/Logging_2260/tillsynsmail/A 8324-2025 tillsynsbegäran mail.docx", "A 8324-2025")</f>
        <v/>
      </c>
    </row>
    <row r="153" ht="15" customHeight="1">
      <c r="A153" t="inlineStr">
        <is>
          <t>A 42864-2025</t>
        </is>
      </c>
      <c r="B153" s="1" t="n">
        <v>45908</v>
      </c>
      <c r="C153" s="1" t="n">
        <v>45939</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21453-2025</t>
        </is>
      </c>
      <c r="B154" s="1" t="n">
        <v>45782.55311342593</v>
      </c>
      <c r="C154" s="1" t="n">
        <v>45939</v>
      </c>
      <c r="D154" t="inlineStr">
        <is>
          <t>VÄSTERNORRLANDS LÄN</t>
        </is>
      </c>
      <c r="E154" t="inlineStr">
        <is>
          <t>ÅNGE</t>
        </is>
      </c>
      <c r="F154" t="inlineStr">
        <is>
          <t>SCA</t>
        </is>
      </c>
      <c r="G154" t="n">
        <v>1</v>
      </c>
      <c r="H154" t="n">
        <v>0</v>
      </c>
      <c r="I154" t="n">
        <v>2</v>
      </c>
      <c r="J154" t="n">
        <v>0</v>
      </c>
      <c r="K154" t="n">
        <v>0</v>
      </c>
      <c r="L154" t="n">
        <v>0</v>
      </c>
      <c r="M154" t="n">
        <v>0</v>
      </c>
      <c r="N154" t="n">
        <v>0</v>
      </c>
      <c r="O154" t="n">
        <v>0</v>
      </c>
      <c r="P154" t="n">
        <v>0</v>
      </c>
      <c r="Q154" t="n">
        <v>2</v>
      </c>
      <c r="R154" s="2" t="inlineStr">
        <is>
          <t>Svart trolldruva
Tibast</t>
        </is>
      </c>
      <c r="S154">
        <f>HYPERLINK("https://klasma.github.io/Logging_2260/artfynd/A 21453-2025 artfynd.xlsx", "A 21453-2025")</f>
        <v/>
      </c>
      <c r="T154">
        <f>HYPERLINK("https://klasma.github.io/Logging_2260/kartor/A 21453-2025 karta.png", "A 21453-2025")</f>
        <v/>
      </c>
      <c r="V154">
        <f>HYPERLINK("https://klasma.github.io/Logging_2260/klagomål/A 21453-2025 FSC-klagomål.docx", "A 21453-2025")</f>
        <v/>
      </c>
      <c r="W154">
        <f>HYPERLINK("https://klasma.github.io/Logging_2260/klagomålsmail/A 21453-2025 FSC-klagomål mail.docx", "A 21453-2025")</f>
        <v/>
      </c>
      <c r="X154">
        <f>HYPERLINK("https://klasma.github.io/Logging_2260/tillsyn/A 21453-2025 tillsynsbegäran.docx", "A 21453-2025")</f>
        <v/>
      </c>
      <c r="Y154">
        <f>HYPERLINK("https://klasma.github.io/Logging_2260/tillsynsmail/A 21453-2025 tillsynsbegäran mail.docx", "A 21453-2025")</f>
        <v/>
      </c>
    </row>
    <row r="155" ht="15" customHeight="1">
      <c r="A155" t="inlineStr">
        <is>
          <t>A 4093-2025</t>
        </is>
      </c>
      <c r="B155" s="1" t="n">
        <v>45684.67762731481</v>
      </c>
      <c r="C155" s="1" t="n">
        <v>45939</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25034-2024</t>
        </is>
      </c>
      <c r="B156" s="1" t="n">
        <v>45461.96458333333</v>
      </c>
      <c r="C156" s="1" t="n">
        <v>45939</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24795-2024</t>
        </is>
      </c>
      <c r="B157" s="1" t="n">
        <v>45460.95252314815</v>
      </c>
      <c r="C157" s="1" t="n">
        <v>45939</v>
      </c>
      <c r="D157" t="inlineStr">
        <is>
          <t>VÄSTERNORRLANDS LÄN</t>
        </is>
      </c>
      <c r="E157" t="inlineStr">
        <is>
          <t>ÅNGE</t>
        </is>
      </c>
      <c r="F157" t="inlineStr">
        <is>
          <t>SCA</t>
        </is>
      </c>
      <c r="G157" t="n">
        <v>2.2</v>
      </c>
      <c r="H157" t="n">
        <v>0</v>
      </c>
      <c r="I157" t="n">
        <v>1</v>
      </c>
      <c r="J157" t="n">
        <v>1</v>
      </c>
      <c r="K157" t="n">
        <v>0</v>
      </c>
      <c r="L157" t="n">
        <v>0</v>
      </c>
      <c r="M157" t="n">
        <v>0</v>
      </c>
      <c r="N157" t="n">
        <v>0</v>
      </c>
      <c r="O157" t="n">
        <v>1</v>
      </c>
      <c r="P157" t="n">
        <v>0</v>
      </c>
      <c r="Q157" t="n">
        <v>2</v>
      </c>
      <c r="R157" s="2" t="inlineStr">
        <is>
          <t>Lunglav
Skinnlav</t>
        </is>
      </c>
      <c r="S157">
        <f>HYPERLINK("https://klasma.github.io/Logging_2260/artfynd/A 24795-2024 artfynd.xlsx", "A 24795-2024")</f>
        <v/>
      </c>
      <c r="T157">
        <f>HYPERLINK("https://klasma.github.io/Logging_2260/kartor/A 24795-2024 karta.png", "A 24795-2024")</f>
        <v/>
      </c>
      <c r="V157">
        <f>HYPERLINK("https://klasma.github.io/Logging_2260/klagomål/A 24795-2024 FSC-klagomål.docx", "A 24795-2024")</f>
        <v/>
      </c>
      <c r="W157">
        <f>HYPERLINK("https://klasma.github.io/Logging_2260/klagomålsmail/A 24795-2024 FSC-klagomål mail.docx", "A 24795-2024")</f>
        <v/>
      </c>
      <c r="X157">
        <f>HYPERLINK("https://klasma.github.io/Logging_2260/tillsyn/A 24795-2024 tillsynsbegäran.docx", "A 24795-2024")</f>
        <v/>
      </c>
      <c r="Y157">
        <f>HYPERLINK("https://klasma.github.io/Logging_2260/tillsynsmail/A 24795-2024 tillsynsbegäran mail.docx", "A 24795-2024")</f>
        <v/>
      </c>
    </row>
    <row r="158" ht="15" customHeight="1">
      <c r="A158" t="inlineStr">
        <is>
          <t>A 57089-2024</t>
        </is>
      </c>
      <c r="B158" s="1" t="n">
        <v>45629.35665509259</v>
      </c>
      <c r="C158" s="1" t="n">
        <v>45939</v>
      </c>
      <c r="D158" t="inlineStr">
        <is>
          <t>VÄSTERNORRLANDS LÄN</t>
        </is>
      </c>
      <c r="E158" t="inlineStr">
        <is>
          <t>ÅNGE</t>
        </is>
      </c>
      <c r="F158" t="inlineStr">
        <is>
          <t>SCA</t>
        </is>
      </c>
      <c r="G158" t="n">
        <v>1.5</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57089-2024 artfynd.xlsx", "A 57089-2024")</f>
        <v/>
      </c>
      <c r="T158">
        <f>HYPERLINK("https://klasma.github.io/Logging_2260/kartor/A 57089-2024 karta.png", "A 57089-2024")</f>
        <v/>
      </c>
      <c r="V158">
        <f>HYPERLINK("https://klasma.github.io/Logging_2260/klagomål/A 57089-2024 FSC-klagomål.docx", "A 57089-2024")</f>
        <v/>
      </c>
      <c r="W158">
        <f>HYPERLINK("https://klasma.github.io/Logging_2260/klagomålsmail/A 57089-2024 FSC-klagomål mail.docx", "A 57089-2024")</f>
        <v/>
      </c>
      <c r="X158">
        <f>HYPERLINK("https://klasma.github.io/Logging_2260/tillsyn/A 57089-2024 tillsynsbegäran.docx", "A 57089-2024")</f>
        <v/>
      </c>
      <c r="Y158">
        <f>HYPERLINK("https://klasma.github.io/Logging_2260/tillsynsmail/A 57089-2024 tillsynsbegäran mail.docx", "A 57089-2024")</f>
        <v/>
      </c>
    </row>
    <row r="159" ht="15" customHeight="1">
      <c r="A159" t="inlineStr">
        <is>
          <t>A 24176-2025</t>
        </is>
      </c>
      <c r="B159" s="1" t="n">
        <v>45796.69832175926</v>
      </c>
      <c r="C159" s="1" t="n">
        <v>45939</v>
      </c>
      <c r="D159" t="inlineStr">
        <is>
          <t>VÄSTERNORRLANDS LÄN</t>
        </is>
      </c>
      <c r="E159" t="inlineStr">
        <is>
          <t>ÅNGE</t>
        </is>
      </c>
      <c r="F159" t="inlineStr">
        <is>
          <t>SCA</t>
        </is>
      </c>
      <c r="G159" t="n">
        <v>3.9</v>
      </c>
      <c r="H159" t="n">
        <v>0</v>
      </c>
      <c r="I159" t="n">
        <v>1</v>
      </c>
      <c r="J159" t="n">
        <v>1</v>
      </c>
      <c r="K159" t="n">
        <v>0</v>
      </c>
      <c r="L159" t="n">
        <v>0</v>
      </c>
      <c r="M159" t="n">
        <v>0</v>
      </c>
      <c r="N159" t="n">
        <v>0</v>
      </c>
      <c r="O159" t="n">
        <v>1</v>
      </c>
      <c r="P159" t="n">
        <v>0</v>
      </c>
      <c r="Q159" t="n">
        <v>2</v>
      </c>
      <c r="R159" s="2" t="inlineStr">
        <is>
          <t>Vitgrynig nållav
Vedticka</t>
        </is>
      </c>
      <c r="S159">
        <f>HYPERLINK("https://klasma.github.io/Logging_2260/artfynd/A 24176-2025 artfynd.xlsx", "A 24176-2025")</f>
        <v/>
      </c>
      <c r="T159">
        <f>HYPERLINK("https://klasma.github.io/Logging_2260/kartor/A 24176-2025 karta.png", "A 24176-2025")</f>
        <v/>
      </c>
      <c r="V159">
        <f>HYPERLINK("https://klasma.github.io/Logging_2260/klagomål/A 24176-2025 FSC-klagomål.docx", "A 24176-2025")</f>
        <v/>
      </c>
      <c r="W159">
        <f>HYPERLINK("https://klasma.github.io/Logging_2260/klagomålsmail/A 24176-2025 FSC-klagomål mail.docx", "A 24176-2025")</f>
        <v/>
      </c>
      <c r="X159">
        <f>HYPERLINK("https://klasma.github.io/Logging_2260/tillsyn/A 24176-2025 tillsynsbegäran.docx", "A 24176-2025")</f>
        <v/>
      </c>
      <c r="Y159">
        <f>HYPERLINK("https://klasma.github.io/Logging_2260/tillsynsmail/A 24176-2025 tillsynsbegäran mail.docx", "A 24176-2025")</f>
        <v/>
      </c>
    </row>
    <row r="160" ht="15" customHeight="1">
      <c r="A160" t="inlineStr">
        <is>
          <t>A 165-2025</t>
        </is>
      </c>
      <c r="B160" s="1" t="n">
        <v>45659</v>
      </c>
      <c r="C160" s="1" t="n">
        <v>45939</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26906-2025</t>
        </is>
      </c>
      <c r="B161" s="1" t="n">
        <v>45811.34552083333</v>
      </c>
      <c r="C161" s="1" t="n">
        <v>45939</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31493-2024</t>
        </is>
      </c>
      <c r="B162" s="1" t="n">
        <v>45505</v>
      </c>
      <c r="C162" s="1" t="n">
        <v>45939</v>
      </c>
      <c r="D162" t="inlineStr">
        <is>
          <t>VÄSTERNORRLANDS LÄN</t>
        </is>
      </c>
      <c r="E162" t="inlineStr">
        <is>
          <t>ÅNGE</t>
        </is>
      </c>
      <c r="F162" t="inlineStr">
        <is>
          <t>SCA</t>
        </is>
      </c>
      <c r="G162" t="n">
        <v>4.4</v>
      </c>
      <c r="H162" t="n">
        <v>1</v>
      </c>
      <c r="I162" t="n">
        <v>1</v>
      </c>
      <c r="J162" t="n">
        <v>0</v>
      </c>
      <c r="K162" t="n">
        <v>1</v>
      </c>
      <c r="L162" t="n">
        <v>0</v>
      </c>
      <c r="M162" t="n">
        <v>0</v>
      </c>
      <c r="N162" t="n">
        <v>0</v>
      </c>
      <c r="O162" t="n">
        <v>1</v>
      </c>
      <c r="P162" t="n">
        <v>1</v>
      </c>
      <c r="Q162" t="n">
        <v>2</v>
      </c>
      <c r="R162" s="2" t="inlineStr">
        <is>
          <t>Knärot
Korallblylav</t>
        </is>
      </c>
      <c r="S162">
        <f>HYPERLINK("https://klasma.github.io/Logging_2260/artfynd/A 31493-2024 artfynd.xlsx", "A 31493-2024")</f>
        <v/>
      </c>
      <c r="T162">
        <f>HYPERLINK("https://klasma.github.io/Logging_2260/kartor/A 31493-2024 karta.png", "A 31493-2024")</f>
        <v/>
      </c>
      <c r="U162">
        <f>HYPERLINK("https://klasma.github.io/Logging_2260/knärot/A 31493-2024 karta knärot.png", "A 31493-2024")</f>
        <v/>
      </c>
      <c r="V162">
        <f>HYPERLINK("https://klasma.github.io/Logging_2260/klagomål/A 31493-2024 FSC-klagomål.docx", "A 31493-2024")</f>
        <v/>
      </c>
      <c r="W162">
        <f>HYPERLINK("https://klasma.github.io/Logging_2260/klagomålsmail/A 31493-2024 FSC-klagomål mail.docx", "A 31493-2024")</f>
        <v/>
      </c>
      <c r="X162">
        <f>HYPERLINK("https://klasma.github.io/Logging_2260/tillsyn/A 31493-2024 tillsynsbegäran.docx", "A 31493-2024")</f>
        <v/>
      </c>
      <c r="Y162">
        <f>HYPERLINK("https://klasma.github.io/Logging_2260/tillsynsmail/A 31493-2024 tillsynsbegäran mail.docx", "A 31493-2024")</f>
        <v/>
      </c>
    </row>
    <row r="163" ht="15" customHeight="1">
      <c r="A163" t="inlineStr">
        <is>
          <t>A 17861-2023</t>
        </is>
      </c>
      <c r="B163" s="1" t="n">
        <v>45037.94171296297</v>
      </c>
      <c r="C163" s="1" t="n">
        <v>45939</v>
      </c>
      <c r="D163" t="inlineStr">
        <is>
          <t>VÄSTERNORRLANDS LÄN</t>
        </is>
      </c>
      <c r="E163" t="inlineStr">
        <is>
          <t>ÅNGE</t>
        </is>
      </c>
      <c r="F163" t="inlineStr">
        <is>
          <t>SCA</t>
        </is>
      </c>
      <c r="G163" t="n">
        <v>1.1</v>
      </c>
      <c r="H163" t="n">
        <v>0</v>
      </c>
      <c r="I163" t="n">
        <v>1</v>
      </c>
      <c r="J163" t="n">
        <v>1</v>
      </c>
      <c r="K163" t="n">
        <v>0</v>
      </c>
      <c r="L163" t="n">
        <v>0</v>
      </c>
      <c r="M163" t="n">
        <v>0</v>
      </c>
      <c r="N163" t="n">
        <v>0</v>
      </c>
      <c r="O163" t="n">
        <v>1</v>
      </c>
      <c r="P163" t="n">
        <v>0</v>
      </c>
      <c r="Q163" t="n">
        <v>2</v>
      </c>
      <c r="R163" s="2" t="inlineStr">
        <is>
          <t>Skrovlig taggsvamp
Dropptaggsvamp</t>
        </is>
      </c>
      <c r="S163">
        <f>HYPERLINK("https://klasma.github.io/Logging_2260/artfynd/A 17861-2023 artfynd.xlsx", "A 17861-2023")</f>
        <v/>
      </c>
      <c r="T163">
        <f>HYPERLINK("https://klasma.github.io/Logging_2260/kartor/A 17861-2023 karta.png", "A 17861-2023")</f>
        <v/>
      </c>
      <c r="V163">
        <f>HYPERLINK("https://klasma.github.io/Logging_2260/klagomål/A 17861-2023 FSC-klagomål.docx", "A 17861-2023")</f>
        <v/>
      </c>
      <c r="W163">
        <f>HYPERLINK("https://klasma.github.io/Logging_2260/klagomålsmail/A 17861-2023 FSC-klagomål mail.docx", "A 17861-2023")</f>
        <v/>
      </c>
      <c r="X163">
        <f>HYPERLINK("https://klasma.github.io/Logging_2260/tillsyn/A 17861-2023 tillsynsbegäran.docx", "A 17861-2023")</f>
        <v/>
      </c>
      <c r="Y163">
        <f>HYPERLINK("https://klasma.github.io/Logging_2260/tillsynsmail/A 17861-2023 tillsynsbegäran mail.docx", "A 17861-2023")</f>
        <v/>
      </c>
    </row>
    <row r="164" ht="15" customHeight="1">
      <c r="A164" t="inlineStr">
        <is>
          <t>A 62861-2021</t>
        </is>
      </c>
      <c r="B164" s="1" t="n">
        <v>44503</v>
      </c>
      <c r="C164" s="1" t="n">
        <v>45939</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55178-2024</t>
        </is>
      </c>
      <c r="B165" s="1" t="n">
        <v>45621</v>
      </c>
      <c r="C165" s="1" t="n">
        <v>45939</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55591-2021</t>
        </is>
      </c>
      <c r="B166" s="1" t="n">
        <v>44475</v>
      </c>
      <c r="C166" s="1" t="n">
        <v>45939</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58902-2020</t>
        </is>
      </c>
      <c r="B167" s="1" t="n">
        <v>44146</v>
      </c>
      <c r="C167" s="1" t="n">
        <v>45939</v>
      </c>
      <c r="D167" t="inlineStr">
        <is>
          <t>VÄSTERNORRLANDS LÄN</t>
        </is>
      </c>
      <c r="E167" t="inlineStr">
        <is>
          <t>ÅNGE</t>
        </is>
      </c>
      <c r="G167" t="n">
        <v>8.199999999999999</v>
      </c>
      <c r="H167" t="n">
        <v>0</v>
      </c>
      <c r="I167" t="n">
        <v>1</v>
      </c>
      <c r="J167" t="n">
        <v>1</v>
      </c>
      <c r="K167" t="n">
        <v>0</v>
      </c>
      <c r="L167" t="n">
        <v>0</v>
      </c>
      <c r="M167" t="n">
        <v>0</v>
      </c>
      <c r="N167" t="n">
        <v>0</v>
      </c>
      <c r="O167" t="n">
        <v>1</v>
      </c>
      <c r="P167" t="n">
        <v>0</v>
      </c>
      <c r="Q167" t="n">
        <v>2</v>
      </c>
      <c r="R167" s="2" t="inlineStr">
        <is>
          <t>Ullticka
Vedticka</t>
        </is>
      </c>
      <c r="S167">
        <f>HYPERLINK("https://klasma.github.io/Logging_2260/artfynd/A 58902-2020 artfynd.xlsx", "A 58902-2020")</f>
        <v/>
      </c>
      <c r="T167">
        <f>HYPERLINK("https://klasma.github.io/Logging_2260/kartor/A 58902-2020 karta.png", "A 58902-2020")</f>
        <v/>
      </c>
      <c r="V167">
        <f>HYPERLINK("https://klasma.github.io/Logging_2260/klagomål/A 58902-2020 FSC-klagomål.docx", "A 58902-2020")</f>
        <v/>
      </c>
      <c r="W167">
        <f>HYPERLINK("https://klasma.github.io/Logging_2260/klagomålsmail/A 58902-2020 FSC-klagomål mail.docx", "A 58902-2020")</f>
        <v/>
      </c>
      <c r="X167">
        <f>HYPERLINK("https://klasma.github.io/Logging_2260/tillsyn/A 58902-2020 tillsynsbegäran.docx", "A 58902-2020")</f>
        <v/>
      </c>
      <c r="Y167">
        <f>HYPERLINK("https://klasma.github.io/Logging_2260/tillsynsmail/A 58902-2020 tillsynsbegäran mail.docx", "A 58902-2020")</f>
        <v/>
      </c>
    </row>
    <row r="168" ht="15" customHeight="1">
      <c r="A168" t="inlineStr">
        <is>
          <t>A 36414-2025</t>
        </is>
      </c>
      <c r="B168" s="1" t="n">
        <v>45868.69246527777</v>
      </c>
      <c r="C168" s="1" t="n">
        <v>45939</v>
      </c>
      <c r="D168" t="inlineStr">
        <is>
          <t>VÄSTERNORRLANDS LÄN</t>
        </is>
      </c>
      <c r="E168" t="inlineStr">
        <is>
          <t>ÅNGE</t>
        </is>
      </c>
      <c r="G168" t="n">
        <v>5.4</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36414-2025 artfynd.xlsx", "A 36414-2025")</f>
        <v/>
      </c>
      <c r="T168">
        <f>HYPERLINK("https://klasma.github.io/Logging_2260/kartor/A 36414-2025 karta.png", "A 36414-2025")</f>
        <v/>
      </c>
      <c r="V168">
        <f>HYPERLINK("https://klasma.github.io/Logging_2260/klagomål/A 36414-2025 FSC-klagomål.docx", "A 36414-2025")</f>
        <v/>
      </c>
      <c r="W168">
        <f>HYPERLINK("https://klasma.github.io/Logging_2260/klagomålsmail/A 36414-2025 FSC-klagomål mail.docx", "A 36414-2025")</f>
        <v/>
      </c>
      <c r="X168">
        <f>HYPERLINK("https://klasma.github.io/Logging_2260/tillsyn/A 36414-2025 tillsynsbegäran.docx", "A 36414-2025")</f>
        <v/>
      </c>
      <c r="Y168">
        <f>HYPERLINK("https://klasma.github.io/Logging_2260/tillsynsmail/A 36414-2025 tillsynsbegäran mail.docx", "A 36414-2025")</f>
        <v/>
      </c>
    </row>
    <row r="169" ht="15" customHeight="1">
      <c r="A169" t="inlineStr">
        <is>
          <t>A 43721-2025</t>
        </is>
      </c>
      <c r="B169" s="1" t="n">
        <v>45912.42800925926</v>
      </c>
      <c r="C169" s="1" t="n">
        <v>45939</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20367-2022</t>
        </is>
      </c>
      <c r="B170" s="1" t="n">
        <v>44699</v>
      </c>
      <c r="C170" s="1" t="n">
        <v>45939</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45939</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45939</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45939</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45939</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38606-2024</t>
        </is>
      </c>
      <c r="B175" s="1" t="n">
        <v>45546.67804398148</v>
      </c>
      <c r="C175" s="1" t="n">
        <v>45939</v>
      </c>
      <c r="D175" t="inlineStr">
        <is>
          <t>VÄSTERNORRLANDS LÄN</t>
        </is>
      </c>
      <c r="E175" t="inlineStr">
        <is>
          <t>ÅNGE</t>
        </is>
      </c>
      <c r="F175" t="inlineStr">
        <is>
          <t>SCA</t>
        </is>
      </c>
      <c r="G175" t="n">
        <v>2.4</v>
      </c>
      <c r="H175" t="n">
        <v>0</v>
      </c>
      <c r="I175" t="n">
        <v>0</v>
      </c>
      <c r="J175" t="n">
        <v>1</v>
      </c>
      <c r="K175" t="n">
        <v>0</v>
      </c>
      <c r="L175" t="n">
        <v>0</v>
      </c>
      <c r="M175" t="n">
        <v>0</v>
      </c>
      <c r="N175" t="n">
        <v>0</v>
      </c>
      <c r="O175" t="n">
        <v>1</v>
      </c>
      <c r="P175" t="n">
        <v>0</v>
      </c>
      <c r="Q175" t="n">
        <v>1</v>
      </c>
      <c r="R175" s="2" t="inlineStr">
        <is>
          <t>Ullticka</t>
        </is>
      </c>
      <c r="S175">
        <f>HYPERLINK("https://klasma.github.io/Logging_2260/artfynd/A 38606-2024 artfynd.xlsx", "A 38606-2024")</f>
        <v/>
      </c>
      <c r="T175">
        <f>HYPERLINK("https://klasma.github.io/Logging_2260/kartor/A 38606-2024 karta.png", "A 38606-2024")</f>
        <v/>
      </c>
      <c r="V175">
        <f>HYPERLINK("https://klasma.github.io/Logging_2260/klagomål/A 38606-2024 FSC-klagomål.docx", "A 38606-2024")</f>
        <v/>
      </c>
      <c r="W175">
        <f>HYPERLINK("https://klasma.github.io/Logging_2260/klagomålsmail/A 38606-2024 FSC-klagomål mail.docx", "A 38606-2024")</f>
        <v/>
      </c>
      <c r="X175">
        <f>HYPERLINK("https://klasma.github.io/Logging_2260/tillsyn/A 38606-2024 tillsynsbegäran.docx", "A 38606-2024")</f>
        <v/>
      </c>
      <c r="Y175">
        <f>HYPERLINK("https://klasma.github.io/Logging_2260/tillsynsmail/A 38606-2024 tillsynsbegäran mail.docx", "A 38606-2024")</f>
        <v/>
      </c>
    </row>
    <row r="176" ht="15" customHeight="1">
      <c r="A176" t="inlineStr">
        <is>
          <t>A 43171-2024</t>
        </is>
      </c>
      <c r="B176" s="1" t="n">
        <v>45567</v>
      </c>
      <c r="C176" s="1" t="n">
        <v>45939</v>
      </c>
      <c r="D176" t="inlineStr">
        <is>
          <t>VÄSTERNORRLANDS LÄN</t>
        </is>
      </c>
      <c r="E176" t="inlineStr">
        <is>
          <t>ÅNGE</t>
        </is>
      </c>
      <c r="F176" t="inlineStr">
        <is>
          <t>SCA</t>
        </is>
      </c>
      <c r="G176" t="n">
        <v>3.4</v>
      </c>
      <c r="H176" t="n">
        <v>0</v>
      </c>
      <c r="I176" t="n">
        <v>0</v>
      </c>
      <c r="J176" t="n">
        <v>1</v>
      </c>
      <c r="K176" t="n">
        <v>0</v>
      </c>
      <c r="L176" t="n">
        <v>0</v>
      </c>
      <c r="M176" t="n">
        <v>0</v>
      </c>
      <c r="N176" t="n">
        <v>0</v>
      </c>
      <c r="O176" t="n">
        <v>1</v>
      </c>
      <c r="P176" t="n">
        <v>0</v>
      </c>
      <c r="Q176" t="n">
        <v>1</v>
      </c>
      <c r="R176" s="2" t="inlineStr">
        <is>
          <t>Rosenticka</t>
        </is>
      </c>
      <c r="S176">
        <f>HYPERLINK("https://klasma.github.io/Logging_2260/artfynd/A 43171-2024 artfynd.xlsx", "A 43171-2024")</f>
        <v/>
      </c>
      <c r="T176">
        <f>HYPERLINK("https://klasma.github.io/Logging_2260/kartor/A 43171-2024 karta.png", "A 43171-2024")</f>
        <v/>
      </c>
      <c r="V176">
        <f>HYPERLINK("https://klasma.github.io/Logging_2260/klagomål/A 43171-2024 FSC-klagomål.docx", "A 43171-2024")</f>
        <v/>
      </c>
      <c r="W176">
        <f>HYPERLINK("https://klasma.github.io/Logging_2260/klagomålsmail/A 43171-2024 FSC-klagomål mail.docx", "A 43171-2024")</f>
        <v/>
      </c>
      <c r="X176">
        <f>HYPERLINK("https://klasma.github.io/Logging_2260/tillsyn/A 43171-2024 tillsynsbegäran.docx", "A 43171-2024")</f>
        <v/>
      </c>
      <c r="Y176">
        <f>HYPERLINK("https://klasma.github.io/Logging_2260/tillsynsmail/A 43171-2024 tillsynsbegäran mail.docx", "A 43171-2024")</f>
        <v/>
      </c>
    </row>
    <row r="177" ht="15" customHeight="1">
      <c r="A177" t="inlineStr">
        <is>
          <t>A 5558-2021</t>
        </is>
      </c>
      <c r="B177" s="1" t="n">
        <v>44230</v>
      </c>
      <c r="C177" s="1" t="n">
        <v>45939</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25705-2024</t>
        </is>
      </c>
      <c r="B178" s="1" t="n">
        <v>45463.9428587963</v>
      </c>
      <c r="C178" s="1" t="n">
        <v>45939</v>
      </c>
      <c r="D178" t="inlineStr">
        <is>
          <t>VÄSTERNORRLANDS LÄN</t>
        </is>
      </c>
      <c r="E178" t="inlineStr">
        <is>
          <t>ÅNGE</t>
        </is>
      </c>
      <c r="F178" t="inlineStr">
        <is>
          <t>SCA</t>
        </is>
      </c>
      <c r="G178" t="n">
        <v>10.6</v>
      </c>
      <c r="H178" t="n">
        <v>1</v>
      </c>
      <c r="I178" t="n">
        <v>1</v>
      </c>
      <c r="J178" t="n">
        <v>0</v>
      </c>
      <c r="K178" t="n">
        <v>0</v>
      </c>
      <c r="L178" t="n">
        <v>0</v>
      </c>
      <c r="M178" t="n">
        <v>0</v>
      </c>
      <c r="N178" t="n">
        <v>0</v>
      </c>
      <c r="O178" t="n">
        <v>0</v>
      </c>
      <c r="P178" t="n">
        <v>0</v>
      </c>
      <c r="Q178" t="n">
        <v>1</v>
      </c>
      <c r="R178" s="2" t="inlineStr">
        <is>
          <t>Korallrot</t>
        </is>
      </c>
      <c r="S178">
        <f>HYPERLINK("https://klasma.github.io/Logging_2260/artfynd/A 25705-2024 artfynd.xlsx", "A 25705-2024")</f>
        <v/>
      </c>
      <c r="T178">
        <f>HYPERLINK("https://klasma.github.io/Logging_2260/kartor/A 25705-2024 karta.png", "A 25705-2024")</f>
        <v/>
      </c>
      <c r="V178">
        <f>HYPERLINK("https://klasma.github.io/Logging_2260/klagomål/A 25705-2024 FSC-klagomål.docx", "A 25705-2024")</f>
        <v/>
      </c>
      <c r="W178">
        <f>HYPERLINK("https://klasma.github.io/Logging_2260/klagomålsmail/A 25705-2024 FSC-klagomål mail.docx", "A 25705-2024")</f>
        <v/>
      </c>
      <c r="X178">
        <f>HYPERLINK("https://klasma.github.io/Logging_2260/tillsyn/A 25705-2024 tillsynsbegäran.docx", "A 25705-2024")</f>
        <v/>
      </c>
      <c r="Y178">
        <f>HYPERLINK("https://klasma.github.io/Logging_2260/tillsynsmail/A 25705-2024 tillsynsbegäran mail.docx", "A 25705-2024")</f>
        <v/>
      </c>
    </row>
    <row r="179" ht="15" customHeight="1">
      <c r="A179" t="inlineStr">
        <is>
          <t>A 24799-2024</t>
        </is>
      </c>
      <c r="B179" s="1" t="n">
        <v>45460</v>
      </c>
      <c r="C179" s="1" t="n">
        <v>45939</v>
      </c>
      <c r="D179" t="inlineStr">
        <is>
          <t>VÄSTERNORRLANDS LÄN</t>
        </is>
      </c>
      <c r="E179" t="inlineStr">
        <is>
          <t>ÅNGE</t>
        </is>
      </c>
      <c r="F179" t="inlineStr">
        <is>
          <t>SCA</t>
        </is>
      </c>
      <c r="G179" t="n">
        <v>2.8</v>
      </c>
      <c r="H179" t="n">
        <v>1</v>
      </c>
      <c r="I179" t="n">
        <v>0</v>
      </c>
      <c r="J179" t="n">
        <v>0</v>
      </c>
      <c r="K179" t="n">
        <v>1</v>
      </c>
      <c r="L179" t="n">
        <v>0</v>
      </c>
      <c r="M179" t="n">
        <v>0</v>
      </c>
      <c r="N179" t="n">
        <v>0</v>
      </c>
      <c r="O179" t="n">
        <v>1</v>
      </c>
      <c r="P179" t="n">
        <v>1</v>
      </c>
      <c r="Q179" t="n">
        <v>1</v>
      </c>
      <c r="R179" s="2" t="inlineStr">
        <is>
          <t>Doftticka</t>
        </is>
      </c>
      <c r="S179">
        <f>HYPERLINK("https://klasma.github.io/Logging_2260/artfynd/A 24799-2024 artfynd.xlsx", "A 24799-2024")</f>
        <v/>
      </c>
      <c r="T179">
        <f>HYPERLINK("https://klasma.github.io/Logging_2260/kartor/A 24799-2024 karta.png", "A 24799-2024")</f>
        <v/>
      </c>
      <c r="V179">
        <f>HYPERLINK("https://klasma.github.io/Logging_2260/klagomål/A 24799-2024 FSC-klagomål.docx", "A 24799-2024")</f>
        <v/>
      </c>
      <c r="W179">
        <f>HYPERLINK("https://klasma.github.io/Logging_2260/klagomålsmail/A 24799-2024 FSC-klagomål mail.docx", "A 24799-2024")</f>
        <v/>
      </c>
      <c r="X179">
        <f>HYPERLINK("https://klasma.github.io/Logging_2260/tillsyn/A 24799-2024 tillsynsbegäran.docx", "A 24799-2024")</f>
        <v/>
      </c>
      <c r="Y179">
        <f>HYPERLINK("https://klasma.github.io/Logging_2260/tillsynsmail/A 24799-2024 tillsynsbegäran mail.docx", "A 24799-2024")</f>
        <v/>
      </c>
    </row>
    <row r="180" ht="15" customHeight="1">
      <c r="A180" t="inlineStr">
        <is>
          <t>A 37432-2025</t>
        </is>
      </c>
      <c r="B180" s="1" t="n">
        <v>45877.51106481482</v>
      </c>
      <c r="C180" s="1" t="n">
        <v>45939</v>
      </c>
      <c r="D180" t="inlineStr">
        <is>
          <t>VÄSTERNORRLANDS LÄN</t>
        </is>
      </c>
      <c r="E180" t="inlineStr">
        <is>
          <t>ÅNGE</t>
        </is>
      </c>
      <c r="F180" t="inlineStr">
        <is>
          <t>SCA</t>
        </is>
      </c>
      <c r="G180" t="n">
        <v>1.2</v>
      </c>
      <c r="H180" t="n">
        <v>1</v>
      </c>
      <c r="I180" t="n">
        <v>1</v>
      </c>
      <c r="J180" t="n">
        <v>0</v>
      </c>
      <c r="K180" t="n">
        <v>0</v>
      </c>
      <c r="L180" t="n">
        <v>0</v>
      </c>
      <c r="M180" t="n">
        <v>0</v>
      </c>
      <c r="N180" t="n">
        <v>0</v>
      </c>
      <c r="O180" t="n">
        <v>0</v>
      </c>
      <c r="P180" t="n">
        <v>0</v>
      </c>
      <c r="Q180" t="n">
        <v>1</v>
      </c>
      <c r="R180" s="2" t="inlineStr">
        <is>
          <t>Spindelblomster</t>
        </is>
      </c>
      <c r="S180">
        <f>HYPERLINK("https://klasma.github.io/Logging_2260/artfynd/A 37432-2025 artfynd.xlsx", "A 37432-2025")</f>
        <v/>
      </c>
      <c r="T180">
        <f>HYPERLINK("https://klasma.github.io/Logging_2260/kartor/A 37432-2025 karta.png", "A 37432-2025")</f>
        <v/>
      </c>
      <c r="V180">
        <f>HYPERLINK("https://klasma.github.io/Logging_2260/klagomål/A 37432-2025 FSC-klagomål.docx", "A 37432-2025")</f>
        <v/>
      </c>
      <c r="W180">
        <f>HYPERLINK("https://klasma.github.io/Logging_2260/klagomålsmail/A 37432-2025 FSC-klagomål mail.docx", "A 37432-2025")</f>
        <v/>
      </c>
      <c r="X180">
        <f>HYPERLINK("https://klasma.github.io/Logging_2260/tillsyn/A 37432-2025 tillsynsbegäran.docx", "A 37432-2025")</f>
        <v/>
      </c>
      <c r="Y180">
        <f>HYPERLINK("https://klasma.github.io/Logging_2260/tillsynsmail/A 37432-2025 tillsynsbegäran mail.docx", "A 37432-2025")</f>
        <v/>
      </c>
    </row>
    <row r="181" ht="15" customHeight="1">
      <c r="A181" t="inlineStr">
        <is>
          <t>A 13934-2024</t>
        </is>
      </c>
      <c r="B181" s="1" t="n">
        <v>45391</v>
      </c>
      <c r="C181" s="1" t="n">
        <v>45939</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63983-2020</t>
        </is>
      </c>
      <c r="B182" s="1" t="n">
        <v>44167</v>
      </c>
      <c r="C182" s="1" t="n">
        <v>45939</v>
      </c>
      <c r="D182" t="inlineStr">
        <is>
          <t>VÄSTERNORRLANDS LÄN</t>
        </is>
      </c>
      <c r="E182" t="inlineStr">
        <is>
          <t>ÅNGE</t>
        </is>
      </c>
      <c r="F182" t="inlineStr">
        <is>
          <t>Kommuner</t>
        </is>
      </c>
      <c r="G182" t="n">
        <v>27.1</v>
      </c>
      <c r="H182" t="n">
        <v>1</v>
      </c>
      <c r="I182" t="n">
        <v>0</v>
      </c>
      <c r="J182" t="n">
        <v>0</v>
      </c>
      <c r="K182" t="n">
        <v>1</v>
      </c>
      <c r="L182" t="n">
        <v>0</v>
      </c>
      <c r="M182" t="n">
        <v>0</v>
      </c>
      <c r="N182" t="n">
        <v>0</v>
      </c>
      <c r="O182" t="n">
        <v>1</v>
      </c>
      <c r="P182" t="n">
        <v>1</v>
      </c>
      <c r="Q182" t="n">
        <v>1</v>
      </c>
      <c r="R182" s="2" t="inlineStr">
        <is>
          <t>Knärot</t>
        </is>
      </c>
      <c r="S182">
        <f>HYPERLINK("https://klasma.github.io/Logging_2260/artfynd/A 63983-2020 artfynd.xlsx", "A 63983-2020")</f>
        <v/>
      </c>
      <c r="T182">
        <f>HYPERLINK("https://klasma.github.io/Logging_2260/kartor/A 63983-2020 karta.png", "A 63983-2020")</f>
        <v/>
      </c>
      <c r="U182">
        <f>HYPERLINK("https://klasma.github.io/Logging_2260/knärot/A 63983-2020 karta knärot.png", "A 63983-2020")</f>
        <v/>
      </c>
      <c r="V182">
        <f>HYPERLINK("https://klasma.github.io/Logging_2260/klagomål/A 63983-2020 FSC-klagomål.docx", "A 63983-2020")</f>
        <v/>
      </c>
      <c r="W182">
        <f>HYPERLINK("https://klasma.github.io/Logging_2260/klagomålsmail/A 63983-2020 FSC-klagomål mail.docx", "A 63983-2020")</f>
        <v/>
      </c>
      <c r="X182">
        <f>HYPERLINK("https://klasma.github.io/Logging_2260/tillsyn/A 63983-2020 tillsynsbegäran.docx", "A 63983-2020")</f>
        <v/>
      </c>
      <c r="Y182">
        <f>HYPERLINK("https://klasma.github.io/Logging_2260/tillsynsmail/A 63983-2020 tillsynsbegäran mail.docx", "A 63983-2020")</f>
        <v/>
      </c>
    </row>
    <row r="183" ht="15" customHeight="1">
      <c r="A183" t="inlineStr">
        <is>
          <t>A 57272-2024</t>
        </is>
      </c>
      <c r="B183" s="1" t="n">
        <v>45629.57380787037</v>
      </c>
      <c r="C183" s="1" t="n">
        <v>45939</v>
      </c>
      <c r="D183" t="inlineStr">
        <is>
          <t>VÄSTERNORRLANDS LÄN</t>
        </is>
      </c>
      <c r="E183" t="inlineStr">
        <is>
          <t>ÅNGE</t>
        </is>
      </c>
      <c r="F183" t="inlineStr">
        <is>
          <t>SCA</t>
        </is>
      </c>
      <c r="G183" t="n">
        <v>5.4</v>
      </c>
      <c r="H183" t="n">
        <v>0</v>
      </c>
      <c r="I183" t="n">
        <v>0</v>
      </c>
      <c r="J183" t="n">
        <v>1</v>
      </c>
      <c r="K183" t="n">
        <v>0</v>
      </c>
      <c r="L183" t="n">
        <v>0</v>
      </c>
      <c r="M183" t="n">
        <v>0</v>
      </c>
      <c r="N183" t="n">
        <v>0</v>
      </c>
      <c r="O183" t="n">
        <v>1</v>
      </c>
      <c r="P183" t="n">
        <v>0</v>
      </c>
      <c r="Q183" t="n">
        <v>1</v>
      </c>
      <c r="R183" s="2" t="inlineStr">
        <is>
          <t>Orange taggsvamp</t>
        </is>
      </c>
      <c r="S183">
        <f>HYPERLINK("https://klasma.github.io/Logging_2260/artfynd/A 57272-2024 artfynd.xlsx", "A 57272-2024")</f>
        <v/>
      </c>
      <c r="T183">
        <f>HYPERLINK("https://klasma.github.io/Logging_2260/kartor/A 57272-2024 karta.png", "A 57272-2024")</f>
        <v/>
      </c>
      <c r="V183">
        <f>HYPERLINK("https://klasma.github.io/Logging_2260/klagomål/A 57272-2024 FSC-klagomål.docx", "A 57272-2024")</f>
        <v/>
      </c>
      <c r="W183">
        <f>HYPERLINK("https://klasma.github.io/Logging_2260/klagomålsmail/A 57272-2024 FSC-klagomål mail.docx", "A 57272-2024")</f>
        <v/>
      </c>
      <c r="X183">
        <f>HYPERLINK("https://klasma.github.io/Logging_2260/tillsyn/A 57272-2024 tillsynsbegäran.docx", "A 57272-2024")</f>
        <v/>
      </c>
      <c r="Y183">
        <f>HYPERLINK("https://klasma.github.io/Logging_2260/tillsynsmail/A 57272-2024 tillsynsbegäran mail.docx", "A 57272-2024")</f>
        <v/>
      </c>
    </row>
    <row r="184" ht="15" customHeight="1">
      <c r="A184" t="inlineStr">
        <is>
          <t>A 52424-2023</t>
        </is>
      </c>
      <c r="B184" s="1" t="n">
        <v>45217</v>
      </c>
      <c r="C184" s="1" t="n">
        <v>45939</v>
      </c>
      <c r="D184" t="inlineStr">
        <is>
          <t>VÄSTERNORRLANDS LÄN</t>
        </is>
      </c>
      <c r="E184" t="inlineStr">
        <is>
          <t>ÅNGE</t>
        </is>
      </c>
      <c r="F184" t="inlineStr">
        <is>
          <t>SCA</t>
        </is>
      </c>
      <c r="G184" t="n">
        <v>3.8</v>
      </c>
      <c r="H184" t="n">
        <v>1</v>
      </c>
      <c r="I184" t="n">
        <v>0</v>
      </c>
      <c r="J184" t="n">
        <v>0</v>
      </c>
      <c r="K184" t="n">
        <v>0</v>
      </c>
      <c r="L184" t="n">
        <v>0</v>
      </c>
      <c r="M184" t="n">
        <v>0</v>
      </c>
      <c r="N184" t="n">
        <v>0</v>
      </c>
      <c r="O184" t="n">
        <v>0</v>
      </c>
      <c r="P184" t="n">
        <v>0</v>
      </c>
      <c r="Q184" t="n">
        <v>1</v>
      </c>
      <c r="R184" s="2" t="inlineStr">
        <is>
          <t>Revlummer</t>
        </is>
      </c>
      <c r="S184">
        <f>HYPERLINK("https://klasma.github.io/Logging_2260/artfynd/A 52424-2023 artfynd.xlsx", "A 52424-2023")</f>
        <v/>
      </c>
      <c r="T184">
        <f>HYPERLINK("https://klasma.github.io/Logging_2260/kartor/A 52424-2023 karta.png", "A 52424-2023")</f>
        <v/>
      </c>
      <c r="V184">
        <f>HYPERLINK("https://klasma.github.io/Logging_2260/klagomål/A 52424-2023 FSC-klagomål.docx", "A 52424-2023")</f>
        <v/>
      </c>
      <c r="W184">
        <f>HYPERLINK("https://klasma.github.io/Logging_2260/klagomålsmail/A 52424-2023 FSC-klagomål mail.docx", "A 52424-2023")</f>
        <v/>
      </c>
      <c r="X184">
        <f>HYPERLINK("https://klasma.github.io/Logging_2260/tillsyn/A 52424-2023 tillsynsbegäran.docx", "A 52424-2023")</f>
        <v/>
      </c>
      <c r="Y184">
        <f>HYPERLINK("https://klasma.github.io/Logging_2260/tillsynsmail/A 52424-2023 tillsynsbegäran mail.docx", "A 52424-2023")</f>
        <v/>
      </c>
    </row>
    <row r="185" ht="15" customHeight="1">
      <c r="A185" t="inlineStr">
        <is>
          <t>A 39638-2024</t>
        </is>
      </c>
      <c r="B185" s="1" t="n">
        <v>45552</v>
      </c>
      <c r="C185" s="1" t="n">
        <v>45939</v>
      </c>
      <c r="D185" t="inlineStr">
        <is>
          <t>VÄSTERNORRLANDS LÄN</t>
        </is>
      </c>
      <c r="E185" t="inlineStr">
        <is>
          <t>ÅNGE</t>
        </is>
      </c>
      <c r="G185" t="n">
        <v>3</v>
      </c>
      <c r="H185" t="n">
        <v>1</v>
      </c>
      <c r="I185" t="n">
        <v>0</v>
      </c>
      <c r="J185" t="n">
        <v>0</v>
      </c>
      <c r="K185" t="n">
        <v>0</v>
      </c>
      <c r="L185" t="n">
        <v>0</v>
      </c>
      <c r="M185" t="n">
        <v>0</v>
      </c>
      <c r="N185" t="n">
        <v>0</v>
      </c>
      <c r="O185" t="n">
        <v>0</v>
      </c>
      <c r="P185" t="n">
        <v>0</v>
      </c>
      <c r="Q185" t="n">
        <v>1</v>
      </c>
      <c r="R185" s="2" t="inlineStr">
        <is>
          <t>Tjäder</t>
        </is>
      </c>
      <c r="S185">
        <f>HYPERLINK("https://klasma.github.io/Logging_2260/artfynd/A 39638-2024 artfynd.xlsx", "A 39638-2024")</f>
        <v/>
      </c>
      <c r="T185">
        <f>HYPERLINK("https://klasma.github.io/Logging_2260/kartor/A 39638-2024 karta.png", "A 39638-2024")</f>
        <v/>
      </c>
      <c r="V185">
        <f>HYPERLINK("https://klasma.github.io/Logging_2260/klagomål/A 39638-2024 FSC-klagomål.docx", "A 39638-2024")</f>
        <v/>
      </c>
      <c r="W185">
        <f>HYPERLINK("https://klasma.github.io/Logging_2260/klagomålsmail/A 39638-2024 FSC-klagomål mail.docx", "A 39638-2024")</f>
        <v/>
      </c>
      <c r="X185">
        <f>HYPERLINK("https://klasma.github.io/Logging_2260/tillsyn/A 39638-2024 tillsynsbegäran.docx", "A 39638-2024")</f>
        <v/>
      </c>
      <c r="Y185">
        <f>HYPERLINK("https://klasma.github.io/Logging_2260/tillsynsmail/A 39638-2024 tillsynsbegäran mail.docx", "A 39638-2024")</f>
        <v/>
      </c>
      <c r="Z185">
        <f>HYPERLINK("https://klasma.github.io/Logging_2260/fåglar/A 39638-2024 prioriterade fågelarter.docx", "A 39638-2024")</f>
        <v/>
      </c>
    </row>
    <row r="186" ht="15" customHeight="1">
      <c r="A186" t="inlineStr">
        <is>
          <t>A 1449-2025</t>
        </is>
      </c>
      <c r="B186" s="1" t="n">
        <v>45670.27537037037</v>
      </c>
      <c r="C186" s="1" t="n">
        <v>45939</v>
      </c>
      <c r="D186" t="inlineStr">
        <is>
          <t>VÄSTERNORRLANDS LÄN</t>
        </is>
      </c>
      <c r="E186" t="inlineStr">
        <is>
          <t>ÅNGE</t>
        </is>
      </c>
      <c r="G186" t="n">
        <v>6.3</v>
      </c>
      <c r="H186" t="n">
        <v>0</v>
      </c>
      <c r="I186" t="n">
        <v>1</v>
      </c>
      <c r="J186" t="n">
        <v>0</v>
      </c>
      <c r="K186" t="n">
        <v>0</v>
      </c>
      <c r="L186" t="n">
        <v>0</v>
      </c>
      <c r="M186" t="n">
        <v>0</v>
      </c>
      <c r="N186" t="n">
        <v>0</v>
      </c>
      <c r="O186" t="n">
        <v>0</v>
      </c>
      <c r="P186" t="n">
        <v>0</v>
      </c>
      <c r="Q186" t="n">
        <v>1</v>
      </c>
      <c r="R186" s="2" t="inlineStr">
        <is>
          <t>Korallblylav</t>
        </is>
      </c>
      <c r="S186">
        <f>HYPERLINK("https://klasma.github.io/Logging_2260/artfynd/A 1449-2025 artfynd.xlsx", "A 1449-2025")</f>
        <v/>
      </c>
      <c r="T186">
        <f>HYPERLINK("https://klasma.github.io/Logging_2260/kartor/A 1449-2025 karta.png", "A 1449-2025")</f>
        <v/>
      </c>
      <c r="V186">
        <f>HYPERLINK("https://klasma.github.io/Logging_2260/klagomål/A 1449-2025 FSC-klagomål.docx", "A 1449-2025")</f>
        <v/>
      </c>
      <c r="W186">
        <f>HYPERLINK("https://klasma.github.io/Logging_2260/klagomålsmail/A 1449-2025 FSC-klagomål mail.docx", "A 1449-2025")</f>
        <v/>
      </c>
      <c r="X186">
        <f>HYPERLINK("https://klasma.github.io/Logging_2260/tillsyn/A 1449-2025 tillsynsbegäran.docx", "A 1449-2025")</f>
        <v/>
      </c>
      <c r="Y186">
        <f>HYPERLINK("https://klasma.github.io/Logging_2260/tillsynsmail/A 1449-2025 tillsynsbegäran mail.docx", "A 1449-2025")</f>
        <v/>
      </c>
    </row>
    <row r="187" ht="15" customHeight="1">
      <c r="A187" t="inlineStr">
        <is>
          <t>A 54751-2021</t>
        </is>
      </c>
      <c r="B187" s="1" t="n">
        <v>44473</v>
      </c>
      <c r="C187" s="1" t="n">
        <v>45939</v>
      </c>
      <c r="D187" t="inlineStr">
        <is>
          <t>VÄSTERNORRLANDS LÄN</t>
        </is>
      </c>
      <c r="E187" t="inlineStr">
        <is>
          <t>ÅNGE</t>
        </is>
      </c>
      <c r="G187" t="n">
        <v>6.5</v>
      </c>
      <c r="H187" t="n">
        <v>0</v>
      </c>
      <c r="I187" t="n">
        <v>0</v>
      </c>
      <c r="J187" t="n">
        <v>0</v>
      </c>
      <c r="K187" t="n">
        <v>1</v>
      </c>
      <c r="L187" t="n">
        <v>0</v>
      </c>
      <c r="M187" t="n">
        <v>0</v>
      </c>
      <c r="N187" t="n">
        <v>0</v>
      </c>
      <c r="O187" t="n">
        <v>1</v>
      </c>
      <c r="P187" t="n">
        <v>1</v>
      </c>
      <c r="Q187" t="n">
        <v>1</v>
      </c>
      <c r="R187" s="2" t="inlineStr">
        <is>
          <t>Gräddporing</t>
        </is>
      </c>
      <c r="S187">
        <f>HYPERLINK("https://klasma.github.io/Logging_2260/artfynd/A 54751-2021 artfynd.xlsx", "A 54751-2021")</f>
        <v/>
      </c>
      <c r="T187">
        <f>HYPERLINK("https://klasma.github.io/Logging_2260/kartor/A 54751-2021 karta.png", "A 54751-2021")</f>
        <v/>
      </c>
      <c r="V187">
        <f>HYPERLINK("https://klasma.github.io/Logging_2260/klagomål/A 54751-2021 FSC-klagomål.docx", "A 54751-2021")</f>
        <v/>
      </c>
      <c r="W187">
        <f>HYPERLINK("https://klasma.github.io/Logging_2260/klagomålsmail/A 54751-2021 FSC-klagomål mail.docx", "A 54751-2021")</f>
        <v/>
      </c>
      <c r="X187">
        <f>HYPERLINK("https://klasma.github.io/Logging_2260/tillsyn/A 54751-2021 tillsynsbegäran.docx", "A 54751-2021")</f>
        <v/>
      </c>
      <c r="Y187">
        <f>HYPERLINK("https://klasma.github.io/Logging_2260/tillsynsmail/A 54751-2021 tillsynsbegäran mail.docx", "A 54751-2021")</f>
        <v/>
      </c>
    </row>
    <row r="188" ht="15" customHeight="1">
      <c r="A188" t="inlineStr">
        <is>
          <t>A 40214-2024</t>
        </is>
      </c>
      <c r="B188" s="1" t="n">
        <v>45554.59460648148</v>
      </c>
      <c r="C188" s="1" t="n">
        <v>45939</v>
      </c>
      <c r="D188" t="inlineStr">
        <is>
          <t>VÄSTERNORRLANDS LÄN</t>
        </is>
      </c>
      <c r="E188" t="inlineStr">
        <is>
          <t>ÅNGE</t>
        </is>
      </c>
      <c r="F188" t="inlineStr">
        <is>
          <t>SCA</t>
        </is>
      </c>
      <c r="G188" t="n">
        <v>7.7</v>
      </c>
      <c r="H188" t="n">
        <v>0</v>
      </c>
      <c r="I188" t="n">
        <v>0</v>
      </c>
      <c r="J188" t="n">
        <v>1</v>
      </c>
      <c r="K188" t="n">
        <v>0</v>
      </c>
      <c r="L188" t="n">
        <v>0</v>
      </c>
      <c r="M188" t="n">
        <v>0</v>
      </c>
      <c r="N188" t="n">
        <v>0</v>
      </c>
      <c r="O188" t="n">
        <v>1</v>
      </c>
      <c r="P188" t="n">
        <v>0</v>
      </c>
      <c r="Q188" t="n">
        <v>1</v>
      </c>
      <c r="R188" s="2" t="inlineStr">
        <is>
          <t>Lunglav</t>
        </is>
      </c>
      <c r="S188">
        <f>HYPERLINK("https://klasma.github.io/Logging_2260/artfynd/A 40214-2024 artfynd.xlsx", "A 40214-2024")</f>
        <v/>
      </c>
      <c r="T188">
        <f>HYPERLINK("https://klasma.github.io/Logging_2260/kartor/A 40214-2024 karta.png", "A 40214-2024")</f>
        <v/>
      </c>
      <c r="V188">
        <f>HYPERLINK("https://klasma.github.io/Logging_2260/klagomål/A 40214-2024 FSC-klagomål.docx", "A 40214-2024")</f>
        <v/>
      </c>
      <c r="W188">
        <f>HYPERLINK("https://klasma.github.io/Logging_2260/klagomålsmail/A 40214-2024 FSC-klagomål mail.docx", "A 40214-2024")</f>
        <v/>
      </c>
      <c r="X188">
        <f>HYPERLINK("https://klasma.github.io/Logging_2260/tillsyn/A 40214-2024 tillsynsbegäran.docx", "A 40214-2024")</f>
        <v/>
      </c>
      <c r="Y188">
        <f>HYPERLINK("https://klasma.github.io/Logging_2260/tillsynsmail/A 40214-2024 tillsynsbegäran mail.docx", "A 40214-2024")</f>
        <v/>
      </c>
    </row>
    <row r="189" ht="15" customHeight="1">
      <c r="A189" t="inlineStr">
        <is>
          <t>A 31544-2024</t>
        </is>
      </c>
      <c r="B189" s="1" t="n">
        <v>45505</v>
      </c>
      <c r="C189" s="1" t="n">
        <v>45939</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39180-2024</t>
        </is>
      </c>
      <c r="B190" s="1" t="n">
        <v>45548.6571412037</v>
      </c>
      <c r="C190" s="1" t="n">
        <v>45939</v>
      </c>
      <c r="D190" t="inlineStr">
        <is>
          <t>VÄSTERNORRLANDS LÄN</t>
        </is>
      </c>
      <c r="E190" t="inlineStr">
        <is>
          <t>ÅNGE</t>
        </is>
      </c>
      <c r="F190" t="inlineStr">
        <is>
          <t>SCA</t>
        </is>
      </c>
      <c r="G190" t="n">
        <v>8.699999999999999</v>
      </c>
      <c r="H190" t="n">
        <v>0</v>
      </c>
      <c r="I190" t="n">
        <v>0</v>
      </c>
      <c r="J190" t="n">
        <v>1</v>
      </c>
      <c r="K190" t="n">
        <v>0</v>
      </c>
      <c r="L190" t="n">
        <v>0</v>
      </c>
      <c r="M190" t="n">
        <v>0</v>
      </c>
      <c r="N190" t="n">
        <v>0</v>
      </c>
      <c r="O190" t="n">
        <v>1</v>
      </c>
      <c r="P190" t="n">
        <v>0</v>
      </c>
      <c r="Q190" t="n">
        <v>1</v>
      </c>
      <c r="R190" s="2" t="inlineStr">
        <is>
          <t>Lunglav</t>
        </is>
      </c>
      <c r="S190">
        <f>HYPERLINK("https://klasma.github.io/Logging_2260/artfynd/A 39180-2024 artfynd.xlsx", "A 39180-2024")</f>
        <v/>
      </c>
      <c r="T190">
        <f>HYPERLINK("https://klasma.github.io/Logging_2260/kartor/A 39180-2024 karta.png", "A 39180-2024")</f>
        <v/>
      </c>
      <c r="V190">
        <f>HYPERLINK("https://klasma.github.io/Logging_2260/klagomål/A 39180-2024 FSC-klagomål.docx", "A 39180-2024")</f>
        <v/>
      </c>
      <c r="W190">
        <f>HYPERLINK("https://klasma.github.io/Logging_2260/klagomålsmail/A 39180-2024 FSC-klagomål mail.docx", "A 39180-2024")</f>
        <v/>
      </c>
      <c r="X190">
        <f>HYPERLINK("https://klasma.github.io/Logging_2260/tillsyn/A 39180-2024 tillsynsbegäran.docx", "A 39180-2024")</f>
        <v/>
      </c>
      <c r="Y190">
        <f>HYPERLINK("https://klasma.github.io/Logging_2260/tillsynsmail/A 39180-2024 tillsynsbegäran mail.docx", "A 39180-2024")</f>
        <v/>
      </c>
    </row>
    <row r="191" ht="15" customHeight="1">
      <c r="A191" t="inlineStr">
        <is>
          <t>A 5-2025</t>
        </is>
      </c>
      <c r="B191" s="1" t="n">
        <v>45658.50527777777</v>
      </c>
      <c r="C191" s="1" t="n">
        <v>45939</v>
      </c>
      <c r="D191" t="inlineStr">
        <is>
          <t>VÄSTERNORRLANDS LÄN</t>
        </is>
      </c>
      <c r="E191" t="inlineStr">
        <is>
          <t>ÅNGE</t>
        </is>
      </c>
      <c r="G191" t="n">
        <v>5.7</v>
      </c>
      <c r="H191" t="n">
        <v>1</v>
      </c>
      <c r="I191" t="n">
        <v>0</v>
      </c>
      <c r="J191" t="n">
        <v>0</v>
      </c>
      <c r="K191" t="n">
        <v>0</v>
      </c>
      <c r="L191" t="n">
        <v>0</v>
      </c>
      <c r="M191" t="n">
        <v>0</v>
      </c>
      <c r="N191" t="n">
        <v>0</v>
      </c>
      <c r="O191" t="n">
        <v>0</v>
      </c>
      <c r="P191" t="n">
        <v>0</v>
      </c>
      <c r="Q191" t="n">
        <v>1</v>
      </c>
      <c r="R191" s="2" t="inlineStr">
        <is>
          <t>Vanlig groda</t>
        </is>
      </c>
      <c r="S191">
        <f>HYPERLINK("https://klasma.github.io/Logging_2260/artfynd/A 5-2025 artfynd.xlsx", "A 5-2025")</f>
        <v/>
      </c>
      <c r="T191">
        <f>HYPERLINK("https://klasma.github.io/Logging_2260/kartor/A 5-2025 karta.png", "A 5-2025")</f>
        <v/>
      </c>
      <c r="V191">
        <f>HYPERLINK("https://klasma.github.io/Logging_2260/klagomål/A 5-2025 FSC-klagomål.docx", "A 5-2025")</f>
        <v/>
      </c>
      <c r="W191">
        <f>HYPERLINK("https://klasma.github.io/Logging_2260/klagomålsmail/A 5-2025 FSC-klagomål mail.docx", "A 5-2025")</f>
        <v/>
      </c>
      <c r="X191">
        <f>HYPERLINK("https://klasma.github.io/Logging_2260/tillsyn/A 5-2025 tillsynsbegäran.docx", "A 5-2025")</f>
        <v/>
      </c>
      <c r="Y191">
        <f>HYPERLINK("https://klasma.github.io/Logging_2260/tillsynsmail/A 5-2025 tillsynsbegäran mail.docx", "A 5-2025")</f>
        <v/>
      </c>
    </row>
    <row r="192" ht="15" customHeight="1">
      <c r="A192" t="inlineStr">
        <is>
          <t>A 39933-2022</t>
        </is>
      </c>
      <c r="B192" s="1" t="n">
        <v>44819</v>
      </c>
      <c r="C192" s="1" t="n">
        <v>45939</v>
      </c>
      <c r="D192" t="inlineStr">
        <is>
          <t>VÄSTERNORRLANDS LÄN</t>
        </is>
      </c>
      <c r="E192" t="inlineStr">
        <is>
          <t>ÅNGE</t>
        </is>
      </c>
      <c r="F192" t="inlineStr">
        <is>
          <t>SCA</t>
        </is>
      </c>
      <c r="G192" t="n">
        <v>13.8</v>
      </c>
      <c r="H192" t="n">
        <v>1</v>
      </c>
      <c r="I192" t="n">
        <v>0</v>
      </c>
      <c r="J192" t="n">
        <v>0</v>
      </c>
      <c r="K192" t="n">
        <v>1</v>
      </c>
      <c r="L192" t="n">
        <v>0</v>
      </c>
      <c r="M192" t="n">
        <v>0</v>
      </c>
      <c r="N192" t="n">
        <v>0</v>
      </c>
      <c r="O192" t="n">
        <v>1</v>
      </c>
      <c r="P192" t="n">
        <v>1</v>
      </c>
      <c r="Q192" t="n">
        <v>1</v>
      </c>
      <c r="R192" s="2" t="inlineStr">
        <is>
          <t>Knärot</t>
        </is>
      </c>
      <c r="S192">
        <f>HYPERLINK("https://klasma.github.io/Logging_2260/artfynd/A 39933-2022 artfynd.xlsx", "A 39933-2022")</f>
        <v/>
      </c>
      <c r="T192">
        <f>HYPERLINK("https://klasma.github.io/Logging_2260/kartor/A 39933-2022 karta.png", "A 39933-2022")</f>
        <v/>
      </c>
      <c r="U192">
        <f>HYPERLINK("https://klasma.github.io/Logging_2260/knärot/A 39933-2022 karta knärot.png", "A 39933-2022")</f>
        <v/>
      </c>
      <c r="V192">
        <f>HYPERLINK("https://klasma.github.io/Logging_2260/klagomål/A 39933-2022 FSC-klagomål.docx", "A 39933-2022")</f>
        <v/>
      </c>
      <c r="W192">
        <f>HYPERLINK("https://klasma.github.io/Logging_2260/klagomålsmail/A 39933-2022 FSC-klagomål mail.docx", "A 39933-2022")</f>
        <v/>
      </c>
      <c r="X192">
        <f>HYPERLINK("https://klasma.github.io/Logging_2260/tillsyn/A 39933-2022 tillsynsbegäran.docx", "A 39933-2022")</f>
        <v/>
      </c>
      <c r="Y192">
        <f>HYPERLINK("https://klasma.github.io/Logging_2260/tillsynsmail/A 39933-2022 tillsynsbegäran mail.docx", "A 39933-2022")</f>
        <v/>
      </c>
    </row>
    <row r="193" ht="15" customHeight="1">
      <c r="A193" t="inlineStr">
        <is>
          <t>A 29327-2023</t>
        </is>
      </c>
      <c r="B193" s="1" t="n">
        <v>45105.94349537037</v>
      </c>
      <c r="C193" s="1" t="n">
        <v>45939</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37914-2024</t>
        </is>
      </c>
      <c r="B194" s="1" t="n">
        <v>45544</v>
      </c>
      <c r="C194" s="1" t="n">
        <v>45939</v>
      </c>
      <c r="D194" t="inlineStr">
        <is>
          <t>VÄSTERNORRLANDS LÄN</t>
        </is>
      </c>
      <c r="E194" t="inlineStr">
        <is>
          <t>ÅNGE</t>
        </is>
      </c>
      <c r="F194" t="inlineStr">
        <is>
          <t>SCA</t>
        </is>
      </c>
      <c r="G194" t="n">
        <v>9</v>
      </c>
      <c r="H194" t="n">
        <v>0</v>
      </c>
      <c r="I194" t="n">
        <v>0</v>
      </c>
      <c r="J194" t="n">
        <v>1</v>
      </c>
      <c r="K194" t="n">
        <v>0</v>
      </c>
      <c r="L194" t="n">
        <v>0</v>
      </c>
      <c r="M194" t="n">
        <v>0</v>
      </c>
      <c r="N194" t="n">
        <v>0</v>
      </c>
      <c r="O194" t="n">
        <v>1</v>
      </c>
      <c r="P194" t="n">
        <v>0</v>
      </c>
      <c r="Q194" t="n">
        <v>1</v>
      </c>
      <c r="R194" s="2" t="inlineStr">
        <is>
          <t>Granticka</t>
        </is>
      </c>
      <c r="S194">
        <f>HYPERLINK("https://klasma.github.io/Logging_2260/artfynd/A 37914-2024 artfynd.xlsx", "A 37914-2024")</f>
        <v/>
      </c>
      <c r="T194">
        <f>HYPERLINK("https://klasma.github.io/Logging_2260/kartor/A 37914-2024 karta.png", "A 37914-2024")</f>
        <v/>
      </c>
      <c r="V194">
        <f>HYPERLINK("https://klasma.github.io/Logging_2260/klagomål/A 37914-2024 FSC-klagomål.docx", "A 37914-2024")</f>
        <v/>
      </c>
      <c r="W194">
        <f>HYPERLINK("https://klasma.github.io/Logging_2260/klagomålsmail/A 37914-2024 FSC-klagomål mail.docx", "A 37914-2024")</f>
        <v/>
      </c>
      <c r="X194">
        <f>HYPERLINK("https://klasma.github.io/Logging_2260/tillsyn/A 37914-2024 tillsynsbegäran.docx", "A 37914-2024")</f>
        <v/>
      </c>
      <c r="Y194">
        <f>HYPERLINK("https://klasma.github.io/Logging_2260/tillsynsmail/A 37914-2024 tillsynsbegäran mail.docx", "A 37914-2024")</f>
        <v/>
      </c>
    </row>
    <row r="195" ht="15" customHeight="1">
      <c r="A195" t="inlineStr">
        <is>
          <t>A 32457-2024</t>
        </is>
      </c>
      <c r="B195" s="1" t="n">
        <v>45512</v>
      </c>
      <c r="C195" s="1" t="n">
        <v>45939</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45939</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47857-2025</t>
        </is>
      </c>
      <c r="B197" s="1" t="n">
        <v>45932.4068287037</v>
      </c>
      <c r="C197" s="1" t="n">
        <v>45939</v>
      </c>
      <c r="D197" t="inlineStr">
        <is>
          <t>VÄSTERNORRLANDS LÄN</t>
        </is>
      </c>
      <c r="E197" t="inlineStr">
        <is>
          <t>ÅNGE</t>
        </is>
      </c>
      <c r="G197" t="n">
        <v>2.5</v>
      </c>
      <c r="H197" t="n">
        <v>1</v>
      </c>
      <c r="I197" t="n">
        <v>0</v>
      </c>
      <c r="J197" t="n">
        <v>1</v>
      </c>
      <c r="K197" t="n">
        <v>0</v>
      </c>
      <c r="L197" t="n">
        <v>0</v>
      </c>
      <c r="M197" t="n">
        <v>0</v>
      </c>
      <c r="N197" t="n">
        <v>0</v>
      </c>
      <c r="O197" t="n">
        <v>1</v>
      </c>
      <c r="P197" t="n">
        <v>0</v>
      </c>
      <c r="Q197" t="n">
        <v>1</v>
      </c>
      <c r="R197" s="2" t="inlineStr">
        <is>
          <t>Kungsörn</t>
        </is>
      </c>
      <c r="S197">
        <f>HYPERLINK("https://klasma.github.io/Logging_2260/artfynd/A 47857-2025 artfynd.xlsx", "A 47857-2025")</f>
        <v/>
      </c>
      <c r="T197">
        <f>HYPERLINK("https://klasma.github.io/Logging_2260/kartor/A 47857-2025 karta.png", "A 47857-2025")</f>
        <v/>
      </c>
      <c r="V197">
        <f>HYPERLINK("https://klasma.github.io/Logging_2260/klagomål/A 47857-2025 FSC-klagomål.docx", "A 47857-2025")</f>
        <v/>
      </c>
      <c r="W197">
        <f>HYPERLINK("https://klasma.github.io/Logging_2260/klagomålsmail/A 47857-2025 FSC-klagomål mail.docx", "A 47857-2025")</f>
        <v/>
      </c>
      <c r="X197">
        <f>HYPERLINK("https://klasma.github.io/Logging_2260/tillsyn/A 47857-2025 tillsynsbegäran.docx", "A 47857-2025")</f>
        <v/>
      </c>
      <c r="Y197">
        <f>HYPERLINK("https://klasma.github.io/Logging_2260/tillsynsmail/A 47857-2025 tillsynsbegäran mail.docx", "A 47857-2025")</f>
        <v/>
      </c>
      <c r="Z197">
        <f>HYPERLINK("https://klasma.github.io/Logging_2260/fåglar/A 47857-2025 prioriterade fågelarter.docx", "A 47857-2025")</f>
        <v/>
      </c>
    </row>
    <row r="198" ht="15" customHeight="1">
      <c r="A198" t="inlineStr">
        <is>
          <t>A 48191-2025</t>
        </is>
      </c>
      <c r="B198" s="1" t="n">
        <v>45933.46956018519</v>
      </c>
      <c r="C198" s="1" t="n">
        <v>45939</v>
      </c>
      <c r="D198" t="inlineStr">
        <is>
          <t>VÄSTERNORRLANDS LÄN</t>
        </is>
      </c>
      <c r="E198" t="inlineStr">
        <is>
          <t>ÅNGE</t>
        </is>
      </c>
      <c r="F198" t="inlineStr">
        <is>
          <t>SCA</t>
        </is>
      </c>
      <c r="G198" t="n">
        <v>9.6</v>
      </c>
      <c r="H198" t="n">
        <v>0</v>
      </c>
      <c r="I198" t="n">
        <v>0</v>
      </c>
      <c r="J198" t="n">
        <v>1</v>
      </c>
      <c r="K198" t="n">
        <v>0</v>
      </c>
      <c r="L198" t="n">
        <v>0</v>
      </c>
      <c r="M198" t="n">
        <v>0</v>
      </c>
      <c r="N198" t="n">
        <v>0</v>
      </c>
      <c r="O198" t="n">
        <v>1</v>
      </c>
      <c r="P198" t="n">
        <v>0</v>
      </c>
      <c r="Q198" t="n">
        <v>1</v>
      </c>
      <c r="R198" s="2" t="inlineStr">
        <is>
          <t>Dvärgbägarlav</t>
        </is>
      </c>
      <c r="S198">
        <f>HYPERLINK("https://klasma.github.io/Logging_2260/artfynd/A 48191-2025 artfynd.xlsx", "A 48191-2025")</f>
        <v/>
      </c>
      <c r="T198">
        <f>HYPERLINK("https://klasma.github.io/Logging_2260/kartor/A 48191-2025 karta.png", "A 48191-2025")</f>
        <v/>
      </c>
      <c r="V198">
        <f>HYPERLINK("https://klasma.github.io/Logging_2260/klagomål/A 48191-2025 FSC-klagomål.docx", "A 48191-2025")</f>
        <v/>
      </c>
      <c r="W198">
        <f>HYPERLINK("https://klasma.github.io/Logging_2260/klagomålsmail/A 48191-2025 FSC-klagomål mail.docx", "A 48191-2025")</f>
        <v/>
      </c>
      <c r="X198">
        <f>HYPERLINK("https://klasma.github.io/Logging_2260/tillsyn/A 48191-2025 tillsynsbegäran.docx", "A 48191-2025")</f>
        <v/>
      </c>
      <c r="Y198">
        <f>HYPERLINK("https://klasma.github.io/Logging_2260/tillsynsmail/A 48191-2025 tillsynsbegäran mail.docx", "A 48191-2025")</f>
        <v/>
      </c>
    </row>
    <row r="199" ht="15" customHeight="1">
      <c r="A199" t="inlineStr">
        <is>
          <t>A 4351-2024</t>
        </is>
      </c>
      <c r="B199" s="1" t="n">
        <v>45324</v>
      </c>
      <c r="C199" s="1" t="n">
        <v>45939</v>
      </c>
      <c r="D199" t="inlineStr">
        <is>
          <t>VÄSTERNORRLANDS LÄN</t>
        </is>
      </c>
      <c r="E199" t="inlineStr">
        <is>
          <t>ÅNGE</t>
        </is>
      </c>
      <c r="F199" t="inlineStr">
        <is>
          <t>SCA</t>
        </is>
      </c>
      <c r="G199" t="n">
        <v>0.5</v>
      </c>
      <c r="H199" t="n">
        <v>0</v>
      </c>
      <c r="I199" t="n">
        <v>0</v>
      </c>
      <c r="J199" t="n">
        <v>1</v>
      </c>
      <c r="K199" t="n">
        <v>0</v>
      </c>
      <c r="L199" t="n">
        <v>0</v>
      </c>
      <c r="M199" t="n">
        <v>0</v>
      </c>
      <c r="N199" t="n">
        <v>0</v>
      </c>
      <c r="O199" t="n">
        <v>1</v>
      </c>
      <c r="P199" t="n">
        <v>0</v>
      </c>
      <c r="Q199" t="n">
        <v>1</v>
      </c>
      <c r="R199" s="2" t="inlineStr">
        <is>
          <t>Garnlav</t>
        </is>
      </c>
      <c r="S199">
        <f>HYPERLINK("https://klasma.github.io/Logging_2260/artfynd/A 4351-2024 artfynd.xlsx", "A 4351-2024")</f>
        <v/>
      </c>
      <c r="T199">
        <f>HYPERLINK("https://klasma.github.io/Logging_2260/kartor/A 4351-2024 karta.png", "A 4351-2024")</f>
        <v/>
      </c>
      <c r="V199">
        <f>HYPERLINK("https://klasma.github.io/Logging_2260/klagomål/A 4351-2024 FSC-klagomål.docx", "A 4351-2024")</f>
        <v/>
      </c>
      <c r="W199">
        <f>HYPERLINK("https://klasma.github.io/Logging_2260/klagomålsmail/A 4351-2024 FSC-klagomål mail.docx", "A 4351-2024")</f>
        <v/>
      </c>
      <c r="X199">
        <f>HYPERLINK("https://klasma.github.io/Logging_2260/tillsyn/A 4351-2024 tillsynsbegäran.docx", "A 4351-2024")</f>
        <v/>
      </c>
      <c r="Y199">
        <f>HYPERLINK("https://klasma.github.io/Logging_2260/tillsynsmail/A 4351-2024 tillsynsbegäran mail.docx", "A 4351-2024")</f>
        <v/>
      </c>
    </row>
    <row r="200" ht="15" customHeight="1">
      <c r="A200" t="inlineStr">
        <is>
          <t>A 27308-2024</t>
        </is>
      </c>
      <c r="B200" s="1" t="n">
        <v>45471</v>
      </c>
      <c r="C200" s="1" t="n">
        <v>45939</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64510-2023</t>
        </is>
      </c>
      <c r="B201" s="1" t="n">
        <v>45281</v>
      </c>
      <c r="C201" s="1" t="n">
        <v>45939</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38603-2024</t>
        </is>
      </c>
      <c r="B202" s="1" t="n">
        <v>45546</v>
      </c>
      <c r="C202" s="1" t="n">
        <v>45939</v>
      </c>
      <c r="D202" t="inlineStr">
        <is>
          <t>VÄSTERNORRLANDS LÄN</t>
        </is>
      </c>
      <c r="E202" t="inlineStr">
        <is>
          <t>ÅNGE</t>
        </is>
      </c>
      <c r="F202" t="inlineStr">
        <is>
          <t>SCA</t>
        </is>
      </c>
      <c r="G202" t="n">
        <v>5.6</v>
      </c>
      <c r="H202" t="n">
        <v>0</v>
      </c>
      <c r="I202" t="n">
        <v>0</v>
      </c>
      <c r="J202" t="n">
        <v>0</v>
      </c>
      <c r="K202" t="n">
        <v>1</v>
      </c>
      <c r="L202" t="n">
        <v>0</v>
      </c>
      <c r="M202" t="n">
        <v>0</v>
      </c>
      <c r="N202" t="n">
        <v>0</v>
      </c>
      <c r="O202" t="n">
        <v>1</v>
      </c>
      <c r="P202" t="n">
        <v>1</v>
      </c>
      <c r="Q202" t="n">
        <v>1</v>
      </c>
      <c r="R202" s="2" t="inlineStr">
        <is>
          <t>Rynkskinn</t>
        </is>
      </c>
      <c r="S202">
        <f>HYPERLINK("https://klasma.github.io/Logging_2260/artfynd/A 38603-2024 artfynd.xlsx", "A 38603-2024")</f>
        <v/>
      </c>
      <c r="T202">
        <f>HYPERLINK("https://klasma.github.io/Logging_2260/kartor/A 38603-2024 karta.png", "A 38603-2024")</f>
        <v/>
      </c>
      <c r="V202">
        <f>HYPERLINK("https://klasma.github.io/Logging_2260/klagomål/A 38603-2024 FSC-klagomål.docx", "A 38603-2024")</f>
        <v/>
      </c>
      <c r="W202">
        <f>HYPERLINK("https://klasma.github.io/Logging_2260/klagomålsmail/A 38603-2024 FSC-klagomål mail.docx", "A 38603-2024")</f>
        <v/>
      </c>
      <c r="X202">
        <f>HYPERLINK("https://klasma.github.io/Logging_2260/tillsyn/A 38603-2024 tillsynsbegäran.docx", "A 38603-2024")</f>
        <v/>
      </c>
      <c r="Y202">
        <f>HYPERLINK("https://klasma.github.io/Logging_2260/tillsynsmail/A 38603-2024 tillsynsbegäran mail.docx", "A 38603-2024")</f>
        <v/>
      </c>
    </row>
    <row r="203" ht="15" customHeight="1">
      <c r="A203" t="inlineStr">
        <is>
          <t>A 20192-2025</t>
        </is>
      </c>
      <c r="B203" s="1" t="n">
        <v>45772.60177083333</v>
      </c>
      <c r="C203" s="1" t="n">
        <v>45939</v>
      </c>
      <c r="D203" t="inlineStr">
        <is>
          <t>VÄSTERNORRLANDS LÄN</t>
        </is>
      </c>
      <c r="E203" t="inlineStr">
        <is>
          <t>ÅNGE</t>
        </is>
      </c>
      <c r="F203" t="inlineStr">
        <is>
          <t>Sveaskog</t>
        </is>
      </c>
      <c r="G203" t="n">
        <v>8.800000000000001</v>
      </c>
      <c r="H203" t="n">
        <v>1</v>
      </c>
      <c r="I203" t="n">
        <v>0</v>
      </c>
      <c r="J203" t="n">
        <v>0</v>
      </c>
      <c r="K203" t="n">
        <v>0</v>
      </c>
      <c r="L203" t="n">
        <v>0</v>
      </c>
      <c r="M203" t="n">
        <v>0</v>
      </c>
      <c r="N203" t="n">
        <v>0</v>
      </c>
      <c r="O203" t="n">
        <v>0</v>
      </c>
      <c r="P203" t="n">
        <v>0</v>
      </c>
      <c r="Q203" t="n">
        <v>1</v>
      </c>
      <c r="R203" s="2" t="inlineStr">
        <is>
          <t>Blåsippa</t>
        </is>
      </c>
      <c r="S203">
        <f>HYPERLINK("https://klasma.github.io/Logging_2260/artfynd/A 20192-2025 artfynd.xlsx", "A 20192-2025")</f>
        <v/>
      </c>
      <c r="T203">
        <f>HYPERLINK("https://klasma.github.io/Logging_2260/kartor/A 20192-2025 karta.png", "A 20192-2025")</f>
        <v/>
      </c>
      <c r="V203">
        <f>HYPERLINK("https://klasma.github.io/Logging_2260/klagomål/A 20192-2025 FSC-klagomål.docx", "A 20192-2025")</f>
        <v/>
      </c>
      <c r="W203">
        <f>HYPERLINK("https://klasma.github.io/Logging_2260/klagomålsmail/A 20192-2025 FSC-klagomål mail.docx", "A 20192-2025")</f>
        <v/>
      </c>
      <c r="X203">
        <f>HYPERLINK("https://klasma.github.io/Logging_2260/tillsyn/A 20192-2025 tillsynsbegäran.docx", "A 20192-2025")</f>
        <v/>
      </c>
      <c r="Y203">
        <f>HYPERLINK("https://klasma.github.io/Logging_2260/tillsynsmail/A 20192-2025 tillsynsbegäran mail.docx", "A 20192-2025")</f>
        <v/>
      </c>
    </row>
    <row r="204" ht="15" customHeight="1">
      <c r="A204" t="inlineStr">
        <is>
          <t>A 48237-2025</t>
        </is>
      </c>
      <c r="B204" s="1" t="n">
        <v>45933.53237268519</v>
      </c>
      <c r="C204" s="1" t="n">
        <v>45939</v>
      </c>
      <c r="D204" t="inlineStr">
        <is>
          <t>VÄSTERNORRLANDS LÄN</t>
        </is>
      </c>
      <c r="E204" t="inlineStr">
        <is>
          <t>ÅNGE</t>
        </is>
      </c>
      <c r="F204" t="inlineStr">
        <is>
          <t>SCA</t>
        </is>
      </c>
      <c r="G204" t="n">
        <v>1.9</v>
      </c>
      <c r="H204" t="n">
        <v>1</v>
      </c>
      <c r="I204" t="n">
        <v>0</v>
      </c>
      <c r="J204" t="n">
        <v>0</v>
      </c>
      <c r="K204" t="n">
        <v>1</v>
      </c>
      <c r="L204" t="n">
        <v>0</v>
      </c>
      <c r="M204" t="n">
        <v>0</v>
      </c>
      <c r="N204" t="n">
        <v>0</v>
      </c>
      <c r="O204" t="n">
        <v>1</v>
      </c>
      <c r="P204" t="n">
        <v>1</v>
      </c>
      <c r="Q204" t="n">
        <v>1</v>
      </c>
      <c r="R204" s="2" t="inlineStr">
        <is>
          <t>Knärot</t>
        </is>
      </c>
      <c r="S204">
        <f>HYPERLINK("https://klasma.github.io/Logging_2260/artfynd/A 48237-2025 artfynd.xlsx", "A 48237-2025")</f>
        <v/>
      </c>
      <c r="T204">
        <f>HYPERLINK("https://klasma.github.io/Logging_2260/kartor/A 48237-2025 karta.png", "A 48237-2025")</f>
        <v/>
      </c>
      <c r="U204">
        <f>HYPERLINK("https://klasma.github.io/Logging_2260/knärot/A 48237-2025 karta knärot.png", "A 48237-2025")</f>
        <v/>
      </c>
      <c r="V204">
        <f>HYPERLINK("https://klasma.github.io/Logging_2260/klagomål/A 48237-2025 FSC-klagomål.docx", "A 48237-2025")</f>
        <v/>
      </c>
      <c r="W204">
        <f>HYPERLINK("https://klasma.github.io/Logging_2260/klagomålsmail/A 48237-2025 FSC-klagomål mail.docx", "A 48237-2025")</f>
        <v/>
      </c>
      <c r="X204">
        <f>HYPERLINK("https://klasma.github.io/Logging_2260/tillsyn/A 48237-2025 tillsynsbegäran.docx", "A 48237-2025")</f>
        <v/>
      </c>
      <c r="Y204">
        <f>HYPERLINK("https://klasma.github.io/Logging_2260/tillsynsmail/A 48237-2025 tillsynsbegäran mail.docx", "A 48237-2025")</f>
        <v/>
      </c>
    </row>
    <row r="205" ht="15" customHeight="1">
      <c r="A205" t="inlineStr">
        <is>
          <t>A 46094-2025</t>
        </is>
      </c>
      <c r="B205" s="1" t="n">
        <v>45924</v>
      </c>
      <c r="C205" s="1" t="n">
        <v>45939</v>
      </c>
      <c r="D205" t="inlineStr">
        <is>
          <t>VÄSTERNORRLANDS LÄN</t>
        </is>
      </c>
      <c r="E205" t="inlineStr">
        <is>
          <t>ÅNGE</t>
        </is>
      </c>
      <c r="F205" t="inlineStr">
        <is>
          <t>SCA</t>
        </is>
      </c>
      <c r="G205" t="n">
        <v>1.1</v>
      </c>
      <c r="H205" t="n">
        <v>1</v>
      </c>
      <c r="I205" t="n">
        <v>0</v>
      </c>
      <c r="J205" t="n">
        <v>1</v>
      </c>
      <c r="K205" t="n">
        <v>0</v>
      </c>
      <c r="L205" t="n">
        <v>0</v>
      </c>
      <c r="M205" t="n">
        <v>0</v>
      </c>
      <c r="N205" t="n">
        <v>0</v>
      </c>
      <c r="O205" t="n">
        <v>1</v>
      </c>
      <c r="P205" t="n">
        <v>0</v>
      </c>
      <c r="Q205" t="n">
        <v>1</v>
      </c>
      <c r="R205" s="2" t="inlineStr">
        <is>
          <t>Utter</t>
        </is>
      </c>
      <c r="S205">
        <f>HYPERLINK("https://klasma.github.io/Logging_2260/artfynd/A 46094-2025 artfynd.xlsx", "A 46094-2025")</f>
        <v/>
      </c>
      <c r="T205">
        <f>HYPERLINK("https://klasma.github.io/Logging_2260/kartor/A 46094-2025 karta.png", "A 46094-2025")</f>
        <v/>
      </c>
      <c r="V205">
        <f>HYPERLINK("https://klasma.github.io/Logging_2260/klagomål/A 46094-2025 FSC-klagomål.docx", "A 46094-2025")</f>
        <v/>
      </c>
      <c r="W205">
        <f>HYPERLINK("https://klasma.github.io/Logging_2260/klagomålsmail/A 46094-2025 FSC-klagomål mail.docx", "A 46094-2025")</f>
        <v/>
      </c>
      <c r="X205">
        <f>HYPERLINK("https://klasma.github.io/Logging_2260/tillsyn/A 46094-2025 tillsynsbegäran.docx", "A 46094-2025")</f>
        <v/>
      </c>
      <c r="Y205">
        <f>HYPERLINK("https://klasma.github.io/Logging_2260/tillsynsmail/A 46094-2025 tillsynsbegäran mail.docx", "A 46094-2025")</f>
        <v/>
      </c>
    </row>
    <row r="206" ht="15" customHeight="1">
      <c r="A206" t="inlineStr">
        <is>
          <t>A 71366-2021</t>
        </is>
      </c>
      <c r="B206" s="1" t="n">
        <v>44539</v>
      </c>
      <c r="C206" s="1" t="n">
        <v>45939</v>
      </c>
      <c r="D206" t="inlineStr">
        <is>
          <t>VÄSTERNORRLANDS LÄN</t>
        </is>
      </c>
      <c r="E206" t="inlineStr">
        <is>
          <t>ÅNGE</t>
        </is>
      </c>
      <c r="F206" t="inlineStr">
        <is>
          <t>SCA</t>
        </is>
      </c>
      <c r="G206" t="n">
        <v>2.3</v>
      </c>
      <c r="H206" t="n">
        <v>1</v>
      </c>
      <c r="I206" t="n">
        <v>0</v>
      </c>
      <c r="J206" t="n">
        <v>0</v>
      </c>
      <c r="K206" t="n">
        <v>1</v>
      </c>
      <c r="L206" t="n">
        <v>0</v>
      </c>
      <c r="M206" t="n">
        <v>0</v>
      </c>
      <c r="N206" t="n">
        <v>0</v>
      </c>
      <c r="O206" t="n">
        <v>1</v>
      </c>
      <c r="P206" t="n">
        <v>1</v>
      </c>
      <c r="Q206" t="n">
        <v>1</v>
      </c>
      <c r="R206" s="2" t="inlineStr">
        <is>
          <t>Knärot</t>
        </is>
      </c>
      <c r="S206">
        <f>HYPERLINK("https://klasma.github.io/Logging_2260/artfynd/A 71366-2021 artfynd.xlsx", "A 71366-2021")</f>
        <v/>
      </c>
      <c r="T206">
        <f>HYPERLINK("https://klasma.github.io/Logging_2260/kartor/A 71366-2021 karta.png", "A 71366-2021")</f>
        <v/>
      </c>
      <c r="U206">
        <f>HYPERLINK("https://klasma.github.io/Logging_2260/knärot/A 71366-2021 karta knärot.png", "A 71366-2021")</f>
        <v/>
      </c>
      <c r="V206">
        <f>HYPERLINK("https://klasma.github.io/Logging_2260/klagomål/A 71366-2021 FSC-klagomål.docx", "A 71366-2021")</f>
        <v/>
      </c>
      <c r="W206">
        <f>HYPERLINK("https://klasma.github.io/Logging_2260/klagomålsmail/A 71366-2021 FSC-klagomål mail.docx", "A 71366-2021")</f>
        <v/>
      </c>
      <c r="X206">
        <f>HYPERLINK("https://klasma.github.io/Logging_2260/tillsyn/A 71366-2021 tillsynsbegäran.docx", "A 71366-2021")</f>
        <v/>
      </c>
      <c r="Y206">
        <f>HYPERLINK("https://klasma.github.io/Logging_2260/tillsynsmail/A 71366-2021 tillsynsbegäran mail.docx", "A 71366-2021")</f>
        <v/>
      </c>
    </row>
    <row r="207" ht="15" customHeight="1">
      <c r="A207" t="inlineStr">
        <is>
          <t>A 23490-2025</t>
        </is>
      </c>
      <c r="B207" s="1" t="n">
        <v>45792.46907407408</v>
      </c>
      <c r="C207" s="1" t="n">
        <v>45939</v>
      </c>
      <c r="D207" t="inlineStr">
        <is>
          <t>VÄSTERNORRLANDS LÄN</t>
        </is>
      </c>
      <c r="E207" t="inlineStr">
        <is>
          <t>ÅNGE</t>
        </is>
      </c>
      <c r="F207" t="inlineStr">
        <is>
          <t>SCA</t>
        </is>
      </c>
      <c r="G207" t="n">
        <v>3.3</v>
      </c>
      <c r="H207" t="n">
        <v>0</v>
      </c>
      <c r="I207" t="n">
        <v>0</v>
      </c>
      <c r="J207" t="n">
        <v>1</v>
      </c>
      <c r="K207" t="n">
        <v>0</v>
      </c>
      <c r="L207" t="n">
        <v>0</v>
      </c>
      <c r="M207" t="n">
        <v>0</v>
      </c>
      <c r="N207" t="n">
        <v>0</v>
      </c>
      <c r="O207" t="n">
        <v>1</v>
      </c>
      <c r="P207" t="n">
        <v>0</v>
      </c>
      <c r="Q207" t="n">
        <v>1</v>
      </c>
      <c r="R207" s="2" t="inlineStr">
        <is>
          <t>Garnlav</t>
        </is>
      </c>
      <c r="S207">
        <f>HYPERLINK("https://klasma.github.io/Logging_2260/artfynd/A 23490-2025 artfynd.xlsx", "A 23490-2025")</f>
        <v/>
      </c>
      <c r="T207">
        <f>HYPERLINK("https://klasma.github.io/Logging_2260/kartor/A 23490-2025 karta.png", "A 23490-2025")</f>
        <v/>
      </c>
      <c r="V207">
        <f>HYPERLINK("https://klasma.github.io/Logging_2260/klagomål/A 23490-2025 FSC-klagomål.docx", "A 23490-2025")</f>
        <v/>
      </c>
      <c r="W207">
        <f>HYPERLINK("https://klasma.github.io/Logging_2260/klagomålsmail/A 23490-2025 FSC-klagomål mail.docx", "A 23490-2025")</f>
        <v/>
      </c>
      <c r="X207">
        <f>HYPERLINK("https://klasma.github.io/Logging_2260/tillsyn/A 23490-2025 tillsynsbegäran.docx", "A 23490-2025")</f>
        <v/>
      </c>
      <c r="Y207">
        <f>HYPERLINK("https://klasma.github.io/Logging_2260/tillsynsmail/A 23490-2025 tillsynsbegäran mail.docx", "A 23490-2025")</f>
        <v/>
      </c>
    </row>
    <row r="208" ht="15" customHeight="1">
      <c r="A208" t="inlineStr">
        <is>
          <t>A 56091-2024</t>
        </is>
      </c>
      <c r="B208" s="1" t="n">
        <v>45624.40678240741</v>
      </c>
      <c r="C208" s="1" t="n">
        <v>45939</v>
      </c>
      <c r="D208" t="inlineStr">
        <is>
          <t>VÄSTERNORRLANDS LÄN</t>
        </is>
      </c>
      <c r="E208" t="inlineStr">
        <is>
          <t>ÅNGE</t>
        </is>
      </c>
      <c r="F208" t="inlineStr">
        <is>
          <t>SCA</t>
        </is>
      </c>
      <c r="G208" t="n">
        <v>2.5</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56091-2024 artfynd.xlsx", "A 56091-2024")</f>
        <v/>
      </c>
      <c r="T208">
        <f>HYPERLINK("https://klasma.github.io/Logging_2260/kartor/A 56091-2024 karta.png", "A 56091-2024")</f>
        <v/>
      </c>
      <c r="V208">
        <f>HYPERLINK("https://klasma.github.io/Logging_2260/klagomål/A 56091-2024 FSC-klagomål.docx", "A 56091-2024")</f>
        <v/>
      </c>
      <c r="W208">
        <f>HYPERLINK("https://klasma.github.io/Logging_2260/klagomålsmail/A 56091-2024 FSC-klagomål mail.docx", "A 56091-2024")</f>
        <v/>
      </c>
      <c r="X208">
        <f>HYPERLINK("https://klasma.github.io/Logging_2260/tillsyn/A 56091-2024 tillsynsbegäran.docx", "A 56091-2024")</f>
        <v/>
      </c>
      <c r="Y208">
        <f>HYPERLINK("https://klasma.github.io/Logging_2260/tillsynsmail/A 56091-2024 tillsynsbegäran mail.docx", "A 56091-2024")</f>
        <v/>
      </c>
    </row>
    <row r="209" ht="15" customHeight="1">
      <c r="A209" t="inlineStr">
        <is>
          <t>A 31878-2024</t>
        </is>
      </c>
      <c r="B209" s="1" t="n">
        <v>45509</v>
      </c>
      <c r="C209" s="1" t="n">
        <v>45939</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54386-2024</t>
        </is>
      </c>
      <c r="B210" s="1" t="n">
        <v>45617.44822916666</v>
      </c>
      <c r="C210" s="1" t="n">
        <v>45939</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31510-2024</t>
        </is>
      </c>
      <c r="B211" s="1" t="n">
        <v>45505</v>
      </c>
      <c r="C211" s="1" t="n">
        <v>45939</v>
      </c>
      <c r="D211" t="inlineStr">
        <is>
          <t>VÄSTERNORRLANDS LÄN</t>
        </is>
      </c>
      <c r="E211" t="inlineStr">
        <is>
          <t>ÅNGE</t>
        </is>
      </c>
      <c r="F211" t="inlineStr">
        <is>
          <t>SCA</t>
        </is>
      </c>
      <c r="G211" t="n">
        <v>6</v>
      </c>
      <c r="H211" t="n">
        <v>1</v>
      </c>
      <c r="I211" t="n">
        <v>0</v>
      </c>
      <c r="J211" t="n">
        <v>0</v>
      </c>
      <c r="K211" t="n">
        <v>1</v>
      </c>
      <c r="L211" t="n">
        <v>0</v>
      </c>
      <c r="M211" t="n">
        <v>0</v>
      </c>
      <c r="N211" t="n">
        <v>0</v>
      </c>
      <c r="O211" t="n">
        <v>1</v>
      </c>
      <c r="P211" t="n">
        <v>1</v>
      </c>
      <c r="Q211" t="n">
        <v>1</v>
      </c>
      <c r="R211" s="2" t="inlineStr">
        <is>
          <t>Doftticka</t>
        </is>
      </c>
      <c r="S211">
        <f>HYPERLINK("https://klasma.github.io/Logging_2260/artfynd/A 31510-2024 artfynd.xlsx", "A 31510-2024")</f>
        <v/>
      </c>
      <c r="T211">
        <f>HYPERLINK("https://klasma.github.io/Logging_2260/kartor/A 31510-2024 karta.png", "A 31510-2024")</f>
        <v/>
      </c>
      <c r="V211">
        <f>HYPERLINK("https://klasma.github.io/Logging_2260/klagomål/A 31510-2024 FSC-klagomål.docx", "A 31510-2024")</f>
        <v/>
      </c>
      <c r="W211">
        <f>HYPERLINK("https://klasma.github.io/Logging_2260/klagomålsmail/A 31510-2024 FSC-klagomål mail.docx", "A 31510-2024")</f>
        <v/>
      </c>
      <c r="X211">
        <f>HYPERLINK("https://klasma.github.io/Logging_2260/tillsyn/A 31510-2024 tillsynsbegäran.docx", "A 31510-2024")</f>
        <v/>
      </c>
      <c r="Y211">
        <f>HYPERLINK("https://klasma.github.io/Logging_2260/tillsynsmail/A 31510-2024 tillsynsbegäran mail.docx", "A 31510-2024")</f>
        <v/>
      </c>
    </row>
    <row r="212" ht="15" customHeight="1">
      <c r="A212" t="inlineStr">
        <is>
          <t>A 55015-2023</t>
        </is>
      </c>
      <c r="B212" s="1" t="n">
        <v>45237.32185185186</v>
      </c>
      <c r="C212" s="1" t="n">
        <v>45939</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27025-2025</t>
        </is>
      </c>
      <c r="B213" s="1" t="n">
        <v>45811</v>
      </c>
      <c r="C213" s="1" t="n">
        <v>45939</v>
      </c>
      <c r="D213" t="inlineStr">
        <is>
          <t>VÄSTERNORRLANDS LÄN</t>
        </is>
      </c>
      <c r="E213" t="inlineStr">
        <is>
          <t>ÅNGE</t>
        </is>
      </c>
      <c r="G213" t="n">
        <v>25.5</v>
      </c>
      <c r="H213" t="n">
        <v>0</v>
      </c>
      <c r="I213" t="n">
        <v>0</v>
      </c>
      <c r="J213" t="n">
        <v>1</v>
      </c>
      <c r="K213" t="n">
        <v>0</v>
      </c>
      <c r="L213" t="n">
        <v>0</v>
      </c>
      <c r="M213" t="n">
        <v>0</v>
      </c>
      <c r="N213" t="n">
        <v>0</v>
      </c>
      <c r="O213" t="n">
        <v>1</v>
      </c>
      <c r="P213" t="n">
        <v>0</v>
      </c>
      <c r="Q213" t="n">
        <v>1</v>
      </c>
      <c r="R213" s="2" t="inlineStr">
        <is>
          <t>Garnlav</t>
        </is>
      </c>
      <c r="S213">
        <f>HYPERLINK("https://klasma.github.io/Logging_2260/artfynd/A 27025-2025 artfynd.xlsx", "A 27025-2025")</f>
        <v/>
      </c>
      <c r="T213">
        <f>HYPERLINK("https://klasma.github.io/Logging_2260/kartor/A 27025-2025 karta.png", "A 27025-2025")</f>
        <v/>
      </c>
      <c r="U213">
        <f>HYPERLINK("https://klasma.github.io/Logging_2260/knärot/A 27025-2025 karta knärot.png", "A 27025-2025")</f>
        <v/>
      </c>
      <c r="V213">
        <f>HYPERLINK("https://klasma.github.io/Logging_2260/klagomål/A 27025-2025 FSC-klagomål.docx", "A 27025-2025")</f>
        <v/>
      </c>
      <c r="W213">
        <f>HYPERLINK("https://klasma.github.io/Logging_2260/klagomålsmail/A 27025-2025 FSC-klagomål mail.docx", "A 27025-2025")</f>
        <v/>
      </c>
      <c r="X213">
        <f>HYPERLINK("https://klasma.github.io/Logging_2260/tillsyn/A 27025-2025 tillsynsbegäran.docx", "A 27025-2025")</f>
        <v/>
      </c>
      <c r="Y213">
        <f>HYPERLINK("https://klasma.github.io/Logging_2260/tillsynsmail/A 27025-2025 tillsynsbegäran mail.docx", "A 27025-2025")</f>
        <v/>
      </c>
    </row>
    <row r="214" ht="15" customHeight="1">
      <c r="A214" t="inlineStr">
        <is>
          <t>A 35648-2025</t>
        </is>
      </c>
      <c r="B214" s="1" t="n">
        <v>45859.51670138889</v>
      </c>
      <c r="C214" s="1" t="n">
        <v>45939</v>
      </c>
      <c r="D214" t="inlineStr">
        <is>
          <t>VÄSTERNORRLANDS LÄN</t>
        </is>
      </c>
      <c r="E214" t="inlineStr">
        <is>
          <t>ÅNGE</t>
        </is>
      </c>
      <c r="F214" t="inlineStr">
        <is>
          <t>Sveaskog</t>
        </is>
      </c>
      <c r="G214" t="n">
        <v>9.1</v>
      </c>
      <c r="H214" t="n">
        <v>0</v>
      </c>
      <c r="I214" t="n">
        <v>0</v>
      </c>
      <c r="J214" t="n">
        <v>1</v>
      </c>
      <c r="K214" t="n">
        <v>0</v>
      </c>
      <c r="L214" t="n">
        <v>0</v>
      </c>
      <c r="M214" t="n">
        <v>0</v>
      </c>
      <c r="N214" t="n">
        <v>0</v>
      </c>
      <c r="O214" t="n">
        <v>1</v>
      </c>
      <c r="P214" t="n">
        <v>0</v>
      </c>
      <c r="Q214" t="n">
        <v>1</v>
      </c>
      <c r="R214" s="2" t="inlineStr">
        <is>
          <t>Lunglav</t>
        </is>
      </c>
      <c r="S214">
        <f>HYPERLINK("https://klasma.github.io/Logging_2260/artfynd/A 35648-2025 artfynd.xlsx", "A 35648-2025")</f>
        <v/>
      </c>
      <c r="T214">
        <f>HYPERLINK("https://klasma.github.io/Logging_2260/kartor/A 35648-2025 karta.png", "A 35648-2025")</f>
        <v/>
      </c>
      <c r="V214">
        <f>HYPERLINK("https://klasma.github.io/Logging_2260/klagomål/A 35648-2025 FSC-klagomål.docx", "A 35648-2025")</f>
        <v/>
      </c>
      <c r="W214">
        <f>HYPERLINK("https://klasma.github.io/Logging_2260/klagomålsmail/A 35648-2025 FSC-klagomål mail.docx", "A 35648-2025")</f>
        <v/>
      </c>
      <c r="X214">
        <f>HYPERLINK("https://klasma.github.io/Logging_2260/tillsyn/A 35648-2025 tillsynsbegäran.docx", "A 35648-2025")</f>
        <v/>
      </c>
      <c r="Y214">
        <f>HYPERLINK("https://klasma.github.io/Logging_2260/tillsynsmail/A 35648-2025 tillsynsbegäran mail.docx", "A 35648-2025")</f>
        <v/>
      </c>
    </row>
    <row r="215" ht="15" customHeight="1">
      <c r="A215" t="inlineStr">
        <is>
          <t>A 35839-2025</t>
        </is>
      </c>
      <c r="B215" s="1" t="n">
        <v>45861.53943287037</v>
      </c>
      <c r="C215" s="1" t="n">
        <v>45939</v>
      </c>
      <c r="D215" t="inlineStr">
        <is>
          <t>VÄSTERNORRLANDS LÄN</t>
        </is>
      </c>
      <c r="E215" t="inlineStr">
        <is>
          <t>ÅNGE</t>
        </is>
      </c>
      <c r="F215" t="inlineStr">
        <is>
          <t>Sveaskog</t>
        </is>
      </c>
      <c r="G215" t="n">
        <v>7.9</v>
      </c>
      <c r="H215" t="n">
        <v>0</v>
      </c>
      <c r="I215" t="n">
        <v>0</v>
      </c>
      <c r="J215" t="n">
        <v>1</v>
      </c>
      <c r="K215" t="n">
        <v>0</v>
      </c>
      <c r="L215" t="n">
        <v>0</v>
      </c>
      <c r="M215" t="n">
        <v>0</v>
      </c>
      <c r="N215" t="n">
        <v>0</v>
      </c>
      <c r="O215" t="n">
        <v>1</v>
      </c>
      <c r="P215" t="n">
        <v>0</v>
      </c>
      <c r="Q215" t="n">
        <v>1</v>
      </c>
      <c r="R215" s="2" t="inlineStr">
        <is>
          <t>Lunglav</t>
        </is>
      </c>
      <c r="S215">
        <f>HYPERLINK("https://klasma.github.io/Logging_2260/artfynd/A 35839-2025 artfynd.xlsx", "A 35839-2025")</f>
        <v/>
      </c>
      <c r="T215">
        <f>HYPERLINK("https://klasma.github.io/Logging_2260/kartor/A 35839-2025 karta.png", "A 35839-2025")</f>
        <v/>
      </c>
      <c r="V215">
        <f>HYPERLINK("https://klasma.github.io/Logging_2260/klagomål/A 35839-2025 FSC-klagomål.docx", "A 35839-2025")</f>
        <v/>
      </c>
      <c r="W215">
        <f>HYPERLINK("https://klasma.github.io/Logging_2260/klagomålsmail/A 35839-2025 FSC-klagomål mail.docx", "A 35839-2025")</f>
        <v/>
      </c>
      <c r="X215">
        <f>HYPERLINK("https://klasma.github.io/Logging_2260/tillsyn/A 35839-2025 tillsynsbegäran.docx", "A 35839-2025")</f>
        <v/>
      </c>
      <c r="Y215">
        <f>HYPERLINK("https://klasma.github.io/Logging_2260/tillsynsmail/A 35839-2025 tillsynsbegäran mail.docx", "A 35839-2025")</f>
        <v/>
      </c>
    </row>
    <row r="216" ht="15" customHeight="1">
      <c r="A216" t="inlineStr">
        <is>
          <t>A 34696-2024</t>
        </is>
      </c>
      <c r="B216" s="1" t="n">
        <v>45526</v>
      </c>
      <c r="C216" s="1" t="n">
        <v>45939</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45939</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42524-2025</t>
        </is>
      </c>
      <c r="B218" s="1" t="n">
        <v>45905.55262731481</v>
      </c>
      <c r="C218" s="1" t="n">
        <v>45939</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45939</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8057-2021</t>
        </is>
      </c>
      <c r="B220" s="1" t="n">
        <v>44238</v>
      </c>
      <c r="C220" s="1" t="n">
        <v>45939</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45939</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45939</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45939</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45939</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45939</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45939</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37624-2021</t>
        </is>
      </c>
      <c r="B227" s="1" t="n">
        <v>44399</v>
      </c>
      <c r="C227" s="1" t="n">
        <v>45939</v>
      </c>
      <c r="D227" t="inlineStr">
        <is>
          <t>VÄSTERNORRLANDS LÄN</t>
        </is>
      </c>
      <c r="E227" t="inlineStr">
        <is>
          <t>ÅNGE</t>
        </is>
      </c>
      <c r="G227" t="n">
        <v>4.1</v>
      </c>
      <c r="H227" t="n">
        <v>0</v>
      </c>
      <c r="I227" t="n">
        <v>0</v>
      </c>
      <c r="J227" t="n">
        <v>0</v>
      </c>
      <c r="K227" t="n">
        <v>0</v>
      </c>
      <c r="L227" t="n">
        <v>0</v>
      </c>
      <c r="M227" t="n">
        <v>0</v>
      </c>
      <c r="N227" t="n">
        <v>0</v>
      </c>
      <c r="O227" t="n">
        <v>0</v>
      </c>
      <c r="P227" t="n">
        <v>0</v>
      </c>
      <c r="Q227" t="n">
        <v>0</v>
      </c>
      <c r="R227" s="2" t="inlineStr"/>
    </row>
    <row r="228" ht="15" customHeight="1">
      <c r="A228" t="inlineStr">
        <is>
          <t>A 21740-2022</t>
        </is>
      </c>
      <c r="B228" s="1" t="n">
        <v>44708.37472222222</v>
      </c>
      <c r="C228" s="1" t="n">
        <v>45939</v>
      </c>
      <c r="D228" t="inlineStr">
        <is>
          <t>VÄSTERNORRLANDS LÄN</t>
        </is>
      </c>
      <c r="E228" t="inlineStr">
        <is>
          <t>ÅNGE</t>
        </is>
      </c>
      <c r="G228" t="n">
        <v>2</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45939</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5381-2022</t>
        </is>
      </c>
      <c r="B230" s="1" t="n">
        <v>44594.9337037037</v>
      </c>
      <c r="C230" s="1" t="n">
        <v>45939</v>
      </c>
      <c r="D230" t="inlineStr">
        <is>
          <t>VÄSTERNORRLANDS LÄN</t>
        </is>
      </c>
      <c r="E230" t="inlineStr">
        <is>
          <t>ÅNGE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38432-2021</t>
        </is>
      </c>
      <c r="B231" s="1" t="n">
        <v>44406</v>
      </c>
      <c r="C231" s="1" t="n">
        <v>45939</v>
      </c>
      <c r="D231" t="inlineStr">
        <is>
          <t>VÄSTERNORRLANDS LÄN</t>
        </is>
      </c>
      <c r="E231" t="inlineStr">
        <is>
          <t>ÅNGE</t>
        </is>
      </c>
      <c r="G231" t="n">
        <v>0.4</v>
      </c>
      <c r="H231" t="n">
        <v>0</v>
      </c>
      <c r="I231" t="n">
        <v>0</v>
      </c>
      <c r="J231" t="n">
        <v>0</v>
      </c>
      <c r="K231" t="n">
        <v>0</v>
      </c>
      <c r="L231" t="n">
        <v>0</v>
      </c>
      <c r="M231" t="n">
        <v>0</v>
      </c>
      <c r="N231" t="n">
        <v>0</v>
      </c>
      <c r="O231" t="n">
        <v>0</v>
      </c>
      <c r="P231" t="n">
        <v>0</v>
      </c>
      <c r="Q231" t="n">
        <v>0</v>
      </c>
      <c r="R231" s="2" t="inlineStr"/>
    </row>
    <row r="232" ht="15" customHeight="1">
      <c r="A232" t="inlineStr">
        <is>
          <t>A 14433-2022</t>
        </is>
      </c>
      <c r="B232" s="1" t="n">
        <v>44652</v>
      </c>
      <c r="C232" s="1" t="n">
        <v>45939</v>
      </c>
      <c r="D232" t="inlineStr">
        <is>
          <t>VÄSTERNORRLANDS LÄN</t>
        </is>
      </c>
      <c r="E232" t="inlineStr">
        <is>
          <t>ÅNGE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45939</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48990-2021</t>
        </is>
      </c>
      <c r="B234" s="1" t="n">
        <v>44453</v>
      </c>
      <c r="C234" s="1" t="n">
        <v>45939</v>
      </c>
      <c r="D234" t="inlineStr">
        <is>
          <t>VÄSTERNORRLANDS LÄN</t>
        </is>
      </c>
      <c r="E234" t="inlineStr">
        <is>
          <t>ÅNGE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45939</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45939</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45939</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45939</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45939</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45939</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65594-2020</t>
        </is>
      </c>
      <c r="B241" s="1" t="n">
        <v>44173</v>
      </c>
      <c r="C241" s="1" t="n">
        <v>45939</v>
      </c>
      <c r="D241" t="inlineStr">
        <is>
          <t>VÄSTERNORRLANDS LÄN</t>
        </is>
      </c>
      <c r="E241" t="inlineStr">
        <is>
          <t>ÅNGE</t>
        </is>
      </c>
      <c r="G241" t="n">
        <v>5.9</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45939</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45939</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45939</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45939</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45939</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9619-2021</t>
        </is>
      </c>
      <c r="B247" s="1" t="n">
        <v>44251</v>
      </c>
      <c r="C247" s="1" t="n">
        <v>45939</v>
      </c>
      <c r="D247" t="inlineStr">
        <is>
          <t>VÄSTERNORRLANDS LÄN</t>
        </is>
      </c>
      <c r="E247" t="inlineStr">
        <is>
          <t>ÅNGE</t>
        </is>
      </c>
      <c r="G247" t="n">
        <v>10.4</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45939</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54105-2020</t>
        </is>
      </c>
      <c r="B249" s="1" t="n">
        <v>44125</v>
      </c>
      <c r="C249" s="1" t="n">
        <v>45939</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45939</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45939</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45939</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45939</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45939</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45939</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45939</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45939</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45939</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45939</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45939</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45939</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45939</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45939</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45939</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45939</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45939</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53170-2020</t>
        </is>
      </c>
      <c r="B267" s="1" t="n">
        <v>44120</v>
      </c>
      <c r="C267" s="1" t="n">
        <v>45939</v>
      </c>
      <c r="D267" t="inlineStr">
        <is>
          <t>VÄSTERNORRLANDS LÄN</t>
        </is>
      </c>
      <c r="E267" t="inlineStr">
        <is>
          <t>ÅNGE</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45939</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45939</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45939</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45939</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45939</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45939</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45939</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45939</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45939</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45939</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45939</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45939</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45939</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45939</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45939</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45939</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45939</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45939</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45939</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45939</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45939</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13479-2021</t>
        </is>
      </c>
      <c r="B289" s="1" t="n">
        <v>44273</v>
      </c>
      <c r="C289" s="1" t="n">
        <v>45939</v>
      </c>
      <c r="D289" t="inlineStr">
        <is>
          <t>VÄSTERNORRLANDS LÄN</t>
        </is>
      </c>
      <c r="E289" t="inlineStr">
        <is>
          <t>ÅNGE</t>
        </is>
      </c>
      <c r="G289" t="n">
        <v>0.1</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45939</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45939</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45939</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45939</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45939</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45939</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45939</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45939</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45939</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45939</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45939</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45939</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45939</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57111-2020</t>
        </is>
      </c>
      <c r="B303" s="1" t="n">
        <v>44139</v>
      </c>
      <c r="C303" s="1" t="n">
        <v>45939</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45939</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45939</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45939</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45939</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45939</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45939</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45939</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45939</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45939</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6898-2022</t>
        </is>
      </c>
      <c r="B313" s="1" t="n">
        <v>44602.92141203704</v>
      </c>
      <c r="C313" s="1" t="n">
        <v>45939</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45939</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45939</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45939</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45939</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45939</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45939</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45939</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45939</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45939</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24355-2022</t>
        </is>
      </c>
      <c r="B323" s="1" t="n">
        <v>44726.3816087963</v>
      </c>
      <c r="C323" s="1" t="n">
        <v>45939</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45939</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51755-2020</t>
        </is>
      </c>
      <c r="B325" s="1" t="n">
        <v>44114</v>
      </c>
      <c r="C325" s="1" t="n">
        <v>45939</v>
      </c>
      <c r="D325" t="inlineStr">
        <is>
          <t>VÄSTERNORRLANDS LÄN</t>
        </is>
      </c>
      <c r="E325" t="inlineStr">
        <is>
          <t>ÅNGE</t>
        </is>
      </c>
      <c r="G325" t="n">
        <v>6.4</v>
      </c>
      <c r="H325" t="n">
        <v>0</v>
      </c>
      <c r="I325" t="n">
        <v>0</v>
      </c>
      <c r="J325" t="n">
        <v>0</v>
      </c>
      <c r="K325" t="n">
        <v>0</v>
      </c>
      <c r="L325" t="n">
        <v>0</v>
      </c>
      <c r="M325" t="n">
        <v>0</v>
      </c>
      <c r="N325" t="n">
        <v>0</v>
      </c>
      <c r="O325" t="n">
        <v>0</v>
      </c>
      <c r="P325" t="n">
        <v>0</v>
      </c>
      <c r="Q325" t="n">
        <v>0</v>
      </c>
      <c r="R325" s="2" t="inlineStr"/>
    </row>
    <row r="326" ht="15" customHeight="1">
      <c r="A326" t="inlineStr">
        <is>
          <t>A 38369-2021</t>
        </is>
      </c>
      <c r="B326" s="1" t="n">
        <v>44406</v>
      </c>
      <c r="C326" s="1" t="n">
        <v>45939</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53962-2020</t>
        </is>
      </c>
      <c r="B327" s="1" t="n">
        <v>44125.46759259259</v>
      </c>
      <c r="C327" s="1" t="n">
        <v>45939</v>
      </c>
      <c r="D327" t="inlineStr">
        <is>
          <t>VÄSTERNORRLANDS LÄN</t>
        </is>
      </c>
      <c r="E327" t="inlineStr">
        <is>
          <t>ÅNGE</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35276-2022</t>
        </is>
      </c>
      <c r="B328" s="1" t="n">
        <v>44798</v>
      </c>
      <c r="C328" s="1" t="n">
        <v>45939</v>
      </c>
      <c r="D328" t="inlineStr">
        <is>
          <t>VÄSTERNORRLANDS LÄN</t>
        </is>
      </c>
      <c r="E328" t="inlineStr">
        <is>
          <t>ÅNGE</t>
        </is>
      </c>
      <c r="G328" t="n">
        <v>15.2</v>
      </c>
      <c r="H328" t="n">
        <v>0</v>
      </c>
      <c r="I328" t="n">
        <v>0</v>
      </c>
      <c r="J328" t="n">
        <v>0</v>
      </c>
      <c r="K328" t="n">
        <v>0</v>
      </c>
      <c r="L328" t="n">
        <v>0</v>
      </c>
      <c r="M328" t="n">
        <v>0</v>
      </c>
      <c r="N328" t="n">
        <v>0</v>
      </c>
      <c r="O328" t="n">
        <v>0</v>
      </c>
      <c r="P328" t="n">
        <v>0</v>
      </c>
      <c r="Q328" t="n">
        <v>0</v>
      </c>
      <c r="R328" s="2" t="inlineStr"/>
    </row>
    <row r="329" ht="15" customHeight="1">
      <c r="A329" t="inlineStr">
        <is>
          <t>A 13149-2021</t>
        </is>
      </c>
      <c r="B329" s="1" t="n">
        <v>44272</v>
      </c>
      <c r="C329" s="1" t="n">
        <v>45939</v>
      </c>
      <c r="D329" t="inlineStr">
        <is>
          <t>VÄSTERNORRLANDS LÄN</t>
        </is>
      </c>
      <c r="E329" t="inlineStr">
        <is>
          <t>ÅNGE</t>
        </is>
      </c>
      <c r="G329" t="n">
        <v>3.4</v>
      </c>
      <c r="H329" t="n">
        <v>0</v>
      </c>
      <c r="I329" t="n">
        <v>0</v>
      </c>
      <c r="J329" t="n">
        <v>0</v>
      </c>
      <c r="K329" t="n">
        <v>0</v>
      </c>
      <c r="L329" t="n">
        <v>0</v>
      </c>
      <c r="M329" t="n">
        <v>0</v>
      </c>
      <c r="N329" t="n">
        <v>0</v>
      </c>
      <c r="O329" t="n">
        <v>0</v>
      </c>
      <c r="P329" t="n">
        <v>0</v>
      </c>
      <c r="Q329" t="n">
        <v>0</v>
      </c>
      <c r="R329" s="2" t="inlineStr"/>
    </row>
    <row r="330" ht="15" customHeight="1">
      <c r="A330" t="inlineStr">
        <is>
          <t>A 11098-2022</t>
        </is>
      </c>
      <c r="B330" s="1" t="n">
        <v>44628</v>
      </c>
      <c r="C330" s="1" t="n">
        <v>45939</v>
      </c>
      <c r="D330" t="inlineStr">
        <is>
          <t>VÄSTERNORRLANDS LÄN</t>
        </is>
      </c>
      <c r="E330" t="inlineStr">
        <is>
          <t>ÅNGE</t>
        </is>
      </c>
      <c r="G330" t="n">
        <v>8.9</v>
      </c>
      <c r="H330" t="n">
        <v>0</v>
      </c>
      <c r="I330" t="n">
        <v>0</v>
      </c>
      <c r="J330" t="n">
        <v>0</v>
      </c>
      <c r="K330" t="n">
        <v>0</v>
      </c>
      <c r="L330" t="n">
        <v>0</v>
      </c>
      <c r="M330" t="n">
        <v>0</v>
      </c>
      <c r="N330" t="n">
        <v>0</v>
      </c>
      <c r="O330" t="n">
        <v>0</v>
      </c>
      <c r="P330" t="n">
        <v>0</v>
      </c>
      <c r="Q330" t="n">
        <v>0</v>
      </c>
      <c r="R330" s="2" t="inlineStr"/>
    </row>
    <row r="331" ht="15" customHeight="1">
      <c r="A331" t="inlineStr">
        <is>
          <t>A 65280-2020</t>
        </is>
      </c>
      <c r="B331" s="1" t="n">
        <v>44172</v>
      </c>
      <c r="C331" s="1" t="n">
        <v>45939</v>
      </c>
      <c r="D331" t="inlineStr">
        <is>
          <t>VÄSTERNORRLANDS LÄN</t>
        </is>
      </c>
      <c r="E331" t="inlineStr">
        <is>
          <t>ÅNGE</t>
        </is>
      </c>
      <c r="F331" t="inlineStr">
        <is>
          <t>SCA</t>
        </is>
      </c>
      <c r="G331" t="n">
        <v>4</v>
      </c>
      <c r="H331" t="n">
        <v>0</v>
      </c>
      <c r="I331" t="n">
        <v>0</v>
      </c>
      <c r="J331" t="n">
        <v>0</v>
      </c>
      <c r="K331" t="n">
        <v>0</v>
      </c>
      <c r="L331" t="n">
        <v>0</v>
      </c>
      <c r="M331" t="n">
        <v>0</v>
      </c>
      <c r="N331" t="n">
        <v>0</v>
      </c>
      <c r="O331" t="n">
        <v>0</v>
      </c>
      <c r="P331" t="n">
        <v>0</v>
      </c>
      <c r="Q331" t="n">
        <v>0</v>
      </c>
      <c r="R331" s="2" t="inlineStr"/>
    </row>
    <row r="332" ht="15" customHeight="1">
      <c r="A332" t="inlineStr">
        <is>
          <t>A 35283-2022</t>
        </is>
      </c>
      <c r="B332" s="1" t="n">
        <v>44798.39916666667</v>
      </c>
      <c r="C332" s="1" t="n">
        <v>45939</v>
      </c>
      <c r="D332" t="inlineStr">
        <is>
          <t>VÄSTERNORRLANDS LÄN</t>
        </is>
      </c>
      <c r="E332" t="inlineStr">
        <is>
          <t>ÅNGE</t>
        </is>
      </c>
      <c r="G332" t="n">
        <v>4.5</v>
      </c>
      <c r="H332" t="n">
        <v>0</v>
      </c>
      <c r="I332" t="n">
        <v>0</v>
      </c>
      <c r="J332" t="n">
        <v>0</v>
      </c>
      <c r="K332" t="n">
        <v>0</v>
      </c>
      <c r="L332" t="n">
        <v>0</v>
      </c>
      <c r="M332" t="n">
        <v>0</v>
      </c>
      <c r="N332" t="n">
        <v>0</v>
      </c>
      <c r="O332" t="n">
        <v>0</v>
      </c>
      <c r="P332" t="n">
        <v>0</v>
      </c>
      <c r="Q332" t="n">
        <v>0</v>
      </c>
      <c r="R332" s="2" t="inlineStr"/>
    </row>
    <row r="333" ht="15" customHeight="1">
      <c r="A333" t="inlineStr">
        <is>
          <t>A 46351-2022</t>
        </is>
      </c>
      <c r="B333" s="1" t="n">
        <v>44847</v>
      </c>
      <c r="C333" s="1" t="n">
        <v>45939</v>
      </c>
      <c r="D333" t="inlineStr">
        <is>
          <t>VÄSTERNORRLANDS LÄN</t>
        </is>
      </c>
      <c r="E333" t="inlineStr">
        <is>
          <t>ÅNGE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29509-2021</t>
        </is>
      </c>
      <c r="B334" s="1" t="n">
        <v>44361</v>
      </c>
      <c r="C334" s="1" t="n">
        <v>45939</v>
      </c>
      <c r="D334" t="inlineStr">
        <is>
          <t>VÄSTERNORRLANDS LÄN</t>
        </is>
      </c>
      <c r="E334" t="inlineStr">
        <is>
          <t>ÅNGE</t>
        </is>
      </c>
      <c r="G334" t="n">
        <v>3.6</v>
      </c>
      <c r="H334" t="n">
        <v>0</v>
      </c>
      <c r="I334" t="n">
        <v>0</v>
      </c>
      <c r="J334" t="n">
        <v>0</v>
      </c>
      <c r="K334" t="n">
        <v>0</v>
      </c>
      <c r="L334" t="n">
        <v>0</v>
      </c>
      <c r="M334" t="n">
        <v>0</v>
      </c>
      <c r="N334" t="n">
        <v>0</v>
      </c>
      <c r="O334" t="n">
        <v>0</v>
      </c>
      <c r="P334" t="n">
        <v>0</v>
      </c>
      <c r="Q334" t="n">
        <v>0</v>
      </c>
      <c r="R334" s="2" t="inlineStr"/>
    </row>
    <row r="335" ht="15" customHeight="1">
      <c r="A335" t="inlineStr">
        <is>
          <t>A 18024-2022</t>
        </is>
      </c>
      <c r="B335" s="1" t="n">
        <v>44683.94383101852</v>
      </c>
      <c r="C335" s="1" t="n">
        <v>45939</v>
      </c>
      <c r="D335" t="inlineStr">
        <is>
          <t>VÄSTERNORRLANDS LÄN</t>
        </is>
      </c>
      <c r="E335" t="inlineStr">
        <is>
          <t>ÅNGE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33274-2022</t>
        </is>
      </c>
      <c r="B336" s="1" t="n">
        <v>44788</v>
      </c>
      <c r="C336" s="1" t="n">
        <v>45939</v>
      </c>
      <c r="D336" t="inlineStr">
        <is>
          <t>VÄSTERNORRLANDS LÄN</t>
        </is>
      </c>
      <c r="E336" t="inlineStr">
        <is>
          <t>ÅNGE</t>
        </is>
      </c>
      <c r="G336" t="n">
        <v>1.1</v>
      </c>
      <c r="H336" t="n">
        <v>0</v>
      </c>
      <c r="I336" t="n">
        <v>0</v>
      </c>
      <c r="J336" t="n">
        <v>0</v>
      </c>
      <c r="K336" t="n">
        <v>0</v>
      </c>
      <c r="L336" t="n">
        <v>0</v>
      </c>
      <c r="M336" t="n">
        <v>0</v>
      </c>
      <c r="N336" t="n">
        <v>0</v>
      </c>
      <c r="O336" t="n">
        <v>0</v>
      </c>
      <c r="P336" t="n">
        <v>0</v>
      </c>
      <c r="Q336" t="n">
        <v>0</v>
      </c>
      <c r="R336" s="2" t="inlineStr"/>
    </row>
    <row r="337" ht="15" customHeight="1">
      <c r="A337" t="inlineStr">
        <is>
          <t>A 44413-2022</t>
        </is>
      </c>
      <c r="B337" s="1" t="n">
        <v>44839.92630787037</v>
      </c>
      <c r="C337" s="1" t="n">
        <v>45939</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7633-2022</t>
        </is>
      </c>
      <c r="B338" s="1" t="n">
        <v>44607.71378472223</v>
      </c>
      <c r="C338" s="1" t="n">
        <v>45939</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17963-2022</t>
        </is>
      </c>
      <c r="B339" s="1" t="n">
        <v>44683</v>
      </c>
      <c r="C339" s="1" t="n">
        <v>45939</v>
      </c>
      <c r="D339" t="inlineStr">
        <is>
          <t>VÄSTERNORRLANDS LÄN</t>
        </is>
      </c>
      <c r="E339" t="inlineStr">
        <is>
          <t>ÅNGE</t>
        </is>
      </c>
      <c r="G339" t="n">
        <v>0.2</v>
      </c>
      <c r="H339" t="n">
        <v>0</v>
      </c>
      <c r="I339" t="n">
        <v>0</v>
      </c>
      <c r="J339" t="n">
        <v>0</v>
      </c>
      <c r="K339" t="n">
        <v>0</v>
      </c>
      <c r="L339" t="n">
        <v>0</v>
      </c>
      <c r="M339" t="n">
        <v>0</v>
      </c>
      <c r="N339" t="n">
        <v>0</v>
      </c>
      <c r="O339" t="n">
        <v>0</v>
      </c>
      <c r="P339" t="n">
        <v>0</v>
      </c>
      <c r="Q339" t="n">
        <v>0</v>
      </c>
      <c r="R339" s="2" t="inlineStr"/>
    </row>
    <row r="340" ht="15" customHeight="1">
      <c r="A340" t="inlineStr">
        <is>
          <t>A 47660-2022</t>
        </is>
      </c>
      <c r="B340" s="1" t="n">
        <v>44854.45766203704</v>
      </c>
      <c r="C340" s="1" t="n">
        <v>45939</v>
      </c>
      <c r="D340" t="inlineStr">
        <is>
          <t>VÄSTERNORRLANDS LÄN</t>
        </is>
      </c>
      <c r="E340" t="inlineStr">
        <is>
          <t>ÅNGE</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50710-2021</t>
        </is>
      </c>
      <c r="B341" s="1" t="n">
        <v>44460.366875</v>
      </c>
      <c r="C341" s="1" t="n">
        <v>45939</v>
      </c>
      <c r="D341" t="inlineStr">
        <is>
          <t>VÄSTERNORRLANDS LÄN</t>
        </is>
      </c>
      <c r="E341" t="inlineStr">
        <is>
          <t>ÅNGE</t>
        </is>
      </c>
      <c r="G341" t="n">
        <v>2.2</v>
      </c>
      <c r="H341" t="n">
        <v>0</v>
      </c>
      <c r="I341" t="n">
        <v>0</v>
      </c>
      <c r="J341" t="n">
        <v>0</v>
      </c>
      <c r="K341" t="n">
        <v>0</v>
      </c>
      <c r="L341" t="n">
        <v>0</v>
      </c>
      <c r="M341" t="n">
        <v>0</v>
      </c>
      <c r="N341" t="n">
        <v>0</v>
      </c>
      <c r="O341" t="n">
        <v>0</v>
      </c>
      <c r="P341" t="n">
        <v>0</v>
      </c>
      <c r="Q341" t="n">
        <v>0</v>
      </c>
      <c r="R341" s="2" t="inlineStr"/>
    </row>
    <row r="342" ht="15" customHeight="1">
      <c r="A342" t="inlineStr">
        <is>
          <t>A 61909-2021</t>
        </is>
      </c>
      <c r="B342" s="1" t="n">
        <v>44502.35310185186</v>
      </c>
      <c r="C342" s="1" t="n">
        <v>45939</v>
      </c>
      <c r="D342" t="inlineStr">
        <is>
          <t>VÄSTERNORRLANDS LÄN</t>
        </is>
      </c>
      <c r="E342" t="inlineStr">
        <is>
          <t>ÅNGE</t>
        </is>
      </c>
      <c r="G342" t="n">
        <v>2.4</v>
      </c>
      <c r="H342" t="n">
        <v>0</v>
      </c>
      <c r="I342" t="n">
        <v>0</v>
      </c>
      <c r="J342" t="n">
        <v>0</v>
      </c>
      <c r="K342" t="n">
        <v>0</v>
      </c>
      <c r="L342" t="n">
        <v>0</v>
      </c>
      <c r="M342" t="n">
        <v>0</v>
      </c>
      <c r="N342" t="n">
        <v>0</v>
      </c>
      <c r="O342" t="n">
        <v>0</v>
      </c>
      <c r="P342" t="n">
        <v>0</v>
      </c>
      <c r="Q342" t="n">
        <v>0</v>
      </c>
      <c r="R342" s="2" t="inlineStr"/>
    </row>
    <row r="343" ht="15" customHeight="1">
      <c r="A343" t="inlineStr">
        <is>
          <t>A 25020-2021</t>
        </is>
      </c>
      <c r="B343" s="1" t="n">
        <v>44341</v>
      </c>
      <c r="C343" s="1" t="n">
        <v>45939</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35496-2022</t>
        </is>
      </c>
      <c r="B344" s="1" t="n">
        <v>44798</v>
      </c>
      <c r="C344" s="1" t="n">
        <v>45939</v>
      </c>
      <c r="D344" t="inlineStr">
        <is>
          <t>VÄSTERNORRLANDS LÄN</t>
        </is>
      </c>
      <c r="E344" t="inlineStr">
        <is>
          <t>ÅNGE</t>
        </is>
      </c>
      <c r="F344" t="inlineStr">
        <is>
          <t>SCA</t>
        </is>
      </c>
      <c r="G344" t="n">
        <v>15.6</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45939</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45939</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56907-2021</t>
        </is>
      </c>
      <c r="B347" s="1" t="n">
        <v>44481.93837962963</v>
      </c>
      <c r="C347" s="1" t="n">
        <v>45939</v>
      </c>
      <c r="D347" t="inlineStr">
        <is>
          <t>VÄSTERNORRLANDS LÄN</t>
        </is>
      </c>
      <c r="E347" t="inlineStr">
        <is>
          <t>ÅNGE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45939</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12800-2021</t>
        </is>
      </c>
      <c r="B349" s="1" t="n">
        <v>44270.92056712963</v>
      </c>
      <c r="C349" s="1" t="n">
        <v>45939</v>
      </c>
      <c r="D349" t="inlineStr">
        <is>
          <t>VÄSTERNORRLANDS LÄN</t>
        </is>
      </c>
      <c r="E349" t="inlineStr">
        <is>
          <t>ÅNGE</t>
        </is>
      </c>
      <c r="G349" t="n">
        <v>0.6</v>
      </c>
      <c r="H349" t="n">
        <v>0</v>
      </c>
      <c r="I349" t="n">
        <v>0</v>
      </c>
      <c r="J349" t="n">
        <v>0</v>
      </c>
      <c r="K349" t="n">
        <v>0</v>
      </c>
      <c r="L349" t="n">
        <v>0</v>
      </c>
      <c r="M349" t="n">
        <v>0</v>
      </c>
      <c r="N349" t="n">
        <v>0</v>
      </c>
      <c r="O349" t="n">
        <v>0</v>
      </c>
      <c r="P349" t="n">
        <v>0</v>
      </c>
      <c r="Q349" t="n">
        <v>0</v>
      </c>
      <c r="R349" s="2" t="inlineStr"/>
    </row>
    <row r="350" ht="15" customHeight="1">
      <c r="A350" t="inlineStr">
        <is>
          <t>A 54469-2020</t>
        </is>
      </c>
      <c r="B350" s="1" t="n">
        <v>44126</v>
      </c>
      <c r="C350" s="1" t="n">
        <v>45939</v>
      </c>
      <c r="D350" t="inlineStr">
        <is>
          <t>VÄSTERNORRLANDS LÄN</t>
        </is>
      </c>
      <c r="E350" t="inlineStr">
        <is>
          <t>ÅNGE</t>
        </is>
      </c>
      <c r="G350" t="n">
        <v>4</v>
      </c>
      <c r="H350" t="n">
        <v>0</v>
      </c>
      <c r="I350" t="n">
        <v>0</v>
      </c>
      <c r="J350" t="n">
        <v>0</v>
      </c>
      <c r="K350" t="n">
        <v>0</v>
      </c>
      <c r="L350" t="n">
        <v>0</v>
      </c>
      <c r="M350" t="n">
        <v>0</v>
      </c>
      <c r="N350" t="n">
        <v>0</v>
      </c>
      <c r="O350" t="n">
        <v>0</v>
      </c>
      <c r="P350" t="n">
        <v>0</v>
      </c>
      <c r="Q350" t="n">
        <v>0</v>
      </c>
      <c r="R350" s="2" t="inlineStr"/>
    </row>
    <row r="351" ht="15" customHeight="1">
      <c r="A351" t="inlineStr">
        <is>
          <t>A 52504-2020</t>
        </is>
      </c>
      <c r="B351" s="1" t="n">
        <v>44113</v>
      </c>
      <c r="C351" s="1" t="n">
        <v>45939</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53010-2022</t>
        </is>
      </c>
      <c r="B352" s="1" t="n">
        <v>44875</v>
      </c>
      <c r="C352" s="1" t="n">
        <v>45939</v>
      </c>
      <c r="D352" t="inlineStr">
        <is>
          <t>VÄSTERNORRLANDS LÄN</t>
        </is>
      </c>
      <c r="E352" t="inlineStr">
        <is>
          <t>ÅNGE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18422-2021</t>
        </is>
      </c>
      <c r="B353" s="1" t="n">
        <v>44305</v>
      </c>
      <c r="C353" s="1" t="n">
        <v>45939</v>
      </c>
      <c r="D353" t="inlineStr">
        <is>
          <t>VÄSTERNORRLANDS LÄN</t>
        </is>
      </c>
      <c r="E353" t="inlineStr">
        <is>
          <t>ÅNGE</t>
        </is>
      </c>
      <c r="G353" t="n">
        <v>1.5</v>
      </c>
      <c r="H353" t="n">
        <v>0</v>
      </c>
      <c r="I353" t="n">
        <v>0</v>
      </c>
      <c r="J353" t="n">
        <v>0</v>
      </c>
      <c r="K353" t="n">
        <v>0</v>
      </c>
      <c r="L353" t="n">
        <v>0</v>
      </c>
      <c r="M353" t="n">
        <v>0</v>
      </c>
      <c r="N353" t="n">
        <v>0</v>
      </c>
      <c r="O353" t="n">
        <v>0</v>
      </c>
      <c r="P353" t="n">
        <v>0</v>
      </c>
      <c r="Q353" t="n">
        <v>0</v>
      </c>
      <c r="R353" s="2" t="inlineStr"/>
    </row>
    <row r="354" ht="15" customHeight="1">
      <c r="A354" t="inlineStr">
        <is>
          <t>A 2327-2021</t>
        </is>
      </c>
      <c r="B354" s="1" t="n">
        <v>44214</v>
      </c>
      <c r="C354" s="1" t="n">
        <v>45939</v>
      </c>
      <c r="D354" t="inlineStr">
        <is>
          <t>VÄSTERNORRLANDS LÄN</t>
        </is>
      </c>
      <c r="E354" t="inlineStr">
        <is>
          <t>ÅNGE</t>
        </is>
      </c>
      <c r="G354" t="n">
        <v>6.7</v>
      </c>
      <c r="H354" t="n">
        <v>0</v>
      </c>
      <c r="I354" t="n">
        <v>0</v>
      </c>
      <c r="J354" t="n">
        <v>0</v>
      </c>
      <c r="K354" t="n">
        <v>0</v>
      </c>
      <c r="L354" t="n">
        <v>0</v>
      </c>
      <c r="M354" t="n">
        <v>0</v>
      </c>
      <c r="N354" t="n">
        <v>0</v>
      </c>
      <c r="O354" t="n">
        <v>0</v>
      </c>
      <c r="P354" t="n">
        <v>0</v>
      </c>
      <c r="Q354" t="n">
        <v>0</v>
      </c>
      <c r="R354" s="2" t="inlineStr"/>
    </row>
    <row r="355" ht="15" customHeight="1">
      <c r="A355" t="inlineStr">
        <is>
          <t>A 46824-2021</t>
        </is>
      </c>
      <c r="B355" s="1" t="n">
        <v>44446.34271990741</v>
      </c>
      <c r="C355" s="1" t="n">
        <v>45939</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45939</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14587-2021</t>
        </is>
      </c>
      <c r="B357" s="1" t="n">
        <v>44279.91825231481</v>
      </c>
      <c r="C357" s="1" t="n">
        <v>45939</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21642-2021</t>
        </is>
      </c>
      <c r="B358" s="1" t="n">
        <v>44321.94239583334</v>
      </c>
      <c r="C358" s="1" t="n">
        <v>45939</v>
      </c>
      <c r="D358" t="inlineStr">
        <is>
          <t>VÄSTERNORRLANDS LÄN</t>
        </is>
      </c>
      <c r="E358" t="inlineStr">
        <is>
          <t>ÅNGE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45939</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51542-2022</t>
        </is>
      </c>
      <c r="B360" s="1" t="n">
        <v>44869.94850694444</v>
      </c>
      <c r="C360" s="1" t="n">
        <v>45939</v>
      </c>
      <c r="D360" t="inlineStr">
        <is>
          <t>VÄSTERNORRLANDS LÄN</t>
        </is>
      </c>
      <c r="E360" t="inlineStr">
        <is>
          <t>ÅNGE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46053-2021</t>
        </is>
      </c>
      <c r="B361" s="1" t="n">
        <v>44441</v>
      </c>
      <c r="C361" s="1" t="n">
        <v>45939</v>
      </c>
      <c r="D361" t="inlineStr">
        <is>
          <t>VÄSTERNORRLANDS LÄN</t>
        </is>
      </c>
      <c r="E361" t="inlineStr">
        <is>
          <t>ÅNGE</t>
        </is>
      </c>
      <c r="F361" t="inlineStr">
        <is>
          <t>SCA</t>
        </is>
      </c>
      <c r="G361" t="n">
        <v>0.2</v>
      </c>
      <c r="H361" t="n">
        <v>0</v>
      </c>
      <c r="I361" t="n">
        <v>0</v>
      </c>
      <c r="J361" t="n">
        <v>0</v>
      </c>
      <c r="K361" t="n">
        <v>0</v>
      </c>
      <c r="L361" t="n">
        <v>0</v>
      </c>
      <c r="M361" t="n">
        <v>0</v>
      </c>
      <c r="N361" t="n">
        <v>0</v>
      </c>
      <c r="O361" t="n">
        <v>0</v>
      </c>
      <c r="P361" t="n">
        <v>0</v>
      </c>
      <c r="Q361" t="n">
        <v>0</v>
      </c>
      <c r="R361" s="2" t="inlineStr"/>
    </row>
    <row r="362" ht="15" customHeight="1">
      <c r="A362" t="inlineStr">
        <is>
          <t>A 45145-2021</t>
        </is>
      </c>
      <c r="B362" s="1" t="n">
        <v>44439</v>
      </c>
      <c r="C362" s="1" t="n">
        <v>45939</v>
      </c>
      <c r="D362" t="inlineStr">
        <is>
          <t>VÄSTERNORRLANDS LÄN</t>
        </is>
      </c>
      <c r="E362" t="inlineStr">
        <is>
          <t>ÅNGE</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10342-2021</t>
        </is>
      </c>
      <c r="B363" s="1" t="n">
        <v>44257</v>
      </c>
      <c r="C363" s="1" t="n">
        <v>45939</v>
      </c>
      <c r="D363" t="inlineStr">
        <is>
          <t>VÄSTERNORRLANDS LÄN</t>
        </is>
      </c>
      <c r="E363" t="inlineStr">
        <is>
          <t>ÅNGE</t>
        </is>
      </c>
      <c r="G363" t="n">
        <v>1.8</v>
      </c>
      <c r="H363" t="n">
        <v>0</v>
      </c>
      <c r="I363" t="n">
        <v>0</v>
      </c>
      <c r="J363" t="n">
        <v>0</v>
      </c>
      <c r="K363" t="n">
        <v>0</v>
      </c>
      <c r="L363" t="n">
        <v>0</v>
      </c>
      <c r="M363" t="n">
        <v>0</v>
      </c>
      <c r="N363" t="n">
        <v>0</v>
      </c>
      <c r="O363" t="n">
        <v>0</v>
      </c>
      <c r="P363" t="n">
        <v>0</v>
      </c>
      <c r="Q363" t="n">
        <v>0</v>
      </c>
      <c r="R363" s="2" t="inlineStr"/>
    </row>
    <row r="364" ht="15" customHeight="1">
      <c r="A364" t="inlineStr">
        <is>
          <t>A 5552-2022</t>
        </is>
      </c>
      <c r="B364" s="1" t="n">
        <v>44595.62966435185</v>
      </c>
      <c r="C364" s="1" t="n">
        <v>45939</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71302-2021</t>
        </is>
      </c>
      <c r="B365" s="1" t="n">
        <v>44539.63871527778</v>
      </c>
      <c r="C365" s="1" t="n">
        <v>45939</v>
      </c>
      <c r="D365" t="inlineStr">
        <is>
          <t>VÄSTERNORRLANDS LÄN</t>
        </is>
      </c>
      <c r="E365" t="inlineStr">
        <is>
          <t>ÅNGE</t>
        </is>
      </c>
      <c r="G365" t="n">
        <v>0.5</v>
      </c>
      <c r="H365" t="n">
        <v>0</v>
      </c>
      <c r="I365" t="n">
        <v>0</v>
      </c>
      <c r="J365" t="n">
        <v>0</v>
      </c>
      <c r="K365" t="n">
        <v>0</v>
      </c>
      <c r="L365" t="n">
        <v>0</v>
      </c>
      <c r="M365" t="n">
        <v>0</v>
      </c>
      <c r="N365" t="n">
        <v>0</v>
      </c>
      <c r="O365" t="n">
        <v>0</v>
      </c>
      <c r="P365" t="n">
        <v>0</v>
      </c>
      <c r="Q365" t="n">
        <v>0</v>
      </c>
      <c r="R365" s="2" t="inlineStr"/>
    </row>
    <row r="366" ht="15" customHeight="1">
      <c r="A366" t="inlineStr">
        <is>
          <t>A 35026-2022</t>
        </is>
      </c>
      <c r="B366" s="1" t="n">
        <v>44796</v>
      </c>
      <c r="C366" s="1" t="n">
        <v>45939</v>
      </c>
      <c r="D366" t="inlineStr">
        <is>
          <t>VÄSTERNORRLANDS LÄN</t>
        </is>
      </c>
      <c r="E366" t="inlineStr">
        <is>
          <t>ÅNGE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55905-2021</t>
        </is>
      </c>
      <c r="B367" s="1" t="n">
        <v>44476.91895833334</v>
      </c>
      <c r="C367" s="1" t="n">
        <v>45939</v>
      </c>
      <c r="D367" t="inlineStr">
        <is>
          <t>VÄSTERNORRLANDS LÄN</t>
        </is>
      </c>
      <c r="E367" t="inlineStr">
        <is>
          <t>ÅNGE</t>
        </is>
      </c>
      <c r="G367" t="n">
        <v>0.9</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45939</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17580-2022</t>
        </is>
      </c>
      <c r="B369" s="1" t="n">
        <v>44679</v>
      </c>
      <c r="C369" s="1" t="n">
        <v>45939</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20807-2021</t>
        </is>
      </c>
      <c r="B370" s="1" t="n">
        <v>44316.93965277778</v>
      </c>
      <c r="C370" s="1" t="n">
        <v>45939</v>
      </c>
      <c r="D370" t="inlineStr">
        <is>
          <t>VÄSTERNORRLANDS LÄN</t>
        </is>
      </c>
      <c r="E370" t="inlineStr">
        <is>
          <t>ÅNGE</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32535-2022</t>
        </is>
      </c>
      <c r="B371" s="1" t="n">
        <v>44783.29856481482</v>
      </c>
      <c r="C371" s="1" t="n">
        <v>45939</v>
      </c>
      <c r="D371" t="inlineStr">
        <is>
          <t>VÄSTERNORRLANDS LÄN</t>
        </is>
      </c>
      <c r="E371" t="inlineStr">
        <is>
          <t>ÅNGE</t>
        </is>
      </c>
      <c r="G371" t="n">
        <v>10.3</v>
      </c>
      <c r="H371" t="n">
        <v>0</v>
      </c>
      <c r="I371" t="n">
        <v>0</v>
      </c>
      <c r="J371" t="n">
        <v>0</v>
      </c>
      <c r="K371" t="n">
        <v>0</v>
      </c>
      <c r="L371" t="n">
        <v>0</v>
      </c>
      <c r="M371" t="n">
        <v>0</v>
      </c>
      <c r="N371" t="n">
        <v>0</v>
      </c>
      <c r="O371" t="n">
        <v>0</v>
      </c>
      <c r="P371" t="n">
        <v>0</v>
      </c>
      <c r="Q371" t="n">
        <v>0</v>
      </c>
      <c r="R371" s="2" t="inlineStr"/>
    </row>
    <row r="372" ht="15" customHeight="1">
      <c r="A372" t="inlineStr">
        <is>
          <t>A 39594-2022</t>
        </is>
      </c>
      <c r="B372" s="1" t="n">
        <v>44818</v>
      </c>
      <c r="C372" s="1" t="n">
        <v>45939</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17594-2021</t>
        </is>
      </c>
      <c r="B373" s="1" t="n">
        <v>44299</v>
      </c>
      <c r="C373" s="1" t="n">
        <v>45939</v>
      </c>
      <c r="D373" t="inlineStr">
        <is>
          <t>VÄSTERNORRLANDS LÄN</t>
        </is>
      </c>
      <c r="E373" t="inlineStr">
        <is>
          <t>ÅNGE</t>
        </is>
      </c>
      <c r="G373" t="n">
        <v>0.8</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45939</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45939</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16978-2024</t>
        </is>
      </c>
      <c r="B376" s="1" t="n">
        <v>45412.02416666667</v>
      </c>
      <c r="C376" s="1" t="n">
        <v>45939</v>
      </c>
      <c r="D376" t="inlineStr">
        <is>
          <t>VÄSTERNORRLANDS LÄN</t>
        </is>
      </c>
      <c r="E376" t="inlineStr">
        <is>
          <t>ÅNGE</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53549-2023</t>
        </is>
      </c>
      <c r="B377" s="1" t="n">
        <v>45230</v>
      </c>
      <c r="C377" s="1" t="n">
        <v>45939</v>
      </c>
      <c r="D377" t="inlineStr">
        <is>
          <t>VÄSTERNORRLANDS LÄN</t>
        </is>
      </c>
      <c r="E377" t="inlineStr">
        <is>
          <t>ÅNGE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45939</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6263-2022</t>
        </is>
      </c>
      <c r="B379" s="1" t="n">
        <v>44600</v>
      </c>
      <c r="C379" s="1" t="n">
        <v>45939</v>
      </c>
      <c r="D379" t="inlineStr">
        <is>
          <t>VÄSTERNORRLANDS LÄN</t>
        </is>
      </c>
      <c r="E379" t="inlineStr">
        <is>
          <t>ÅNGE</t>
        </is>
      </c>
      <c r="G379" t="n">
        <v>1.4</v>
      </c>
      <c r="H379" t="n">
        <v>0</v>
      </c>
      <c r="I379" t="n">
        <v>0</v>
      </c>
      <c r="J379" t="n">
        <v>0</v>
      </c>
      <c r="K379" t="n">
        <v>0</v>
      </c>
      <c r="L379" t="n">
        <v>0</v>
      </c>
      <c r="M379" t="n">
        <v>0</v>
      </c>
      <c r="N379" t="n">
        <v>0</v>
      </c>
      <c r="O379" t="n">
        <v>0</v>
      </c>
      <c r="P379" t="n">
        <v>0</v>
      </c>
      <c r="Q379" t="n">
        <v>0</v>
      </c>
      <c r="R379" s="2" t="inlineStr"/>
    </row>
    <row r="380" ht="15" customHeight="1">
      <c r="A380" t="inlineStr">
        <is>
          <t>A 27953-2021</t>
        </is>
      </c>
      <c r="B380" s="1" t="n">
        <v>44354.9209375</v>
      </c>
      <c r="C380" s="1" t="n">
        <v>45939</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45939</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25023-2022</t>
        </is>
      </c>
      <c r="B382" s="1" t="n">
        <v>44728</v>
      </c>
      <c r="C382" s="1" t="n">
        <v>45939</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30365-2021</t>
        </is>
      </c>
      <c r="B383" s="1" t="n">
        <v>44364.45164351852</v>
      </c>
      <c r="C383" s="1" t="n">
        <v>45939</v>
      </c>
      <c r="D383" t="inlineStr">
        <is>
          <t>VÄSTERNORRLANDS LÄN</t>
        </is>
      </c>
      <c r="E383" t="inlineStr">
        <is>
          <t>ÅNGE</t>
        </is>
      </c>
      <c r="G383" t="n">
        <v>3.9</v>
      </c>
      <c r="H383" t="n">
        <v>0</v>
      </c>
      <c r="I383" t="n">
        <v>0</v>
      </c>
      <c r="J383" t="n">
        <v>0</v>
      </c>
      <c r="K383" t="n">
        <v>0</v>
      </c>
      <c r="L383" t="n">
        <v>0</v>
      </c>
      <c r="M383" t="n">
        <v>0</v>
      </c>
      <c r="N383" t="n">
        <v>0</v>
      </c>
      <c r="O383" t="n">
        <v>0</v>
      </c>
      <c r="P383" t="n">
        <v>0</v>
      </c>
      <c r="Q383" t="n">
        <v>0</v>
      </c>
      <c r="R383" s="2" t="inlineStr"/>
    </row>
    <row r="384" ht="15" customHeight="1">
      <c r="A384" t="inlineStr">
        <is>
          <t>A 17044-2022</t>
        </is>
      </c>
      <c r="B384" s="1" t="n">
        <v>44676</v>
      </c>
      <c r="C384" s="1" t="n">
        <v>45939</v>
      </c>
      <c r="D384" t="inlineStr">
        <is>
          <t>VÄSTERNORRLANDS LÄN</t>
        </is>
      </c>
      <c r="E384" t="inlineStr">
        <is>
          <t>ÅNGE</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33408-2021</t>
        </is>
      </c>
      <c r="B385" s="1" t="n">
        <v>44377</v>
      </c>
      <c r="C385" s="1" t="n">
        <v>45939</v>
      </c>
      <c r="D385" t="inlineStr">
        <is>
          <t>VÄSTERNORRLANDS LÄN</t>
        </is>
      </c>
      <c r="E385" t="inlineStr">
        <is>
          <t>ÅNGE</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37605-2021</t>
        </is>
      </c>
      <c r="B386" s="1" t="n">
        <v>44399</v>
      </c>
      <c r="C386" s="1" t="n">
        <v>45939</v>
      </c>
      <c r="D386" t="inlineStr">
        <is>
          <t>VÄSTERNORRLANDS LÄN</t>
        </is>
      </c>
      <c r="E386" t="inlineStr">
        <is>
          <t>ÅNGE</t>
        </is>
      </c>
      <c r="G386" t="n">
        <v>0.5</v>
      </c>
      <c r="H386" t="n">
        <v>0</v>
      </c>
      <c r="I386" t="n">
        <v>0</v>
      </c>
      <c r="J386" t="n">
        <v>0</v>
      </c>
      <c r="K386" t="n">
        <v>0</v>
      </c>
      <c r="L386" t="n">
        <v>0</v>
      </c>
      <c r="M386" t="n">
        <v>0</v>
      </c>
      <c r="N386" t="n">
        <v>0</v>
      </c>
      <c r="O386" t="n">
        <v>0</v>
      </c>
      <c r="P386" t="n">
        <v>0</v>
      </c>
      <c r="Q386" t="n">
        <v>0</v>
      </c>
      <c r="R386" s="2" t="inlineStr"/>
    </row>
    <row r="387" ht="15" customHeight="1">
      <c r="A387" t="inlineStr">
        <is>
          <t>A 37620-2021</t>
        </is>
      </c>
      <c r="B387" s="1" t="n">
        <v>44399</v>
      </c>
      <c r="C387" s="1" t="n">
        <v>45939</v>
      </c>
      <c r="D387" t="inlineStr">
        <is>
          <t>VÄSTERNORRLANDS LÄN</t>
        </is>
      </c>
      <c r="E387" t="inlineStr">
        <is>
          <t>ÅNGE</t>
        </is>
      </c>
      <c r="G387" t="n">
        <v>4.3</v>
      </c>
      <c r="H387" t="n">
        <v>0</v>
      </c>
      <c r="I387" t="n">
        <v>0</v>
      </c>
      <c r="J387" t="n">
        <v>0</v>
      </c>
      <c r="K387" t="n">
        <v>0</v>
      </c>
      <c r="L387" t="n">
        <v>0</v>
      </c>
      <c r="M387" t="n">
        <v>0</v>
      </c>
      <c r="N387" t="n">
        <v>0</v>
      </c>
      <c r="O387" t="n">
        <v>0</v>
      </c>
      <c r="P387" t="n">
        <v>0</v>
      </c>
      <c r="Q387" t="n">
        <v>0</v>
      </c>
      <c r="R387" s="2" t="inlineStr"/>
    </row>
    <row r="388" ht="15" customHeight="1">
      <c r="A388" t="inlineStr">
        <is>
          <t>A 31696-2022</t>
        </is>
      </c>
      <c r="B388" s="1" t="n">
        <v>44776</v>
      </c>
      <c r="C388" s="1" t="n">
        <v>45939</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58634-2023</t>
        </is>
      </c>
      <c r="B389" s="1" t="n">
        <v>45251</v>
      </c>
      <c r="C389" s="1" t="n">
        <v>45939</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70893-2021</t>
        </is>
      </c>
      <c r="B390" s="1" t="n">
        <v>44538</v>
      </c>
      <c r="C390" s="1" t="n">
        <v>45939</v>
      </c>
      <c r="D390" t="inlineStr">
        <is>
          <t>VÄSTERNORRLANDS LÄN</t>
        </is>
      </c>
      <c r="E390" t="inlineStr">
        <is>
          <t>ÅNGE</t>
        </is>
      </c>
      <c r="G390" t="n">
        <v>6.2</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45939</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70899-2021</t>
        </is>
      </c>
      <c r="B392" s="1" t="n">
        <v>44537</v>
      </c>
      <c r="C392" s="1" t="n">
        <v>45939</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74194-2021</t>
        </is>
      </c>
      <c r="B393" s="1" t="n">
        <v>44558.47333333334</v>
      </c>
      <c r="C393" s="1" t="n">
        <v>45939</v>
      </c>
      <c r="D393" t="inlineStr">
        <is>
          <t>VÄSTERNORRLANDS LÄN</t>
        </is>
      </c>
      <c r="E393" t="inlineStr">
        <is>
          <t>ÅNGE</t>
        </is>
      </c>
      <c r="G393" t="n">
        <v>1.9</v>
      </c>
      <c r="H393" t="n">
        <v>0</v>
      </c>
      <c r="I393" t="n">
        <v>0</v>
      </c>
      <c r="J393" t="n">
        <v>0</v>
      </c>
      <c r="K393" t="n">
        <v>0</v>
      </c>
      <c r="L393" t="n">
        <v>0</v>
      </c>
      <c r="M393" t="n">
        <v>0</v>
      </c>
      <c r="N393" t="n">
        <v>0</v>
      </c>
      <c r="O393" t="n">
        <v>0</v>
      </c>
      <c r="P393" t="n">
        <v>0</v>
      </c>
      <c r="Q393" t="n">
        <v>0</v>
      </c>
      <c r="R393" s="2" t="inlineStr"/>
    </row>
    <row r="394" ht="15" customHeight="1">
      <c r="A394" t="inlineStr">
        <is>
          <t>A 50640-2022</t>
        </is>
      </c>
      <c r="B394" s="1" t="n">
        <v>44866.94734953704</v>
      </c>
      <c r="C394" s="1" t="n">
        <v>45939</v>
      </c>
      <c r="D394" t="inlineStr">
        <is>
          <t>VÄSTERNORRLANDS LÄN</t>
        </is>
      </c>
      <c r="E394" t="inlineStr">
        <is>
          <t>ÅNGE</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13641-2022</t>
        </is>
      </c>
      <c r="B395" s="1" t="n">
        <v>44648</v>
      </c>
      <c r="C395" s="1" t="n">
        <v>45939</v>
      </c>
      <c r="D395" t="inlineStr">
        <is>
          <t>VÄSTERNORRLANDS LÄN</t>
        </is>
      </c>
      <c r="E395" t="inlineStr">
        <is>
          <t>ÅNGE</t>
        </is>
      </c>
      <c r="G395" t="n">
        <v>4.9</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45939</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20108-2025</t>
        </is>
      </c>
      <c r="B397" s="1" t="n">
        <v>45772.47006944445</v>
      </c>
      <c r="C397" s="1" t="n">
        <v>45939</v>
      </c>
      <c r="D397" t="inlineStr">
        <is>
          <t>VÄSTERNORRLANDS LÄN</t>
        </is>
      </c>
      <c r="E397" t="inlineStr">
        <is>
          <t>ÅNGE</t>
        </is>
      </c>
      <c r="F397" t="inlineStr">
        <is>
          <t>Naturvårdsverket</t>
        </is>
      </c>
      <c r="G397" t="n">
        <v>2</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45939</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16853-2023</t>
        </is>
      </c>
      <c r="B399" s="1" t="n">
        <v>45033</v>
      </c>
      <c r="C399" s="1" t="n">
        <v>45939</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20369-2022</t>
        </is>
      </c>
      <c r="B400" s="1" t="n">
        <v>44699.41140046297</v>
      </c>
      <c r="C400" s="1" t="n">
        <v>45939</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5113-2022</t>
        </is>
      </c>
      <c r="B401" s="1" t="n">
        <v>44593.93362268519</v>
      </c>
      <c r="C401" s="1" t="n">
        <v>45939</v>
      </c>
      <c r="D401" t="inlineStr">
        <is>
          <t>VÄSTERNORRLANDS LÄN</t>
        </is>
      </c>
      <c r="E401" t="inlineStr">
        <is>
          <t>ÅNGE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31668-2021</t>
        </is>
      </c>
      <c r="B402" s="1" t="n">
        <v>44369</v>
      </c>
      <c r="C402" s="1" t="n">
        <v>45939</v>
      </c>
      <c r="D402" t="inlineStr">
        <is>
          <t>VÄSTERNORRLANDS LÄN</t>
        </is>
      </c>
      <c r="E402" t="inlineStr">
        <is>
          <t>ÅNGE</t>
        </is>
      </c>
      <c r="F402" t="inlineStr">
        <is>
          <t>Kyrkan</t>
        </is>
      </c>
      <c r="G402" t="n">
        <v>3.6</v>
      </c>
      <c r="H402" t="n">
        <v>0</v>
      </c>
      <c r="I402" t="n">
        <v>0</v>
      </c>
      <c r="J402" t="n">
        <v>0</v>
      </c>
      <c r="K402" t="n">
        <v>0</v>
      </c>
      <c r="L402" t="n">
        <v>0</v>
      </c>
      <c r="M402" t="n">
        <v>0</v>
      </c>
      <c r="N402" t="n">
        <v>0</v>
      </c>
      <c r="O402" t="n">
        <v>0</v>
      </c>
      <c r="P402" t="n">
        <v>0</v>
      </c>
      <c r="Q402" t="n">
        <v>0</v>
      </c>
      <c r="R402" s="2" t="inlineStr"/>
    </row>
    <row r="403" ht="15" customHeight="1">
      <c r="A403" t="inlineStr">
        <is>
          <t>A 32328-2021</t>
        </is>
      </c>
      <c r="B403" s="1" t="n">
        <v>44371.55924768518</v>
      </c>
      <c r="C403" s="1" t="n">
        <v>45939</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63709-2023</t>
        </is>
      </c>
      <c r="B404" s="1" t="n">
        <v>45275.95069444444</v>
      </c>
      <c r="C404" s="1" t="n">
        <v>45939</v>
      </c>
      <c r="D404" t="inlineStr">
        <is>
          <t>VÄSTERNORRLANDS LÄN</t>
        </is>
      </c>
      <c r="E404" t="inlineStr">
        <is>
          <t>ÅNGE</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34091-2022</t>
        </is>
      </c>
      <c r="B405" s="1" t="n">
        <v>44791</v>
      </c>
      <c r="C405" s="1" t="n">
        <v>45939</v>
      </c>
      <c r="D405" t="inlineStr">
        <is>
          <t>VÄSTERNORRLANDS LÄN</t>
        </is>
      </c>
      <c r="E405" t="inlineStr">
        <is>
          <t>ÅNGE</t>
        </is>
      </c>
      <c r="G405" t="n">
        <v>10.1</v>
      </c>
      <c r="H405" t="n">
        <v>0</v>
      </c>
      <c r="I405" t="n">
        <v>0</v>
      </c>
      <c r="J405" t="n">
        <v>0</v>
      </c>
      <c r="K405" t="n">
        <v>0</v>
      </c>
      <c r="L405" t="n">
        <v>0</v>
      </c>
      <c r="M405" t="n">
        <v>0</v>
      </c>
      <c r="N405" t="n">
        <v>0</v>
      </c>
      <c r="O405" t="n">
        <v>0</v>
      </c>
      <c r="P405" t="n">
        <v>0</v>
      </c>
      <c r="Q405" t="n">
        <v>0</v>
      </c>
      <c r="R405" s="2" t="inlineStr"/>
    </row>
    <row r="406" ht="15" customHeight="1">
      <c r="A406" t="inlineStr">
        <is>
          <t>A 61761-2021</t>
        </is>
      </c>
      <c r="B406" s="1" t="n">
        <v>44501</v>
      </c>
      <c r="C406" s="1" t="n">
        <v>45939</v>
      </c>
      <c r="D406" t="inlineStr">
        <is>
          <t>VÄSTERNORRLANDS LÄN</t>
        </is>
      </c>
      <c r="E406" t="inlineStr">
        <is>
          <t>ÅNGE</t>
        </is>
      </c>
      <c r="G406" t="n">
        <v>0.3</v>
      </c>
      <c r="H406" t="n">
        <v>0</v>
      </c>
      <c r="I406" t="n">
        <v>0</v>
      </c>
      <c r="J406" t="n">
        <v>0</v>
      </c>
      <c r="K406" t="n">
        <v>0</v>
      </c>
      <c r="L406" t="n">
        <v>0</v>
      </c>
      <c r="M406" t="n">
        <v>0</v>
      </c>
      <c r="N406" t="n">
        <v>0</v>
      </c>
      <c r="O406" t="n">
        <v>0</v>
      </c>
      <c r="P406" t="n">
        <v>0</v>
      </c>
      <c r="Q406" t="n">
        <v>0</v>
      </c>
      <c r="R406" s="2" t="inlineStr"/>
    </row>
    <row r="407" ht="15" customHeight="1">
      <c r="A407" t="inlineStr">
        <is>
          <t>A 3022-2023</t>
        </is>
      </c>
      <c r="B407" s="1" t="n">
        <v>44945</v>
      </c>
      <c r="C407" s="1" t="n">
        <v>45939</v>
      </c>
      <c r="D407" t="inlineStr">
        <is>
          <t>VÄSTERNORRLANDS LÄN</t>
        </is>
      </c>
      <c r="E407" t="inlineStr">
        <is>
          <t>ÅNGE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37621-2021</t>
        </is>
      </c>
      <c r="B408" s="1" t="n">
        <v>44399</v>
      </c>
      <c r="C408" s="1" t="n">
        <v>45939</v>
      </c>
      <c r="D408" t="inlineStr">
        <is>
          <t>VÄSTERNORRLANDS LÄN</t>
        </is>
      </c>
      <c r="E408" t="inlineStr">
        <is>
          <t>ÅNGE</t>
        </is>
      </c>
      <c r="G408" t="n">
        <v>2.5</v>
      </c>
      <c r="H408" t="n">
        <v>0</v>
      </c>
      <c r="I408" t="n">
        <v>0</v>
      </c>
      <c r="J408" t="n">
        <v>0</v>
      </c>
      <c r="K408" t="n">
        <v>0</v>
      </c>
      <c r="L408" t="n">
        <v>0</v>
      </c>
      <c r="M408" t="n">
        <v>0</v>
      </c>
      <c r="N408" t="n">
        <v>0</v>
      </c>
      <c r="O408" t="n">
        <v>0</v>
      </c>
      <c r="P408" t="n">
        <v>0</v>
      </c>
      <c r="Q408" t="n">
        <v>0</v>
      </c>
      <c r="R408" s="2" t="inlineStr"/>
    </row>
    <row r="409" ht="15" customHeight="1">
      <c r="A409" t="inlineStr">
        <is>
          <t>A 30768-2022</t>
        </is>
      </c>
      <c r="B409" s="1" t="n">
        <v>44764.53608796297</v>
      </c>
      <c r="C409" s="1" t="n">
        <v>45939</v>
      </c>
      <c r="D409" t="inlineStr">
        <is>
          <t>VÄSTERNORRLANDS LÄN</t>
        </is>
      </c>
      <c r="E409" t="inlineStr">
        <is>
          <t>ÅNGE</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35577-2024</t>
        </is>
      </c>
      <c r="B410" s="1" t="n">
        <v>45531</v>
      </c>
      <c r="C410" s="1" t="n">
        <v>45939</v>
      </c>
      <c r="D410" t="inlineStr">
        <is>
          <t>VÄSTERNORRLANDS LÄN</t>
        </is>
      </c>
      <c r="E410" t="inlineStr">
        <is>
          <t>ÅNGE</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35580-2024</t>
        </is>
      </c>
      <c r="B411" s="1" t="n">
        <v>45531</v>
      </c>
      <c r="C411" s="1" t="n">
        <v>45939</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66233-2021</t>
        </is>
      </c>
      <c r="B412" s="1" t="n">
        <v>44518.39234953704</v>
      </c>
      <c r="C412" s="1" t="n">
        <v>45939</v>
      </c>
      <c r="D412" t="inlineStr">
        <is>
          <t>VÄSTERNORRLANDS LÄN</t>
        </is>
      </c>
      <c r="E412" t="inlineStr">
        <is>
          <t>ÅNGE</t>
        </is>
      </c>
      <c r="G412" t="n">
        <v>3.1</v>
      </c>
      <c r="H412" t="n">
        <v>0</v>
      </c>
      <c r="I412" t="n">
        <v>0</v>
      </c>
      <c r="J412" t="n">
        <v>0</v>
      </c>
      <c r="K412" t="n">
        <v>0</v>
      </c>
      <c r="L412" t="n">
        <v>0</v>
      </c>
      <c r="M412" t="n">
        <v>0</v>
      </c>
      <c r="N412" t="n">
        <v>0</v>
      </c>
      <c r="O412" t="n">
        <v>0</v>
      </c>
      <c r="P412" t="n">
        <v>0</v>
      </c>
      <c r="Q412" t="n">
        <v>0</v>
      </c>
      <c r="R412" s="2" t="inlineStr"/>
    </row>
    <row r="413" ht="15" customHeight="1">
      <c r="A413" t="inlineStr">
        <is>
          <t>A 54342-2023</t>
        </is>
      </c>
      <c r="B413" s="1" t="n">
        <v>45232</v>
      </c>
      <c r="C413" s="1" t="n">
        <v>45939</v>
      </c>
      <c r="D413" t="inlineStr">
        <is>
          <t>VÄSTERNORRLANDS LÄN</t>
        </is>
      </c>
      <c r="E413" t="inlineStr">
        <is>
          <t>ÅNGE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51555-2022</t>
        </is>
      </c>
      <c r="B414" s="1" t="n">
        <v>44869.9495949074</v>
      </c>
      <c r="C414" s="1" t="n">
        <v>45939</v>
      </c>
      <c r="D414" t="inlineStr">
        <is>
          <t>VÄSTERNORRLANDS LÄN</t>
        </is>
      </c>
      <c r="E414" t="inlineStr">
        <is>
          <t>ÅNGE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45631-2021</t>
        </is>
      </c>
      <c r="B415" s="1" t="n">
        <v>44440.98045138889</v>
      </c>
      <c r="C415" s="1" t="n">
        <v>45939</v>
      </c>
      <c r="D415" t="inlineStr">
        <is>
          <t>VÄSTERNORRLANDS LÄN</t>
        </is>
      </c>
      <c r="E415" t="inlineStr">
        <is>
          <t>ÅNGE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39021-2024</t>
        </is>
      </c>
      <c r="B416" s="1" t="n">
        <v>45548</v>
      </c>
      <c r="C416" s="1" t="n">
        <v>45939</v>
      </c>
      <c r="D416" t="inlineStr">
        <is>
          <t>VÄSTERNORRLANDS LÄN</t>
        </is>
      </c>
      <c r="E416" t="inlineStr">
        <is>
          <t>ÅNGE</t>
        </is>
      </c>
      <c r="G416" t="n">
        <v>2.5</v>
      </c>
      <c r="H416" t="n">
        <v>0</v>
      </c>
      <c r="I416" t="n">
        <v>0</v>
      </c>
      <c r="J416" t="n">
        <v>0</v>
      </c>
      <c r="K416" t="n">
        <v>0</v>
      </c>
      <c r="L416" t="n">
        <v>0</v>
      </c>
      <c r="M416" t="n">
        <v>0</v>
      </c>
      <c r="N416" t="n">
        <v>0</v>
      </c>
      <c r="O416" t="n">
        <v>0</v>
      </c>
      <c r="P416" t="n">
        <v>0</v>
      </c>
      <c r="Q416" t="n">
        <v>0</v>
      </c>
      <c r="R416" s="2" t="inlineStr"/>
    </row>
    <row r="417" ht="15" customHeight="1">
      <c r="A417" t="inlineStr">
        <is>
          <t>A 57592-2022</t>
        </is>
      </c>
      <c r="B417" s="1" t="n">
        <v>44896.97841435186</v>
      </c>
      <c r="C417" s="1" t="n">
        <v>45939</v>
      </c>
      <c r="D417" t="inlineStr">
        <is>
          <t>VÄSTERNORRLANDS LÄN</t>
        </is>
      </c>
      <c r="E417" t="inlineStr">
        <is>
          <t>ÅNGE</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57602-2022</t>
        </is>
      </c>
      <c r="B418" s="1" t="n">
        <v>44896</v>
      </c>
      <c r="C418" s="1" t="n">
        <v>45939</v>
      </c>
      <c r="D418" t="inlineStr">
        <is>
          <t>VÄSTERNORRLANDS LÄN</t>
        </is>
      </c>
      <c r="E418" t="inlineStr">
        <is>
          <t>ÅNGE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20231-2022</t>
        </is>
      </c>
      <c r="B419" s="1" t="n">
        <v>44698</v>
      </c>
      <c r="C419" s="1" t="n">
        <v>45939</v>
      </c>
      <c r="D419" t="inlineStr">
        <is>
          <t>VÄSTERNORRLANDS LÄN</t>
        </is>
      </c>
      <c r="E419" t="inlineStr">
        <is>
          <t>ÅNGE</t>
        </is>
      </c>
      <c r="G419" t="n">
        <v>4.2</v>
      </c>
      <c r="H419" t="n">
        <v>0</v>
      </c>
      <c r="I419" t="n">
        <v>0</v>
      </c>
      <c r="J419" t="n">
        <v>0</v>
      </c>
      <c r="K419" t="n">
        <v>0</v>
      </c>
      <c r="L419" t="n">
        <v>0</v>
      </c>
      <c r="M419" t="n">
        <v>0</v>
      </c>
      <c r="N419" t="n">
        <v>0</v>
      </c>
      <c r="O419" t="n">
        <v>0</v>
      </c>
      <c r="P419" t="n">
        <v>0</v>
      </c>
      <c r="Q419" t="n">
        <v>0</v>
      </c>
      <c r="R419" s="2" t="inlineStr"/>
    </row>
    <row r="420" ht="15" customHeight="1">
      <c r="A420" t="inlineStr">
        <is>
          <t>A 39985-2023</t>
        </is>
      </c>
      <c r="B420" s="1" t="n">
        <v>45168</v>
      </c>
      <c r="C420" s="1" t="n">
        <v>45939</v>
      </c>
      <c r="D420" t="inlineStr">
        <is>
          <t>VÄSTERNORRLANDS LÄN</t>
        </is>
      </c>
      <c r="E420" t="inlineStr">
        <is>
          <t>ÅNGE</t>
        </is>
      </c>
      <c r="G420" t="n">
        <v>0.1</v>
      </c>
      <c r="H420" t="n">
        <v>0</v>
      </c>
      <c r="I420" t="n">
        <v>0</v>
      </c>
      <c r="J420" t="n">
        <v>0</v>
      </c>
      <c r="K420" t="n">
        <v>0</v>
      </c>
      <c r="L420" t="n">
        <v>0</v>
      </c>
      <c r="M420" t="n">
        <v>0</v>
      </c>
      <c r="N420" t="n">
        <v>0</v>
      </c>
      <c r="O420" t="n">
        <v>0</v>
      </c>
      <c r="P420" t="n">
        <v>0</v>
      </c>
      <c r="Q420" t="n">
        <v>0</v>
      </c>
      <c r="R420" s="2" t="inlineStr"/>
    </row>
    <row r="421" ht="15" customHeight="1">
      <c r="A421" t="inlineStr">
        <is>
          <t>A 51494-2022</t>
        </is>
      </c>
      <c r="B421" s="1" t="n">
        <v>44869</v>
      </c>
      <c r="C421" s="1" t="n">
        <v>45939</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13875-2022</t>
        </is>
      </c>
      <c r="B422" s="1" t="n">
        <v>44649</v>
      </c>
      <c r="C422" s="1" t="n">
        <v>45939</v>
      </c>
      <c r="D422" t="inlineStr">
        <is>
          <t>VÄSTERNORRLANDS LÄN</t>
        </is>
      </c>
      <c r="E422" t="inlineStr">
        <is>
          <t>ÅNGE</t>
        </is>
      </c>
      <c r="G422" t="n">
        <v>1.3</v>
      </c>
      <c r="H422" t="n">
        <v>0</v>
      </c>
      <c r="I422" t="n">
        <v>0</v>
      </c>
      <c r="J422" t="n">
        <v>0</v>
      </c>
      <c r="K422" t="n">
        <v>0</v>
      </c>
      <c r="L422" t="n">
        <v>0</v>
      </c>
      <c r="M422" t="n">
        <v>0</v>
      </c>
      <c r="N422" t="n">
        <v>0</v>
      </c>
      <c r="O422" t="n">
        <v>0</v>
      </c>
      <c r="P422" t="n">
        <v>0</v>
      </c>
      <c r="Q422" t="n">
        <v>0</v>
      </c>
      <c r="R422" s="2" t="inlineStr"/>
    </row>
    <row r="423" ht="15" customHeight="1">
      <c r="A423" t="inlineStr">
        <is>
          <t>A 58748-2023</t>
        </is>
      </c>
      <c r="B423" s="1" t="n">
        <v>45251.92936342592</v>
      </c>
      <c r="C423" s="1" t="n">
        <v>45939</v>
      </c>
      <c r="D423" t="inlineStr">
        <is>
          <t>VÄSTERNORRLANDS LÄN</t>
        </is>
      </c>
      <c r="E423" t="inlineStr">
        <is>
          <t>ÅNGE</t>
        </is>
      </c>
      <c r="G423" t="n">
        <v>2.7</v>
      </c>
      <c r="H423" t="n">
        <v>0</v>
      </c>
      <c r="I423" t="n">
        <v>0</v>
      </c>
      <c r="J423" t="n">
        <v>0</v>
      </c>
      <c r="K423" t="n">
        <v>0</v>
      </c>
      <c r="L423" t="n">
        <v>0</v>
      </c>
      <c r="M423" t="n">
        <v>0</v>
      </c>
      <c r="N423" t="n">
        <v>0</v>
      </c>
      <c r="O423" t="n">
        <v>0</v>
      </c>
      <c r="P423" t="n">
        <v>0</v>
      </c>
      <c r="Q423" t="n">
        <v>0</v>
      </c>
      <c r="R423" s="2" t="inlineStr"/>
    </row>
    <row r="424" ht="15" customHeight="1">
      <c r="A424" t="inlineStr">
        <is>
          <t>A 52637-2020</t>
        </is>
      </c>
      <c r="B424" s="1" t="n">
        <v>44118</v>
      </c>
      <c r="C424" s="1" t="n">
        <v>45939</v>
      </c>
      <c r="D424" t="inlineStr">
        <is>
          <t>VÄSTERNORRLANDS LÄN</t>
        </is>
      </c>
      <c r="E424" t="inlineStr">
        <is>
          <t>ÅNGE</t>
        </is>
      </c>
      <c r="G424" t="n">
        <v>2.6</v>
      </c>
      <c r="H424" t="n">
        <v>0</v>
      </c>
      <c r="I424" t="n">
        <v>0</v>
      </c>
      <c r="J424" t="n">
        <v>0</v>
      </c>
      <c r="K424" t="n">
        <v>0</v>
      </c>
      <c r="L424" t="n">
        <v>0</v>
      </c>
      <c r="M424" t="n">
        <v>0</v>
      </c>
      <c r="N424" t="n">
        <v>0</v>
      </c>
      <c r="O424" t="n">
        <v>0</v>
      </c>
      <c r="P424" t="n">
        <v>0</v>
      </c>
      <c r="Q424" t="n">
        <v>0</v>
      </c>
      <c r="R424" s="2" t="inlineStr"/>
    </row>
    <row r="425" ht="15" customHeight="1">
      <c r="A425" t="inlineStr">
        <is>
          <t>A 46255-2023</t>
        </is>
      </c>
      <c r="B425" s="1" t="n">
        <v>45196</v>
      </c>
      <c r="C425" s="1" t="n">
        <v>45939</v>
      </c>
      <c r="D425" t="inlineStr">
        <is>
          <t>VÄSTERNORRLANDS LÄN</t>
        </is>
      </c>
      <c r="E425" t="inlineStr">
        <is>
          <t>ÅNGE</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43552-2023</t>
        </is>
      </c>
      <c r="B426" s="1" t="n">
        <v>45181</v>
      </c>
      <c r="C426" s="1" t="n">
        <v>45939</v>
      </c>
      <c r="D426" t="inlineStr">
        <is>
          <t>VÄSTERNORRLANDS LÄN</t>
        </is>
      </c>
      <c r="E426" t="inlineStr">
        <is>
          <t>ÅNGE</t>
        </is>
      </c>
      <c r="F426" t="inlineStr">
        <is>
          <t>SCA</t>
        </is>
      </c>
      <c r="G426" t="n">
        <v>7.3</v>
      </c>
      <c r="H426" t="n">
        <v>0</v>
      </c>
      <c r="I426" t="n">
        <v>0</v>
      </c>
      <c r="J426" t="n">
        <v>0</v>
      </c>
      <c r="K426" t="n">
        <v>0</v>
      </c>
      <c r="L426" t="n">
        <v>0</v>
      </c>
      <c r="M426" t="n">
        <v>0</v>
      </c>
      <c r="N426" t="n">
        <v>0</v>
      </c>
      <c r="O426" t="n">
        <v>0</v>
      </c>
      <c r="P426" t="n">
        <v>0</v>
      </c>
      <c r="Q426" t="n">
        <v>0</v>
      </c>
      <c r="R426" s="2" t="inlineStr"/>
    </row>
    <row r="427" ht="15" customHeight="1">
      <c r="A427" t="inlineStr">
        <is>
          <t>A 2365-2024</t>
        </is>
      </c>
      <c r="B427" s="1" t="n">
        <v>45310.59778935185</v>
      </c>
      <c r="C427" s="1" t="n">
        <v>45939</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2372-2024</t>
        </is>
      </c>
      <c r="B428" s="1" t="n">
        <v>45310.6115625</v>
      </c>
      <c r="C428" s="1" t="n">
        <v>45939</v>
      </c>
      <c r="D428" t="inlineStr">
        <is>
          <t>VÄSTERNORRLANDS LÄN</t>
        </is>
      </c>
      <c r="E428" t="inlineStr">
        <is>
          <t>ÅNGE</t>
        </is>
      </c>
      <c r="G428" t="n">
        <v>5.6</v>
      </c>
      <c r="H428" t="n">
        <v>0</v>
      </c>
      <c r="I428" t="n">
        <v>0</v>
      </c>
      <c r="J428" t="n">
        <v>0</v>
      </c>
      <c r="K428" t="n">
        <v>0</v>
      </c>
      <c r="L428" t="n">
        <v>0</v>
      </c>
      <c r="M428" t="n">
        <v>0</v>
      </c>
      <c r="N428" t="n">
        <v>0</v>
      </c>
      <c r="O428" t="n">
        <v>0</v>
      </c>
      <c r="P428" t="n">
        <v>0</v>
      </c>
      <c r="Q428" t="n">
        <v>0</v>
      </c>
      <c r="R428" s="2" t="inlineStr"/>
    </row>
    <row r="429" ht="15" customHeight="1">
      <c r="A429" t="inlineStr">
        <is>
          <t>A 17452-2025</t>
        </is>
      </c>
      <c r="B429" s="1" t="n">
        <v>45757.44842592593</v>
      </c>
      <c r="C429" s="1" t="n">
        <v>45939</v>
      </c>
      <c r="D429" t="inlineStr">
        <is>
          <t>VÄSTERNORRLANDS LÄN</t>
        </is>
      </c>
      <c r="E429" t="inlineStr">
        <is>
          <t>ÅNGE</t>
        </is>
      </c>
      <c r="F429" t="inlineStr">
        <is>
          <t>SCA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30286-2021</t>
        </is>
      </c>
      <c r="B430" s="1" t="n">
        <v>44363</v>
      </c>
      <c r="C430" s="1" t="n">
        <v>45939</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46775-2024</t>
        </is>
      </c>
      <c r="B431" s="1" t="n">
        <v>45583.49711805556</v>
      </c>
      <c r="C431" s="1" t="n">
        <v>45939</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46780-2024</t>
        </is>
      </c>
      <c r="B432" s="1" t="n">
        <v>45583.51076388889</v>
      </c>
      <c r="C432" s="1" t="n">
        <v>45939</v>
      </c>
      <c r="D432" t="inlineStr">
        <is>
          <t>VÄSTERNORRLANDS LÄN</t>
        </is>
      </c>
      <c r="E432" t="inlineStr">
        <is>
          <t>ÅNGE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60064-2020</t>
        </is>
      </c>
      <c r="B433" s="1" t="n">
        <v>44151</v>
      </c>
      <c r="C433" s="1" t="n">
        <v>45939</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18880-2024</t>
        </is>
      </c>
      <c r="B434" s="1" t="n">
        <v>45426</v>
      </c>
      <c r="C434" s="1" t="n">
        <v>45939</v>
      </c>
      <c r="D434" t="inlineStr">
        <is>
          <t>VÄSTERNORRLANDS LÄN</t>
        </is>
      </c>
      <c r="E434" t="inlineStr">
        <is>
          <t>ÅNGE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4876-2023</t>
        </is>
      </c>
      <c r="B435" s="1" t="n">
        <v>44957.94023148148</v>
      </c>
      <c r="C435" s="1" t="n">
        <v>45939</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55558-2024</t>
        </is>
      </c>
      <c r="B436" s="1" t="n">
        <v>45622.52586805556</v>
      </c>
      <c r="C436" s="1" t="n">
        <v>45939</v>
      </c>
      <c r="D436" t="inlineStr">
        <is>
          <t>VÄSTERNORRLANDS LÄN</t>
        </is>
      </c>
      <c r="E436" t="inlineStr">
        <is>
          <t>ÅNGE</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3362-2023</t>
        </is>
      </c>
      <c r="B437" s="1" t="n">
        <v>44945</v>
      </c>
      <c r="C437" s="1" t="n">
        <v>45939</v>
      </c>
      <c r="D437" t="inlineStr">
        <is>
          <t>VÄSTERNORRLANDS LÄN</t>
        </is>
      </c>
      <c r="E437" t="inlineStr">
        <is>
          <t>ÅNGE</t>
        </is>
      </c>
      <c r="G437" t="n">
        <v>1</v>
      </c>
      <c r="H437" t="n">
        <v>0</v>
      </c>
      <c r="I437" t="n">
        <v>0</v>
      </c>
      <c r="J437" t="n">
        <v>0</v>
      </c>
      <c r="K437" t="n">
        <v>0</v>
      </c>
      <c r="L437" t="n">
        <v>0</v>
      </c>
      <c r="M437" t="n">
        <v>0</v>
      </c>
      <c r="N437" t="n">
        <v>0</v>
      </c>
      <c r="O437" t="n">
        <v>0</v>
      </c>
      <c r="P437" t="n">
        <v>0</v>
      </c>
      <c r="Q437" t="n">
        <v>0</v>
      </c>
      <c r="R437" s="2" t="inlineStr"/>
    </row>
    <row r="438" ht="15" customHeight="1">
      <c r="A438" t="inlineStr">
        <is>
          <t>A 20229-2022</t>
        </is>
      </c>
      <c r="B438" s="1" t="n">
        <v>44698.61150462963</v>
      </c>
      <c r="C438" s="1" t="n">
        <v>45939</v>
      </c>
      <c r="D438" t="inlineStr">
        <is>
          <t>VÄSTERNORRLANDS LÄN</t>
        </is>
      </c>
      <c r="E438" t="inlineStr">
        <is>
          <t>ÅNGE</t>
        </is>
      </c>
      <c r="G438" t="n">
        <v>1.1</v>
      </c>
      <c r="H438" t="n">
        <v>0</v>
      </c>
      <c r="I438" t="n">
        <v>0</v>
      </c>
      <c r="J438" t="n">
        <v>0</v>
      </c>
      <c r="K438" t="n">
        <v>0</v>
      </c>
      <c r="L438" t="n">
        <v>0</v>
      </c>
      <c r="M438" t="n">
        <v>0</v>
      </c>
      <c r="N438" t="n">
        <v>0</v>
      </c>
      <c r="O438" t="n">
        <v>0</v>
      </c>
      <c r="P438" t="n">
        <v>0</v>
      </c>
      <c r="Q438" t="n">
        <v>0</v>
      </c>
      <c r="R438" s="2" t="inlineStr"/>
    </row>
    <row r="439" ht="15" customHeight="1">
      <c r="A439" t="inlineStr">
        <is>
          <t>A 44415-2021</t>
        </is>
      </c>
      <c r="B439" s="1" t="n">
        <v>44435</v>
      </c>
      <c r="C439" s="1" t="n">
        <v>45939</v>
      </c>
      <c r="D439" t="inlineStr">
        <is>
          <t>VÄSTERNORRLANDS LÄN</t>
        </is>
      </c>
      <c r="E439" t="inlineStr">
        <is>
          <t>ÅNGE</t>
        </is>
      </c>
      <c r="G439" t="n">
        <v>5.2</v>
      </c>
      <c r="H439" t="n">
        <v>0</v>
      </c>
      <c r="I439" t="n">
        <v>0</v>
      </c>
      <c r="J439" t="n">
        <v>0</v>
      </c>
      <c r="K439" t="n">
        <v>0</v>
      </c>
      <c r="L439" t="n">
        <v>0</v>
      </c>
      <c r="M439" t="n">
        <v>0</v>
      </c>
      <c r="N439" t="n">
        <v>0</v>
      </c>
      <c r="O439" t="n">
        <v>0</v>
      </c>
      <c r="P439" t="n">
        <v>0</v>
      </c>
      <c r="Q439" t="n">
        <v>0</v>
      </c>
      <c r="R439" s="2" t="inlineStr"/>
    </row>
    <row r="440" ht="15" customHeight="1">
      <c r="A440" t="inlineStr">
        <is>
          <t>A 36740-2025</t>
        </is>
      </c>
      <c r="B440" s="1" t="n">
        <v>45873.53237268519</v>
      </c>
      <c r="C440" s="1" t="n">
        <v>45939</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36249-2025</t>
        </is>
      </c>
      <c r="B441" s="1" t="n">
        <v>45867</v>
      </c>
      <c r="C441" s="1" t="n">
        <v>45939</v>
      </c>
      <c r="D441" t="inlineStr">
        <is>
          <t>VÄSTERNORRLANDS LÄN</t>
        </is>
      </c>
      <c r="E441" t="inlineStr">
        <is>
          <t>ÅNGE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58639-2023</t>
        </is>
      </c>
      <c r="B442" s="1" t="n">
        <v>45251</v>
      </c>
      <c r="C442" s="1" t="n">
        <v>45939</v>
      </c>
      <c r="D442" t="inlineStr">
        <is>
          <t>VÄSTERNORRLANDS LÄN</t>
        </is>
      </c>
      <c r="E442" t="inlineStr">
        <is>
          <t>ÅNGE</t>
        </is>
      </c>
      <c r="G442" t="n">
        <v>0.6</v>
      </c>
      <c r="H442" t="n">
        <v>0</v>
      </c>
      <c r="I442" t="n">
        <v>0</v>
      </c>
      <c r="J442" t="n">
        <v>0</v>
      </c>
      <c r="K442" t="n">
        <v>0</v>
      </c>
      <c r="L442" t="n">
        <v>0</v>
      </c>
      <c r="M442" t="n">
        <v>0</v>
      </c>
      <c r="N442" t="n">
        <v>0</v>
      </c>
      <c r="O442" t="n">
        <v>0</v>
      </c>
      <c r="P442" t="n">
        <v>0</v>
      </c>
      <c r="Q442" t="n">
        <v>0</v>
      </c>
      <c r="R442" s="2" t="inlineStr"/>
    </row>
    <row r="443" ht="15" customHeight="1">
      <c r="A443" t="inlineStr">
        <is>
          <t>A 35498-2022</t>
        </is>
      </c>
      <c r="B443" s="1" t="n">
        <v>44798.94810185185</v>
      </c>
      <c r="C443" s="1" t="n">
        <v>45939</v>
      </c>
      <c r="D443" t="inlineStr">
        <is>
          <t>VÄSTERNORRLANDS LÄN</t>
        </is>
      </c>
      <c r="E443" t="inlineStr">
        <is>
          <t>ÅNGE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21200-2024</t>
        </is>
      </c>
      <c r="B444" s="1" t="n">
        <v>45440</v>
      </c>
      <c r="C444" s="1" t="n">
        <v>45939</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5455-2023</t>
        </is>
      </c>
      <c r="B445" s="1" t="n">
        <v>44959.93983796296</v>
      </c>
      <c r="C445" s="1" t="n">
        <v>45939</v>
      </c>
      <c r="D445" t="inlineStr">
        <is>
          <t>VÄSTERNORRLANDS LÄN</t>
        </is>
      </c>
      <c r="E445" t="inlineStr">
        <is>
          <t>ÅNGE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51383-2022</t>
        </is>
      </c>
      <c r="B446" s="1" t="n">
        <v>44866</v>
      </c>
      <c r="C446" s="1" t="n">
        <v>45939</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51393-2022</t>
        </is>
      </c>
      <c r="B447" s="1" t="n">
        <v>44869.43277777778</v>
      </c>
      <c r="C447" s="1" t="n">
        <v>45939</v>
      </c>
      <c r="D447" t="inlineStr">
        <is>
          <t>VÄSTERNORRLANDS LÄN</t>
        </is>
      </c>
      <c r="E447" t="inlineStr">
        <is>
          <t>ÅNGE</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20761-2024</t>
        </is>
      </c>
      <c r="B448" s="1" t="n">
        <v>45436</v>
      </c>
      <c r="C448" s="1" t="n">
        <v>45939</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3347-2024</t>
        </is>
      </c>
      <c r="B449" s="1" t="n">
        <v>45317</v>
      </c>
      <c r="C449" s="1" t="n">
        <v>45939</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42857-2022</t>
        </is>
      </c>
      <c r="B450" s="1" t="n">
        <v>44832</v>
      </c>
      <c r="C450" s="1" t="n">
        <v>45939</v>
      </c>
      <c r="D450" t="inlineStr">
        <is>
          <t>VÄSTERNORRLANDS LÄN</t>
        </is>
      </c>
      <c r="E450" t="inlineStr">
        <is>
          <t>ÅNGE</t>
        </is>
      </c>
      <c r="G450" t="n">
        <v>3.4</v>
      </c>
      <c r="H450" t="n">
        <v>0</v>
      </c>
      <c r="I450" t="n">
        <v>0</v>
      </c>
      <c r="J450" t="n">
        <v>0</v>
      </c>
      <c r="K450" t="n">
        <v>0</v>
      </c>
      <c r="L450" t="n">
        <v>0</v>
      </c>
      <c r="M450" t="n">
        <v>0</v>
      </c>
      <c r="N450" t="n">
        <v>0</v>
      </c>
      <c r="O450" t="n">
        <v>0</v>
      </c>
      <c r="P450" t="n">
        <v>0</v>
      </c>
      <c r="Q450" t="n">
        <v>0</v>
      </c>
      <c r="R450" s="2" t="inlineStr"/>
    </row>
    <row r="451" ht="15" customHeight="1">
      <c r="A451" t="inlineStr">
        <is>
          <t>A 59986-2021</t>
        </is>
      </c>
      <c r="B451" s="1" t="n">
        <v>44494</v>
      </c>
      <c r="C451" s="1" t="n">
        <v>45939</v>
      </c>
      <c r="D451" t="inlineStr">
        <is>
          <t>VÄSTERNORRLANDS LÄN</t>
        </is>
      </c>
      <c r="E451" t="inlineStr">
        <is>
          <t>ÅNGE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36723-2025</t>
        </is>
      </c>
      <c r="B452" s="1" t="n">
        <v>45873.47770833333</v>
      </c>
      <c r="C452" s="1" t="n">
        <v>45939</v>
      </c>
      <c r="D452" t="inlineStr">
        <is>
          <t>VÄSTERNORRLANDS LÄN</t>
        </is>
      </c>
      <c r="E452" t="inlineStr">
        <is>
          <t>ÅNGE</t>
        </is>
      </c>
      <c r="G452" t="n">
        <v>2.8</v>
      </c>
      <c r="H452" t="n">
        <v>0</v>
      </c>
      <c r="I452" t="n">
        <v>0</v>
      </c>
      <c r="J452" t="n">
        <v>0</v>
      </c>
      <c r="K452" t="n">
        <v>0</v>
      </c>
      <c r="L452" t="n">
        <v>0</v>
      </c>
      <c r="M452" t="n">
        <v>0</v>
      </c>
      <c r="N452" t="n">
        <v>0</v>
      </c>
      <c r="O452" t="n">
        <v>0</v>
      </c>
      <c r="P452" t="n">
        <v>0</v>
      </c>
      <c r="Q452" t="n">
        <v>0</v>
      </c>
      <c r="R452" s="2" t="inlineStr"/>
    </row>
    <row r="453" ht="15" customHeight="1">
      <c r="A453" t="inlineStr">
        <is>
          <t>A 44165-2025</t>
        </is>
      </c>
      <c r="B453" s="1" t="n">
        <v>45915.59840277778</v>
      </c>
      <c r="C453" s="1" t="n">
        <v>45939</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9382-2025</t>
        </is>
      </c>
      <c r="B454" s="1" t="n">
        <v>45715.34425925926</v>
      </c>
      <c r="C454" s="1" t="n">
        <v>45939</v>
      </c>
      <c r="D454" t="inlineStr">
        <is>
          <t>VÄSTERNORRLANDS LÄN</t>
        </is>
      </c>
      <c r="E454" t="inlineStr">
        <is>
          <t>ÅNGE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15287-2025</t>
        </is>
      </c>
      <c r="B455" s="1" t="n">
        <v>45745</v>
      </c>
      <c r="C455" s="1" t="n">
        <v>45939</v>
      </c>
      <c r="D455" t="inlineStr">
        <is>
          <t>VÄSTERNORRLANDS LÄN</t>
        </is>
      </c>
      <c r="E455" t="inlineStr">
        <is>
          <t>ÅNGE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36674-2025</t>
        </is>
      </c>
      <c r="B456" s="1" t="n">
        <v>45873.3930787037</v>
      </c>
      <c r="C456" s="1" t="n">
        <v>45939</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15288-2025</t>
        </is>
      </c>
      <c r="B457" s="1" t="n">
        <v>45745.34423611111</v>
      </c>
      <c r="C457" s="1" t="n">
        <v>45939</v>
      </c>
      <c r="D457" t="inlineStr">
        <is>
          <t>VÄSTERNORRLANDS LÄN</t>
        </is>
      </c>
      <c r="E457" t="inlineStr">
        <is>
          <t>ÅNGE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58613-2023</t>
        </is>
      </c>
      <c r="B458" s="1" t="n">
        <v>45251.50709490741</v>
      </c>
      <c r="C458" s="1" t="n">
        <v>45939</v>
      </c>
      <c r="D458" t="inlineStr">
        <is>
          <t>VÄSTERNORRLANDS LÄN</t>
        </is>
      </c>
      <c r="E458" t="inlineStr">
        <is>
          <t>ÅNGE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44919-2025</t>
        </is>
      </c>
      <c r="B459" s="1" t="n">
        <v>45918.55246527777</v>
      </c>
      <c r="C459" s="1" t="n">
        <v>45939</v>
      </c>
      <c r="D459" t="inlineStr">
        <is>
          <t>VÄSTERNORRLANDS LÄN</t>
        </is>
      </c>
      <c r="E459" t="inlineStr">
        <is>
          <t>ÅNGE</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50235-2021</t>
        </is>
      </c>
      <c r="B460" s="1" t="n">
        <v>44457</v>
      </c>
      <c r="C460" s="1" t="n">
        <v>45939</v>
      </c>
      <c r="D460" t="inlineStr">
        <is>
          <t>VÄSTERNORRLANDS LÄN</t>
        </is>
      </c>
      <c r="E460" t="inlineStr">
        <is>
          <t>ÅNGE</t>
        </is>
      </c>
      <c r="G460" t="n">
        <v>3.8</v>
      </c>
      <c r="H460" t="n">
        <v>0</v>
      </c>
      <c r="I460" t="n">
        <v>0</v>
      </c>
      <c r="J460" t="n">
        <v>0</v>
      </c>
      <c r="K460" t="n">
        <v>0</v>
      </c>
      <c r="L460" t="n">
        <v>0</v>
      </c>
      <c r="M460" t="n">
        <v>0</v>
      </c>
      <c r="N460" t="n">
        <v>0</v>
      </c>
      <c r="O460" t="n">
        <v>0</v>
      </c>
      <c r="P460" t="n">
        <v>0</v>
      </c>
      <c r="Q460" t="n">
        <v>0</v>
      </c>
      <c r="R460" s="2" t="inlineStr"/>
    </row>
    <row r="461" ht="15" customHeight="1">
      <c r="A461" t="inlineStr">
        <is>
          <t>A 37045-2025</t>
        </is>
      </c>
      <c r="B461" s="1" t="n">
        <v>45875.34451388889</v>
      </c>
      <c r="C461" s="1" t="n">
        <v>45939</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37047-2025</t>
        </is>
      </c>
      <c r="B462" s="1" t="n">
        <v>45875.34489583333</v>
      </c>
      <c r="C462" s="1" t="n">
        <v>45939</v>
      </c>
      <c r="D462" t="inlineStr">
        <is>
          <t>VÄSTERNORRLANDS LÄN</t>
        </is>
      </c>
      <c r="E462" t="inlineStr">
        <is>
          <t>ÅNGE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1711-2025</t>
        </is>
      </c>
      <c r="B463" s="1" t="n">
        <v>45671.31184027778</v>
      </c>
      <c r="C463" s="1" t="n">
        <v>45939</v>
      </c>
      <c r="D463" t="inlineStr">
        <is>
          <t>VÄSTERNORRLANDS LÄN</t>
        </is>
      </c>
      <c r="E463" t="inlineStr">
        <is>
          <t>ÅNGE</t>
        </is>
      </c>
      <c r="G463" t="n">
        <v>2.8</v>
      </c>
      <c r="H463" t="n">
        <v>0</v>
      </c>
      <c r="I463" t="n">
        <v>0</v>
      </c>
      <c r="J463" t="n">
        <v>0</v>
      </c>
      <c r="K463" t="n">
        <v>0</v>
      </c>
      <c r="L463" t="n">
        <v>0</v>
      </c>
      <c r="M463" t="n">
        <v>0</v>
      </c>
      <c r="N463" t="n">
        <v>0</v>
      </c>
      <c r="O463" t="n">
        <v>0</v>
      </c>
      <c r="P463" t="n">
        <v>0</v>
      </c>
      <c r="Q463" t="n">
        <v>0</v>
      </c>
      <c r="R463" s="2" t="inlineStr"/>
    </row>
    <row r="464" ht="15" customHeight="1">
      <c r="A464" t="inlineStr">
        <is>
          <t>A 42043-2024</t>
        </is>
      </c>
      <c r="B464" s="1" t="n">
        <v>45561</v>
      </c>
      <c r="C464" s="1" t="n">
        <v>45939</v>
      </c>
      <c r="D464" t="inlineStr">
        <is>
          <t>VÄSTERNORRLANDS LÄN</t>
        </is>
      </c>
      <c r="E464" t="inlineStr">
        <is>
          <t>ÅNGE</t>
        </is>
      </c>
      <c r="G464" t="n">
        <v>3.1</v>
      </c>
      <c r="H464" t="n">
        <v>0</v>
      </c>
      <c r="I464" t="n">
        <v>0</v>
      </c>
      <c r="J464" t="n">
        <v>0</v>
      </c>
      <c r="K464" t="n">
        <v>0</v>
      </c>
      <c r="L464" t="n">
        <v>0</v>
      </c>
      <c r="M464" t="n">
        <v>0</v>
      </c>
      <c r="N464" t="n">
        <v>0</v>
      </c>
      <c r="O464" t="n">
        <v>0</v>
      </c>
      <c r="P464" t="n">
        <v>0</v>
      </c>
      <c r="Q464" t="n">
        <v>0</v>
      </c>
      <c r="R464" s="2" t="inlineStr"/>
    </row>
    <row r="465" ht="15" customHeight="1">
      <c r="A465" t="inlineStr">
        <is>
          <t>A 42046-2024</t>
        </is>
      </c>
      <c r="B465" s="1" t="n">
        <v>45561.83422453704</v>
      </c>
      <c r="C465" s="1" t="n">
        <v>45939</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47950-2024</t>
        </is>
      </c>
      <c r="B466" s="1" t="n">
        <v>45589.36511574074</v>
      </c>
      <c r="C466" s="1" t="n">
        <v>45939</v>
      </c>
      <c r="D466" t="inlineStr">
        <is>
          <t>VÄSTERNORRLANDS LÄN</t>
        </is>
      </c>
      <c r="E466" t="inlineStr">
        <is>
          <t>ÅNGE</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37275-2025</t>
        </is>
      </c>
      <c r="B467" s="1" t="n">
        <v>45876.49003472222</v>
      </c>
      <c r="C467" s="1" t="n">
        <v>45939</v>
      </c>
      <c r="D467" t="inlineStr">
        <is>
          <t>VÄSTERNORRLANDS LÄN</t>
        </is>
      </c>
      <c r="E467" t="inlineStr">
        <is>
          <t>ÅNGE</t>
        </is>
      </c>
      <c r="G467" t="n">
        <v>3.5</v>
      </c>
      <c r="H467" t="n">
        <v>0</v>
      </c>
      <c r="I467" t="n">
        <v>0</v>
      </c>
      <c r="J467" t="n">
        <v>0</v>
      </c>
      <c r="K467" t="n">
        <v>0</v>
      </c>
      <c r="L467" t="n">
        <v>0</v>
      </c>
      <c r="M467" t="n">
        <v>0</v>
      </c>
      <c r="N467" t="n">
        <v>0</v>
      </c>
      <c r="O467" t="n">
        <v>0</v>
      </c>
      <c r="P467" t="n">
        <v>0</v>
      </c>
      <c r="Q467" t="n">
        <v>0</v>
      </c>
      <c r="R467" s="2" t="inlineStr"/>
    </row>
    <row r="468" ht="15" customHeight="1">
      <c r="A468" t="inlineStr">
        <is>
          <t>A 37303-2025</t>
        </is>
      </c>
      <c r="B468" s="1" t="n">
        <v>45876.59445601852</v>
      </c>
      <c r="C468" s="1" t="n">
        <v>45939</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44935-2025</t>
        </is>
      </c>
      <c r="B469" s="1" t="n">
        <v>45918.57392361111</v>
      </c>
      <c r="C469" s="1" t="n">
        <v>45939</v>
      </c>
      <c r="D469" t="inlineStr">
        <is>
          <t>VÄSTERNORRLANDS LÄN</t>
        </is>
      </c>
      <c r="E469" t="inlineStr">
        <is>
          <t>ÅNGE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58997-2023</t>
        </is>
      </c>
      <c r="B470" s="1" t="n">
        <v>45252.6352662037</v>
      </c>
      <c r="C470" s="1" t="n">
        <v>45939</v>
      </c>
      <c r="D470" t="inlineStr">
        <is>
          <t>VÄSTERNORRLANDS LÄN</t>
        </is>
      </c>
      <c r="E470" t="inlineStr">
        <is>
          <t>ÅNGE</t>
        </is>
      </c>
      <c r="F470" t="inlineStr">
        <is>
          <t>Övriga Aktiebolag</t>
        </is>
      </c>
      <c r="G470" t="n">
        <v>2.1</v>
      </c>
      <c r="H470" t="n">
        <v>0</v>
      </c>
      <c r="I470" t="n">
        <v>0</v>
      </c>
      <c r="J470" t="n">
        <v>0</v>
      </c>
      <c r="K470" t="n">
        <v>0</v>
      </c>
      <c r="L470" t="n">
        <v>0</v>
      </c>
      <c r="M470" t="n">
        <v>0</v>
      </c>
      <c r="N470" t="n">
        <v>0</v>
      </c>
      <c r="O470" t="n">
        <v>0</v>
      </c>
      <c r="P470" t="n">
        <v>0</v>
      </c>
      <c r="Q470" t="n">
        <v>0</v>
      </c>
      <c r="R470" s="2" t="inlineStr"/>
    </row>
    <row r="471" ht="15" customHeight="1">
      <c r="A471" t="inlineStr">
        <is>
          <t>A 11299-2023</t>
        </is>
      </c>
      <c r="B471" s="1" t="n">
        <v>44993.01074074074</v>
      </c>
      <c r="C471" s="1" t="n">
        <v>45939</v>
      </c>
      <c r="D471" t="inlineStr">
        <is>
          <t>VÄSTERNORRLANDS LÄN</t>
        </is>
      </c>
      <c r="E471" t="inlineStr">
        <is>
          <t>ÅNGE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11309-2023</t>
        </is>
      </c>
      <c r="B472" s="1" t="n">
        <v>44993.0118287037</v>
      </c>
      <c r="C472" s="1" t="n">
        <v>45939</v>
      </c>
      <c r="D472" t="inlineStr">
        <is>
          <t>VÄSTERNORRLANDS LÄN</t>
        </is>
      </c>
      <c r="E472" t="inlineStr">
        <is>
          <t>ÅNGE</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62834-2021</t>
        </is>
      </c>
      <c r="B473" s="1" t="n">
        <v>44503</v>
      </c>
      <c r="C473" s="1" t="n">
        <v>45939</v>
      </c>
      <c r="D473" t="inlineStr">
        <is>
          <t>VÄSTERNORRLANDS LÄN</t>
        </is>
      </c>
      <c r="E473" t="inlineStr">
        <is>
          <t>ÅNGE</t>
        </is>
      </c>
      <c r="F473" t="inlineStr">
        <is>
          <t>Övriga statliga verk och myndigheter</t>
        </is>
      </c>
      <c r="G473" t="n">
        <v>2.6</v>
      </c>
      <c r="H473" t="n">
        <v>0</v>
      </c>
      <c r="I473" t="n">
        <v>0</v>
      </c>
      <c r="J473" t="n">
        <v>0</v>
      </c>
      <c r="K473" t="n">
        <v>0</v>
      </c>
      <c r="L473" t="n">
        <v>0</v>
      </c>
      <c r="M473" t="n">
        <v>0</v>
      </c>
      <c r="N473" t="n">
        <v>0</v>
      </c>
      <c r="O473" t="n">
        <v>0</v>
      </c>
      <c r="P473" t="n">
        <v>0</v>
      </c>
      <c r="Q473" t="n">
        <v>0</v>
      </c>
      <c r="R473" s="2" t="inlineStr"/>
    </row>
    <row r="474" ht="15" customHeight="1">
      <c r="A474" t="inlineStr">
        <is>
          <t>A 10557-2023</t>
        </is>
      </c>
      <c r="B474" s="1" t="n">
        <v>44987</v>
      </c>
      <c r="C474" s="1" t="n">
        <v>45939</v>
      </c>
      <c r="D474" t="inlineStr">
        <is>
          <t>VÄSTERNORRLANDS LÄN</t>
        </is>
      </c>
      <c r="E474" t="inlineStr">
        <is>
          <t>ÅNGE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8418-2023</t>
        </is>
      </c>
      <c r="B475" s="1" t="n">
        <v>44971</v>
      </c>
      <c r="C475" s="1" t="n">
        <v>45939</v>
      </c>
      <c r="D475" t="inlineStr">
        <is>
          <t>VÄSTERNORRLANDS LÄN</t>
        </is>
      </c>
      <c r="E475" t="inlineStr">
        <is>
          <t>ÅNGE</t>
        </is>
      </c>
      <c r="G475" t="n">
        <v>8.6</v>
      </c>
      <c r="H475" t="n">
        <v>0</v>
      </c>
      <c r="I475" t="n">
        <v>0</v>
      </c>
      <c r="J475" t="n">
        <v>0</v>
      </c>
      <c r="K475" t="n">
        <v>0</v>
      </c>
      <c r="L475" t="n">
        <v>0</v>
      </c>
      <c r="M475" t="n">
        <v>0</v>
      </c>
      <c r="N475" t="n">
        <v>0</v>
      </c>
      <c r="O475" t="n">
        <v>0</v>
      </c>
      <c r="P475" t="n">
        <v>0</v>
      </c>
      <c r="Q475" t="n">
        <v>0</v>
      </c>
      <c r="R475" s="2" t="inlineStr"/>
    </row>
    <row r="476" ht="15" customHeight="1">
      <c r="A476" t="inlineStr">
        <is>
          <t>A 55751-2024</t>
        </is>
      </c>
      <c r="B476" s="1" t="n">
        <v>45623.34409722222</v>
      </c>
      <c r="C476" s="1" t="n">
        <v>45939</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47792-2022</t>
        </is>
      </c>
      <c r="B477" s="1" t="n">
        <v>44854.95238425926</v>
      </c>
      <c r="C477" s="1" t="n">
        <v>45939</v>
      </c>
      <c r="D477" t="inlineStr">
        <is>
          <t>VÄSTERNORRLANDS LÄN</t>
        </is>
      </c>
      <c r="E477" t="inlineStr">
        <is>
          <t>ÅNGE</t>
        </is>
      </c>
      <c r="F477" t="inlineStr">
        <is>
          <t>SCA</t>
        </is>
      </c>
      <c r="G477" t="n">
        <v>10.9</v>
      </c>
      <c r="H477" t="n">
        <v>0</v>
      </c>
      <c r="I477" t="n">
        <v>0</v>
      </c>
      <c r="J477" t="n">
        <v>0</v>
      </c>
      <c r="K477" t="n">
        <v>0</v>
      </c>
      <c r="L477" t="n">
        <v>0</v>
      </c>
      <c r="M477" t="n">
        <v>0</v>
      </c>
      <c r="N477" t="n">
        <v>0</v>
      </c>
      <c r="O477" t="n">
        <v>0</v>
      </c>
      <c r="P477" t="n">
        <v>0</v>
      </c>
      <c r="Q477" t="n">
        <v>0</v>
      </c>
      <c r="R477" s="2" t="inlineStr"/>
    </row>
    <row r="478" ht="15" customHeight="1">
      <c r="A478" t="inlineStr">
        <is>
          <t>A 4006-2022</t>
        </is>
      </c>
      <c r="B478" s="1" t="n">
        <v>44587.92019675926</v>
      </c>
      <c r="C478" s="1" t="n">
        <v>45939</v>
      </c>
      <c r="D478" t="inlineStr">
        <is>
          <t>VÄSTERNORRLANDS LÄN</t>
        </is>
      </c>
      <c r="E478" t="inlineStr">
        <is>
          <t>ÅNGE</t>
        </is>
      </c>
      <c r="G478" t="n">
        <v>5</v>
      </c>
      <c r="H478" t="n">
        <v>0</v>
      </c>
      <c r="I478" t="n">
        <v>0</v>
      </c>
      <c r="J478" t="n">
        <v>0</v>
      </c>
      <c r="K478" t="n">
        <v>0</v>
      </c>
      <c r="L478" t="n">
        <v>0</v>
      </c>
      <c r="M478" t="n">
        <v>0</v>
      </c>
      <c r="N478" t="n">
        <v>0</v>
      </c>
      <c r="O478" t="n">
        <v>0</v>
      </c>
      <c r="P478" t="n">
        <v>0</v>
      </c>
      <c r="Q478" t="n">
        <v>0</v>
      </c>
      <c r="R478" s="2" t="inlineStr"/>
    </row>
    <row r="479" ht="15" customHeight="1">
      <c r="A479" t="inlineStr">
        <is>
          <t>A 37233-2025</t>
        </is>
      </c>
      <c r="B479" s="1" t="n">
        <v>45876.34474537037</v>
      </c>
      <c r="C479" s="1" t="n">
        <v>45939</v>
      </c>
      <c r="D479" t="inlineStr">
        <is>
          <t>VÄSTERNORRLANDS LÄN</t>
        </is>
      </c>
      <c r="E479" t="inlineStr">
        <is>
          <t>ÅNGE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37108-2025</t>
        </is>
      </c>
      <c r="B480" s="1" t="n">
        <v>45875</v>
      </c>
      <c r="C480" s="1" t="n">
        <v>45939</v>
      </c>
      <c r="D480" t="inlineStr">
        <is>
          <t>VÄSTERNORRLANDS LÄN</t>
        </is>
      </c>
      <c r="E480" t="inlineStr">
        <is>
          <t>ÅNGE</t>
        </is>
      </c>
      <c r="G480" t="n">
        <v>4</v>
      </c>
      <c r="H480" t="n">
        <v>0</v>
      </c>
      <c r="I480" t="n">
        <v>0</v>
      </c>
      <c r="J480" t="n">
        <v>0</v>
      </c>
      <c r="K480" t="n">
        <v>0</v>
      </c>
      <c r="L480" t="n">
        <v>0</v>
      </c>
      <c r="M480" t="n">
        <v>0</v>
      </c>
      <c r="N480" t="n">
        <v>0</v>
      </c>
      <c r="O480" t="n">
        <v>0</v>
      </c>
      <c r="P480" t="n">
        <v>0</v>
      </c>
      <c r="Q480" t="n">
        <v>0</v>
      </c>
      <c r="R480" s="2" t="inlineStr"/>
    </row>
    <row r="481" ht="15" customHeight="1">
      <c r="A481" t="inlineStr">
        <is>
          <t>A 37177-2025</t>
        </is>
      </c>
      <c r="B481" s="1" t="n">
        <v>45875.61539351852</v>
      </c>
      <c r="C481" s="1" t="n">
        <v>45939</v>
      </c>
      <c r="D481" t="inlineStr">
        <is>
          <t>VÄSTERNORRLANDS LÄN</t>
        </is>
      </c>
      <c r="E481" t="inlineStr">
        <is>
          <t>ÅNGE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56232-2024</t>
        </is>
      </c>
      <c r="B482" s="1" t="n">
        <v>45624</v>
      </c>
      <c r="C482" s="1" t="n">
        <v>45939</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44635-2024</t>
        </is>
      </c>
      <c r="B483" s="1" t="n">
        <v>45574.51488425926</v>
      </c>
      <c r="C483" s="1" t="n">
        <v>45939</v>
      </c>
      <c r="D483" t="inlineStr">
        <is>
          <t>VÄSTERNORRLANDS LÄN</t>
        </is>
      </c>
      <c r="E483" t="inlineStr">
        <is>
          <t>ÅNGE</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18869-2024</t>
        </is>
      </c>
      <c r="B484" s="1" t="n">
        <v>45426</v>
      </c>
      <c r="C484" s="1" t="n">
        <v>45939</v>
      </c>
      <c r="D484" t="inlineStr">
        <is>
          <t>VÄSTERNORRLANDS LÄN</t>
        </is>
      </c>
      <c r="E484" t="inlineStr">
        <is>
          <t>ÅNGE</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24797-2024</t>
        </is>
      </c>
      <c r="B485" s="1" t="n">
        <v>45460.95269675926</v>
      </c>
      <c r="C485" s="1" t="n">
        <v>45939</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24798-2024</t>
        </is>
      </c>
      <c r="B486" s="1" t="n">
        <v>45460.95277777778</v>
      </c>
      <c r="C486" s="1" t="n">
        <v>45939</v>
      </c>
      <c r="D486" t="inlineStr">
        <is>
          <t>VÄSTERNORRLANDS LÄN</t>
        </is>
      </c>
      <c r="E486" t="inlineStr">
        <is>
          <t>ÅNGE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16191-2023</t>
        </is>
      </c>
      <c r="B487" s="1" t="n">
        <v>45027.94111111111</v>
      </c>
      <c r="C487" s="1" t="n">
        <v>45939</v>
      </c>
      <c r="D487" t="inlineStr">
        <is>
          <t>VÄSTERNORRLANDS LÄN</t>
        </is>
      </c>
      <c r="E487" t="inlineStr">
        <is>
          <t>ÅNGE</t>
        </is>
      </c>
      <c r="F487" t="inlineStr">
        <is>
          <t>SCA</t>
        </is>
      </c>
      <c r="G487" t="n">
        <v>6.8</v>
      </c>
      <c r="H487" t="n">
        <v>0</v>
      </c>
      <c r="I487" t="n">
        <v>0</v>
      </c>
      <c r="J487" t="n">
        <v>0</v>
      </c>
      <c r="K487" t="n">
        <v>0</v>
      </c>
      <c r="L487" t="n">
        <v>0</v>
      </c>
      <c r="M487" t="n">
        <v>0</v>
      </c>
      <c r="N487" t="n">
        <v>0</v>
      </c>
      <c r="O487" t="n">
        <v>0</v>
      </c>
      <c r="P487" t="n">
        <v>0</v>
      </c>
      <c r="Q487" t="n">
        <v>0</v>
      </c>
      <c r="R487" s="2" t="inlineStr"/>
    </row>
    <row r="488" ht="15" customHeight="1">
      <c r="A488" t="inlineStr">
        <is>
          <t>A 22680-2024</t>
        </is>
      </c>
      <c r="B488" s="1" t="n">
        <v>45447.94548611111</v>
      </c>
      <c r="C488" s="1" t="n">
        <v>45939</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48725-2024</t>
        </is>
      </c>
      <c r="B489" s="1" t="n">
        <v>45593.55793981482</v>
      </c>
      <c r="C489" s="1" t="n">
        <v>45939</v>
      </c>
      <c r="D489" t="inlineStr">
        <is>
          <t>VÄSTERNORRLANDS LÄN</t>
        </is>
      </c>
      <c r="E489" t="inlineStr">
        <is>
          <t>ÅNGE</t>
        </is>
      </c>
      <c r="G489" t="n">
        <v>1.4</v>
      </c>
      <c r="H489" t="n">
        <v>0</v>
      </c>
      <c r="I489" t="n">
        <v>0</v>
      </c>
      <c r="J489" t="n">
        <v>0</v>
      </c>
      <c r="K489" t="n">
        <v>0</v>
      </c>
      <c r="L489" t="n">
        <v>0</v>
      </c>
      <c r="M489" t="n">
        <v>0</v>
      </c>
      <c r="N489" t="n">
        <v>0</v>
      </c>
      <c r="O489" t="n">
        <v>0</v>
      </c>
      <c r="P489" t="n">
        <v>0</v>
      </c>
      <c r="Q489" t="n">
        <v>0</v>
      </c>
      <c r="R489" s="2" t="inlineStr"/>
    </row>
    <row r="490" ht="15" customHeight="1">
      <c r="A490" t="inlineStr">
        <is>
          <t>A 17670-2023</t>
        </is>
      </c>
      <c r="B490" s="1" t="n">
        <v>45036</v>
      </c>
      <c r="C490" s="1" t="n">
        <v>45939</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23035-2024</t>
        </is>
      </c>
      <c r="B491" s="1" t="n">
        <v>45450.39016203704</v>
      </c>
      <c r="C491" s="1" t="n">
        <v>45939</v>
      </c>
      <c r="D491" t="inlineStr">
        <is>
          <t>VÄSTERNORRLANDS LÄN</t>
        </is>
      </c>
      <c r="E491" t="inlineStr">
        <is>
          <t>ÅNGE</t>
        </is>
      </c>
      <c r="G491" t="n">
        <v>12.1</v>
      </c>
      <c r="H491" t="n">
        <v>0</v>
      </c>
      <c r="I491" t="n">
        <v>0</v>
      </c>
      <c r="J491" t="n">
        <v>0</v>
      </c>
      <c r="K491" t="n">
        <v>0</v>
      </c>
      <c r="L491" t="n">
        <v>0</v>
      </c>
      <c r="M491" t="n">
        <v>0</v>
      </c>
      <c r="N491" t="n">
        <v>0</v>
      </c>
      <c r="O491" t="n">
        <v>0</v>
      </c>
      <c r="P491" t="n">
        <v>0</v>
      </c>
      <c r="Q491" t="n">
        <v>0</v>
      </c>
      <c r="R491" s="2" t="inlineStr"/>
    </row>
    <row r="492" ht="15" customHeight="1">
      <c r="A492" t="inlineStr">
        <is>
          <t>A 23063-2024</t>
        </is>
      </c>
      <c r="B492" s="1" t="n">
        <v>45450.44278935185</v>
      </c>
      <c r="C492" s="1" t="n">
        <v>45939</v>
      </c>
      <c r="D492" t="inlineStr">
        <is>
          <t>VÄSTERNORRLANDS LÄN</t>
        </is>
      </c>
      <c r="E492" t="inlineStr">
        <is>
          <t>ÅNGE</t>
        </is>
      </c>
      <c r="G492" t="n">
        <v>0.8</v>
      </c>
      <c r="H492" t="n">
        <v>0</v>
      </c>
      <c r="I492" t="n">
        <v>0</v>
      </c>
      <c r="J492" t="n">
        <v>0</v>
      </c>
      <c r="K492" t="n">
        <v>0</v>
      </c>
      <c r="L492" t="n">
        <v>0</v>
      </c>
      <c r="M492" t="n">
        <v>0</v>
      </c>
      <c r="N492" t="n">
        <v>0</v>
      </c>
      <c r="O492" t="n">
        <v>0</v>
      </c>
      <c r="P492" t="n">
        <v>0</v>
      </c>
      <c r="Q492" t="n">
        <v>0</v>
      </c>
      <c r="R492" s="2" t="inlineStr"/>
    </row>
    <row r="493" ht="15" customHeight="1">
      <c r="A493" t="inlineStr">
        <is>
          <t>A 59412-2024</t>
        </is>
      </c>
      <c r="B493" s="1" t="n">
        <v>45638</v>
      </c>
      <c r="C493" s="1" t="n">
        <v>45939</v>
      </c>
      <c r="D493" t="inlineStr">
        <is>
          <t>VÄSTERNORRLANDS LÄN</t>
        </is>
      </c>
      <c r="E493" t="inlineStr">
        <is>
          <t>ÅNGE</t>
        </is>
      </c>
      <c r="G493" t="n">
        <v>0.6</v>
      </c>
      <c r="H493" t="n">
        <v>0</v>
      </c>
      <c r="I493" t="n">
        <v>0</v>
      </c>
      <c r="J493" t="n">
        <v>0</v>
      </c>
      <c r="K493" t="n">
        <v>0</v>
      </c>
      <c r="L493" t="n">
        <v>0</v>
      </c>
      <c r="M493" t="n">
        <v>0</v>
      </c>
      <c r="N493" t="n">
        <v>0</v>
      </c>
      <c r="O493" t="n">
        <v>0</v>
      </c>
      <c r="P493" t="n">
        <v>0</v>
      </c>
      <c r="Q493" t="n">
        <v>0</v>
      </c>
      <c r="R493" s="2" t="inlineStr"/>
    </row>
    <row r="494" ht="15" customHeight="1">
      <c r="A494" t="inlineStr">
        <is>
          <t>A 44518-2024</t>
        </is>
      </c>
      <c r="B494" s="1" t="n">
        <v>45574.43376157407</v>
      </c>
      <c r="C494" s="1" t="n">
        <v>45939</v>
      </c>
      <c r="D494" t="inlineStr">
        <is>
          <t>VÄSTERNORRLANDS LÄN</t>
        </is>
      </c>
      <c r="E494" t="inlineStr">
        <is>
          <t>ÅNGE</t>
        </is>
      </c>
      <c r="G494" t="n">
        <v>2.6</v>
      </c>
      <c r="H494" t="n">
        <v>0</v>
      </c>
      <c r="I494" t="n">
        <v>0</v>
      </c>
      <c r="J494" t="n">
        <v>0</v>
      </c>
      <c r="K494" t="n">
        <v>0</v>
      </c>
      <c r="L494" t="n">
        <v>0</v>
      </c>
      <c r="M494" t="n">
        <v>0</v>
      </c>
      <c r="N494" t="n">
        <v>0</v>
      </c>
      <c r="O494" t="n">
        <v>0</v>
      </c>
      <c r="P494" t="n">
        <v>0</v>
      </c>
      <c r="Q494" t="n">
        <v>0</v>
      </c>
      <c r="R494" s="2" t="inlineStr"/>
    </row>
    <row r="495" ht="15" customHeight="1">
      <c r="A495" t="inlineStr">
        <is>
          <t>A 51124-2024</t>
        </is>
      </c>
      <c r="B495" s="1" t="n">
        <v>45603.50716435185</v>
      </c>
      <c r="C495" s="1" t="n">
        <v>45939</v>
      </c>
      <c r="D495" t="inlineStr">
        <is>
          <t>VÄSTERNORRLANDS LÄN</t>
        </is>
      </c>
      <c r="E495" t="inlineStr">
        <is>
          <t>ÅNGE</t>
        </is>
      </c>
      <c r="G495" t="n">
        <v>0.6</v>
      </c>
      <c r="H495" t="n">
        <v>0</v>
      </c>
      <c r="I495" t="n">
        <v>0</v>
      </c>
      <c r="J495" t="n">
        <v>0</v>
      </c>
      <c r="K495" t="n">
        <v>0</v>
      </c>
      <c r="L495" t="n">
        <v>0</v>
      </c>
      <c r="M495" t="n">
        <v>0</v>
      </c>
      <c r="N495" t="n">
        <v>0</v>
      </c>
      <c r="O495" t="n">
        <v>0</v>
      </c>
      <c r="P495" t="n">
        <v>0</v>
      </c>
      <c r="Q495" t="n">
        <v>0</v>
      </c>
      <c r="R495" s="2" t="inlineStr"/>
    </row>
    <row r="496" ht="15" customHeight="1">
      <c r="A496" t="inlineStr">
        <is>
          <t>A 48988-2021</t>
        </is>
      </c>
      <c r="B496" s="1" t="n">
        <v>44453.43</v>
      </c>
      <c r="C496" s="1" t="n">
        <v>45939</v>
      </c>
      <c r="D496" t="inlineStr">
        <is>
          <t>VÄSTERNORRLANDS LÄN</t>
        </is>
      </c>
      <c r="E496" t="inlineStr">
        <is>
          <t>ÅNGE</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1886-2024</t>
        </is>
      </c>
      <c r="B497" s="1" t="n">
        <v>45307.96335648148</v>
      </c>
      <c r="C497" s="1" t="n">
        <v>45939</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50674-2024</t>
        </is>
      </c>
      <c r="B498" s="1" t="n">
        <v>45601.85402777778</v>
      </c>
      <c r="C498" s="1" t="n">
        <v>45939</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54720-2024</t>
        </is>
      </c>
      <c r="B499" s="1" t="n">
        <v>45618.43715277778</v>
      </c>
      <c r="C499" s="1" t="n">
        <v>45939</v>
      </c>
      <c r="D499" t="inlineStr">
        <is>
          <t>VÄSTERNORRLANDS LÄN</t>
        </is>
      </c>
      <c r="E499" t="inlineStr">
        <is>
          <t>ÅNGE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37371-2025</t>
        </is>
      </c>
      <c r="B500" s="1" t="n">
        <v>45877.34472222222</v>
      </c>
      <c r="C500" s="1" t="n">
        <v>45939</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44979-2023</t>
        </is>
      </c>
      <c r="B501" s="1" t="n">
        <v>45190.95752314815</v>
      </c>
      <c r="C501" s="1" t="n">
        <v>45939</v>
      </c>
      <c r="D501" t="inlineStr">
        <is>
          <t>VÄSTERNORRLANDS LÄN</t>
        </is>
      </c>
      <c r="E501" t="inlineStr">
        <is>
          <t>ÅNGE</t>
        </is>
      </c>
      <c r="G501" t="n">
        <v>1</v>
      </c>
      <c r="H501" t="n">
        <v>0</v>
      </c>
      <c r="I501" t="n">
        <v>0</v>
      </c>
      <c r="J501" t="n">
        <v>0</v>
      </c>
      <c r="K501" t="n">
        <v>0</v>
      </c>
      <c r="L501" t="n">
        <v>0</v>
      </c>
      <c r="M501" t="n">
        <v>0</v>
      </c>
      <c r="N501" t="n">
        <v>0</v>
      </c>
      <c r="O501" t="n">
        <v>0</v>
      </c>
      <c r="P501" t="n">
        <v>0</v>
      </c>
      <c r="Q501" t="n">
        <v>0</v>
      </c>
      <c r="R501" s="2" t="inlineStr"/>
    </row>
    <row r="502" ht="15" customHeight="1">
      <c r="A502" t="inlineStr">
        <is>
          <t>A 12581-2024</t>
        </is>
      </c>
      <c r="B502" s="1" t="n">
        <v>45379</v>
      </c>
      <c r="C502" s="1" t="n">
        <v>45939</v>
      </c>
      <c r="D502" t="inlineStr">
        <is>
          <t>VÄSTERNORRLANDS LÄN</t>
        </is>
      </c>
      <c r="E502" t="inlineStr">
        <is>
          <t>ÅNGE</t>
        </is>
      </c>
      <c r="G502" t="n">
        <v>1.7</v>
      </c>
      <c r="H502" t="n">
        <v>0</v>
      </c>
      <c r="I502" t="n">
        <v>0</v>
      </c>
      <c r="J502" t="n">
        <v>0</v>
      </c>
      <c r="K502" t="n">
        <v>0</v>
      </c>
      <c r="L502" t="n">
        <v>0</v>
      </c>
      <c r="M502" t="n">
        <v>0</v>
      </c>
      <c r="N502" t="n">
        <v>0</v>
      </c>
      <c r="O502" t="n">
        <v>0</v>
      </c>
      <c r="P502" t="n">
        <v>0</v>
      </c>
      <c r="Q502" t="n">
        <v>0</v>
      </c>
      <c r="R502" s="2" t="inlineStr"/>
    </row>
    <row r="503" ht="15" customHeight="1">
      <c r="A503" t="inlineStr">
        <is>
          <t>A 53336-2024</t>
        </is>
      </c>
      <c r="B503" s="1" t="n">
        <v>45614.42753472222</v>
      </c>
      <c r="C503" s="1" t="n">
        <v>45939</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57598-2022</t>
        </is>
      </c>
      <c r="B504" s="1" t="n">
        <v>44896</v>
      </c>
      <c r="C504" s="1" t="n">
        <v>45939</v>
      </c>
      <c r="D504" t="inlineStr">
        <is>
          <t>VÄSTERNORRLANDS LÄN</t>
        </is>
      </c>
      <c r="E504" t="inlineStr">
        <is>
          <t>ÅNGE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17923-2025</t>
        </is>
      </c>
      <c r="B505" s="1" t="n">
        <v>45759.34415509259</v>
      </c>
      <c r="C505" s="1" t="n">
        <v>45939</v>
      </c>
      <c r="D505" t="inlineStr">
        <is>
          <t>VÄSTERNORRLANDS LÄN</t>
        </is>
      </c>
      <c r="E505" t="inlineStr">
        <is>
          <t>ÅNGE</t>
        </is>
      </c>
      <c r="F505" t="inlineStr">
        <is>
          <t>SCA</t>
        </is>
      </c>
      <c r="G505" t="n">
        <v>9.6</v>
      </c>
      <c r="H505" t="n">
        <v>0</v>
      </c>
      <c r="I505" t="n">
        <v>0</v>
      </c>
      <c r="J505" t="n">
        <v>0</v>
      </c>
      <c r="K505" t="n">
        <v>0</v>
      </c>
      <c r="L505" t="n">
        <v>0</v>
      </c>
      <c r="M505" t="n">
        <v>0</v>
      </c>
      <c r="N505" t="n">
        <v>0</v>
      </c>
      <c r="O505" t="n">
        <v>0</v>
      </c>
      <c r="P505" t="n">
        <v>0</v>
      </c>
      <c r="Q505" t="n">
        <v>0</v>
      </c>
      <c r="R505" s="2" t="inlineStr"/>
    </row>
    <row r="506" ht="15" customHeight="1">
      <c r="A506" t="inlineStr">
        <is>
          <t>A 37384-2025</t>
        </is>
      </c>
      <c r="B506" s="1" t="n">
        <v>45877.3859837963</v>
      </c>
      <c r="C506" s="1" t="n">
        <v>45939</v>
      </c>
      <c r="D506" t="inlineStr">
        <is>
          <t>VÄSTERNORRLANDS LÄN</t>
        </is>
      </c>
      <c r="E506" t="inlineStr">
        <is>
          <t>ÅNGE</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37663-2025</t>
        </is>
      </c>
      <c r="B507" s="1" t="n">
        <v>45880.51079861111</v>
      </c>
      <c r="C507" s="1" t="n">
        <v>45939</v>
      </c>
      <c r="D507" t="inlineStr">
        <is>
          <t>VÄSTERNORRLANDS LÄN</t>
        </is>
      </c>
      <c r="E507" t="inlineStr">
        <is>
          <t>ÅNGE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45403-2025</t>
        </is>
      </c>
      <c r="B508" s="1" t="n">
        <v>45922.42803240741</v>
      </c>
      <c r="C508" s="1" t="n">
        <v>45939</v>
      </c>
      <c r="D508" t="inlineStr">
        <is>
          <t>VÄSTERNORRLANDS LÄN</t>
        </is>
      </c>
      <c r="E508" t="inlineStr">
        <is>
          <t>ÅNGE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37450-2025</t>
        </is>
      </c>
      <c r="B509" s="1" t="n">
        <v>45877.55261574074</v>
      </c>
      <c r="C509" s="1" t="n">
        <v>45939</v>
      </c>
      <c r="D509" t="inlineStr">
        <is>
          <t>VÄSTERNORRLANDS LÄN</t>
        </is>
      </c>
      <c r="E509" t="inlineStr">
        <is>
          <t>ÅNGE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24231-2024</t>
        </is>
      </c>
      <c r="B510" s="1" t="n">
        <v>45457.34393518518</v>
      </c>
      <c r="C510" s="1" t="n">
        <v>45939</v>
      </c>
      <c r="D510" t="inlineStr">
        <is>
          <t>VÄSTERNORRLANDS LÄN</t>
        </is>
      </c>
      <c r="E510" t="inlineStr">
        <is>
          <t>ÅNGE</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37723-2025</t>
        </is>
      </c>
      <c r="B511" s="1" t="n">
        <v>45880.61528935185</v>
      </c>
      <c r="C511" s="1" t="n">
        <v>45939</v>
      </c>
      <c r="D511" t="inlineStr">
        <is>
          <t>VÄSTERNORRLANDS LÄN</t>
        </is>
      </c>
      <c r="E511" t="inlineStr">
        <is>
          <t>ÅNGE</t>
        </is>
      </c>
      <c r="G511" t="n">
        <v>3</v>
      </c>
      <c r="H511" t="n">
        <v>0</v>
      </c>
      <c r="I511" t="n">
        <v>0</v>
      </c>
      <c r="J511" t="n">
        <v>0</v>
      </c>
      <c r="K511" t="n">
        <v>0</v>
      </c>
      <c r="L511" t="n">
        <v>0</v>
      </c>
      <c r="M511" t="n">
        <v>0</v>
      </c>
      <c r="N511" t="n">
        <v>0</v>
      </c>
      <c r="O511" t="n">
        <v>0</v>
      </c>
      <c r="P511" t="n">
        <v>0</v>
      </c>
      <c r="Q511" t="n">
        <v>0</v>
      </c>
      <c r="R511" s="2" t="inlineStr"/>
    </row>
    <row r="512" ht="15" customHeight="1">
      <c r="A512" t="inlineStr">
        <is>
          <t>A 45401-2025</t>
        </is>
      </c>
      <c r="B512" s="1" t="n">
        <v>45922.42767361111</v>
      </c>
      <c r="C512" s="1" t="n">
        <v>45939</v>
      </c>
      <c r="D512" t="inlineStr">
        <is>
          <t>VÄSTERNORRLANDS LÄN</t>
        </is>
      </c>
      <c r="E512" t="inlineStr">
        <is>
          <t>ÅNGE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37383-2025</t>
        </is>
      </c>
      <c r="B513" s="1" t="n">
        <v>45877.38581018519</v>
      </c>
      <c r="C513" s="1" t="n">
        <v>45939</v>
      </c>
      <c r="D513" t="inlineStr">
        <is>
          <t>VÄSTERNORRLANDS LÄN</t>
        </is>
      </c>
      <c r="E513" t="inlineStr">
        <is>
          <t>ÅNGE</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37719-2025</t>
        </is>
      </c>
      <c r="B514" s="1" t="n">
        <v>45880.61505787037</v>
      </c>
      <c r="C514" s="1" t="n">
        <v>45939</v>
      </c>
      <c r="D514" t="inlineStr">
        <is>
          <t>VÄSTERNORRLANDS LÄN</t>
        </is>
      </c>
      <c r="E514" t="inlineStr">
        <is>
          <t>ÅNGE</t>
        </is>
      </c>
      <c r="G514" t="n">
        <v>1.7</v>
      </c>
      <c r="H514" t="n">
        <v>0</v>
      </c>
      <c r="I514" t="n">
        <v>0</v>
      </c>
      <c r="J514" t="n">
        <v>0</v>
      </c>
      <c r="K514" t="n">
        <v>0</v>
      </c>
      <c r="L514" t="n">
        <v>0</v>
      </c>
      <c r="M514" t="n">
        <v>0</v>
      </c>
      <c r="N514" t="n">
        <v>0</v>
      </c>
      <c r="O514" t="n">
        <v>0</v>
      </c>
      <c r="P514" t="n">
        <v>0</v>
      </c>
      <c r="Q514" t="n">
        <v>0</v>
      </c>
      <c r="R514" s="2" t="inlineStr"/>
    </row>
    <row r="515" ht="15" customHeight="1">
      <c r="A515" t="inlineStr">
        <is>
          <t>A 1582-2025</t>
        </is>
      </c>
      <c r="B515" s="1" t="n">
        <v>45670</v>
      </c>
      <c r="C515" s="1" t="n">
        <v>45939</v>
      </c>
      <c r="D515" t="inlineStr">
        <is>
          <t>VÄSTERNORRLANDS LÄN</t>
        </is>
      </c>
      <c r="E515" t="inlineStr">
        <is>
          <t>ÅNGE</t>
        </is>
      </c>
      <c r="G515" t="n">
        <v>7.3</v>
      </c>
      <c r="H515" t="n">
        <v>0</v>
      </c>
      <c r="I515" t="n">
        <v>0</v>
      </c>
      <c r="J515" t="n">
        <v>0</v>
      </c>
      <c r="K515" t="n">
        <v>0</v>
      </c>
      <c r="L515" t="n">
        <v>0</v>
      </c>
      <c r="M515" t="n">
        <v>0</v>
      </c>
      <c r="N515" t="n">
        <v>0</v>
      </c>
      <c r="O515" t="n">
        <v>0</v>
      </c>
      <c r="P515" t="n">
        <v>0</v>
      </c>
      <c r="Q515" t="n">
        <v>0</v>
      </c>
      <c r="R515" s="2" t="inlineStr"/>
      <c r="U515">
        <f>HYPERLINK("https://klasma.github.io/Logging_2260/knärot/A 1582-2025 karta knärot.png", "A 1582-2025")</f>
        <v/>
      </c>
      <c r="V515">
        <f>HYPERLINK("https://klasma.github.io/Logging_2260/klagomål/A 1582-2025 FSC-klagomål.docx", "A 1582-2025")</f>
        <v/>
      </c>
      <c r="W515">
        <f>HYPERLINK("https://klasma.github.io/Logging_2260/klagomålsmail/A 1582-2025 FSC-klagomål mail.docx", "A 1582-2025")</f>
        <v/>
      </c>
      <c r="X515">
        <f>HYPERLINK("https://klasma.github.io/Logging_2260/tillsyn/A 1582-2025 tillsynsbegäran.docx", "A 1582-2025")</f>
        <v/>
      </c>
      <c r="Y515">
        <f>HYPERLINK("https://klasma.github.io/Logging_2260/tillsynsmail/A 1582-2025 tillsynsbegäran mail.docx", "A 1582-2025")</f>
        <v/>
      </c>
    </row>
    <row r="516" ht="15" customHeight="1">
      <c r="A516" t="inlineStr">
        <is>
          <t>A 45404-2025</t>
        </is>
      </c>
      <c r="B516" s="1" t="n">
        <v>45922.42820601852</v>
      </c>
      <c r="C516" s="1" t="n">
        <v>45939</v>
      </c>
      <c r="D516" t="inlineStr">
        <is>
          <t>VÄSTERNORRLANDS LÄN</t>
        </is>
      </c>
      <c r="E516" t="inlineStr">
        <is>
          <t>ÅNGE</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1975-2025</t>
        </is>
      </c>
      <c r="B517" s="1" t="n">
        <v>45672.39332175926</v>
      </c>
      <c r="C517" s="1" t="n">
        <v>45939</v>
      </c>
      <c r="D517" t="inlineStr">
        <is>
          <t>VÄSTERNORRLANDS LÄN</t>
        </is>
      </c>
      <c r="E517" t="inlineStr">
        <is>
          <t>ÅNGE</t>
        </is>
      </c>
      <c r="G517" t="n">
        <v>6.2</v>
      </c>
      <c r="H517" t="n">
        <v>0</v>
      </c>
      <c r="I517" t="n">
        <v>0</v>
      </c>
      <c r="J517" t="n">
        <v>0</v>
      </c>
      <c r="K517" t="n">
        <v>0</v>
      </c>
      <c r="L517" t="n">
        <v>0</v>
      </c>
      <c r="M517" t="n">
        <v>0</v>
      </c>
      <c r="N517" t="n">
        <v>0</v>
      </c>
      <c r="O517" t="n">
        <v>0</v>
      </c>
      <c r="P517" t="n">
        <v>0</v>
      </c>
      <c r="Q517" t="n">
        <v>0</v>
      </c>
      <c r="R517" s="2" t="inlineStr"/>
    </row>
    <row r="518" ht="15" customHeight="1">
      <c r="A518" t="inlineStr">
        <is>
          <t>A 54908-2021</t>
        </is>
      </c>
      <c r="B518" s="1" t="n">
        <v>44474.39769675926</v>
      </c>
      <c r="C518" s="1" t="n">
        <v>45939</v>
      </c>
      <c r="D518" t="inlineStr">
        <is>
          <t>VÄSTERNORRLANDS LÄN</t>
        </is>
      </c>
      <c r="E518" t="inlineStr">
        <is>
          <t>ÅNGE</t>
        </is>
      </c>
      <c r="G518" t="n">
        <v>7.8</v>
      </c>
      <c r="H518" t="n">
        <v>0</v>
      </c>
      <c r="I518" t="n">
        <v>0</v>
      </c>
      <c r="J518" t="n">
        <v>0</v>
      </c>
      <c r="K518" t="n">
        <v>0</v>
      </c>
      <c r="L518" t="n">
        <v>0</v>
      </c>
      <c r="M518" t="n">
        <v>0</v>
      </c>
      <c r="N518" t="n">
        <v>0</v>
      </c>
      <c r="O518" t="n">
        <v>0</v>
      </c>
      <c r="P518" t="n">
        <v>0</v>
      </c>
      <c r="Q518" t="n">
        <v>0</v>
      </c>
      <c r="R518" s="2" t="inlineStr"/>
    </row>
    <row r="519" ht="15" customHeight="1">
      <c r="A519" t="inlineStr">
        <is>
          <t>A 27951-2021</t>
        </is>
      </c>
      <c r="B519" s="1" t="n">
        <v>44354</v>
      </c>
      <c r="C519" s="1" t="n">
        <v>45939</v>
      </c>
      <c r="D519" t="inlineStr">
        <is>
          <t>VÄSTERNORRLANDS LÄN</t>
        </is>
      </c>
      <c r="E519" t="inlineStr">
        <is>
          <t>ÅNGE</t>
        </is>
      </c>
      <c r="G519" t="n">
        <v>3</v>
      </c>
      <c r="H519" t="n">
        <v>0</v>
      </c>
      <c r="I519" t="n">
        <v>0</v>
      </c>
      <c r="J519" t="n">
        <v>0</v>
      </c>
      <c r="K519" t="n">
        <v>0</v>
      </c>
      <c r="L519" t="n">
        <v>0</v>
      </c>
      <c r="M519" t="n">
        <v>0</v>
      </c>
      <c r="N519" t="n">
        <v>0</v>
      </c>
      <c r="O519" t="n">
        <v>0</v>
      </c>
      <c r="P519" t="n">
        <v>0</v>
      </c>
      <c r="Q519" t="n">
        <v>0</v>
      </c>
      <c r="R519" s="2" t="inlineStr"/>
    </row>
    <row r="520" ht="15" customHeight="1">
      <c r="A520" t="inlineStr">
        <is>
          <t>A 22990-2024</t>
        </is>
      </c>
      <c r="B520" s="1" t="n">
        <v>45449.94548611111</v>
      </c>
      <c r="C520" s="1" t="n">
        <v>45939</v>
      </c>
      <c r="D520" t="inlineStr">
        <is>
          <t>VÄSTERNORRLANDS LÄN</t>
        </is>
      </c>
      <c r="E520" t="inlineStr">
        <is>
          <t>ÅNGE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33429-2023</t>
        </is>
      </c>
      <c r="B521" s="1" t="n">
        <v>45128.94983796297</v>
      </c>
      <c r="C521" s="1" t="n">
        <v>45939</v>
      </c>
      <c r="D521" t="inlineStr">
        <is>
          <t>VÄSTERNORRLANDS LÄN</t>
        </is>
      </c>
      <c r="E521" t="inlineStr">
        <is>
          <t>ÅNGE</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20576-2021</t>
        </is>
      </c>
      <c r="B522" s="1" t="n">
        <v>44316.3290162037</v>
      </c>
      <c r="C522" s="1" t="n">
        <v>45939</v>
      </c>
      <c r="D522" t="inlineStr">
        <is>
          <t>VÄSTERNORRLANDS LÄN</t>
        </is>
      </c>
      <c r="E522" t="inlineStr">
        <is>
          <t>ÅNGE</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1235-2023</t>
        </is>
      </c>
      <c r="B523" s="1" t="n">
        <v>44935</v>
      </c>
      <c r="C523" s="1" t="n">
        <v>45939</v>
      </c>
      <c r="D523" t="inlineStr">
        <is>
          <t>VÄSTERNORRLANDS LÄN</t>
        </is>
      </c>
      <c r="E523" t="inlineStr">
        <is>
          <t>ÅNGE</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13501-2021</t>
        </is>
      </c>
      <c r="B524" s="1" t="n">
        <v>44273</v>
      </c>
      <c r="C524" s="1" t="n">
        <v>45939</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33302-2024</t>
        </is>
      </c>
      <c r="B525" s="1" t="n">
        <v>45518.96967592592</v>
      </c>
      <c r="C525" s="1" t="n">
        <v>45939</v>
      </c>
      <c r="D525" t="inlineStr">
        <is>
          <t>VÄSTERNORRLANDS LÄN</t>
        </is>
      </c>
      <c r="E525" t="inlineStr">
        <is>
          <t>ÅNGE</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13773-2024</t>
        </is>
      </c>
      <c r="B526" s="1" t="n">
        <v>45390.95297453704</v>
      </c>
      <c r="C526" s="1" t="n">
        <v>45939</v>
      </c>
      <c r="D526" t="inlineStr">
        <is>
          <t>VÄSTERNORRLANDS LÄN</t>
        </is>
      </c>
      <c r="E526" t="inlineStr">
        <is>
          <t>ÅNGE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7528-2023</t>
        </is>
      </c>
      <c r="B527" s="1" t="n">
        <v>44971.97662037037</v>
      </c>
      <c r="C527" s="1" t="n">
        <v>45939</v>
      </c>
      <c r="D527" t="inlineStr">
        <is>
          <t>VÄSTERNORRLANDS LÄN</t>
        </is>
      </c>
      <c r="E527" t="inlineStr">
        <is>
          <t>ÅNGE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39589-2022</t>
        </is>
      </c>
      <c r="B528" s="1" t="n">
        <v>44818</v>
      </c>
      <c r="C528" s="1" t="n">
        <v>45939</v>
      </c>
      <c r="D528" t="inlineStr">
        <is>
          <t>VÄSTERNORRLANDS LÄN</t>
        </is>
      </c>
      <c r="E528" t="inlineStr">
        <is>
          <t>ÅNGE</t>
        </is>
      </c>
      <c r="G528" t="n">
        <v>4.8</v>
      </c>
      <c r="H528" t="n">
        <v>0</v>
      </c>
      <c r="I528" t="n">
        <v>0</v>
      </c>
      <c r="J528" t="n">
        <v>0</v>
      </c>
      <c r="K528" t="n">
        <v>0</v>
      </c>
      <c r="L528" t="n">
        <v>0</v>
      </c>
      <c r="M528" t="n">
        <v>0</v>
      </c>
      <c r="N528" t="n">
        <v>0</v>
      </c>
      <c r="O528" t="n">
        <v>0</v>
      </c>
      <c r="P528" t="n">
        <v>0</v>
      </c>
      <c r="Q528" t="n">
        <v>0</v>
      </c>
      <c r="R528" s="2" t="inlineStr"/>
    </row>
    <row r="529" ht="15" customHeight="1">
      <c r="A529" t="inlineStr">
        <is>
          <t>A 9567-2024</t>
        </is>
      </c>
      <c r="B529" s="1" t="n">
        <v>45360.03635416667</v>
      </c>
      <c r="C529" s="1" t="n">
        <v>45939</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20110-2023</t>
        </is>
      </c>
      <c r="B530" s="1" t="n">
        <v>45051</v>
      </c>
      <c r="C530" s="1" t="n">
        <v>45939</v>
      </c>
      <c r="D530" t="inlineStr">
        <is>
          <t>VÄSTERNORRLANDS LÄN</t>
        </is>
      </c>
      <c r="E530" t="inlineStr">
        <is>
          <t>ÅNGE</t>
        </is>
      </c>
      <c r="G530" t="n">
        <v>2.5</v>
      </c>
      <c r="H530" t="n">
        <v>0</v>
      </c>
      <c r="I530" t="n">
        <v>0</v>
      </c>
      <c r="J530" t="n">
        <v>0</v>
      </c>
      <c r="K530" t="n">
        <v>0</v>
      </c>
      <c r="L530" t="n">
        <v>0</v>
      </c>
      <c r="M530" t="n">
        <v>0</v>
      </c>
      <c r="N530" t="n">
        <v>0</v>
      </c>
      <c r="O530" t="n">
        <v>0</v>
      </c>
      <c r="P530" t="n">
        <v>0</v>
      </c>
      <c r="Q530" t="n">
        <v>0</v>
      </c>
      <c r="R530" s="2" t="inlineStr"/>
    </row>
    <row r="531" ht="15" customHeight="1">
      <c r="A531" t="inlineStr">
        <is>
          <t>A 34726-2024</t>
        </is>
      </c>
      <c r="B531" s="1" t="n">
        <v>45526.5733912037</v>
      </c>
      <c r="C531" s="1" t="n">
        <v>45939</v>
      </c>
      <c r="D531" t="inlineStr">
        <is>
          <t>VÄSTERNORRLANDS LÄN</t>
        </is>
      </c>
      <c r="E531" t="inlineStr">
        <is>
          <t>ÅNGE</t>
        </is>
      </c>
      <c r="G531" t="n">
        <v>1.9</v>
      </c>
      <c r="H531" t="n">
        <v>0</v>
      </c>
      <c r="I531" t="n">
        <v>0</v>
      </c>
      <c r="J531" t="n">
        <v>0</v>
      </c>
      <c r="K531" t="n">
        <v>0</v>
      </c>
      <c r="L531" t="n">
        <v>0</v>
      </c>
      <c r="M531" t="n">
        <v>0</v>
      </c>
      <c r="N531" t="n">
        <v>0</v>
      </c>
      <c r="O531" t="n">
        <v>0</v>
      </c>
      <c r="P531" t="n">
        <v>0</v>
      </c>
      <c r="Q531" t="n">
        <v>0</v>
      </c>
      <c r="R531" s="2" t="inlineStr"/>
    </row>
    <row r="532" ht="15" customHeight="1">
      <c r="A532" t="inlineStr">
        <is>
          <t>A 51311-2022</t>
        </is>
      </c>
      <c r="B532" s="1" t="n">
        <v>44868</v>
      </c>
      <c r="C532" s="1" t="n">
        <v>45939</v>
      </c>
      <c r="D532" t="inlineStr">
        <is>
          <t>VÄSTERNORRLANDS LÄN</t>
        </is>
      </c>
      <c r="E532" t="inlineStr">
        <is>
          <t>ÅNGE</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34851-2023</t>
        </is>
      </c>
      <c r="B533" s="1" t="n">
        <v>45141</v>
      </c>
      <c r="C533" s="1" t="n">
        <v>45939</v>
      </c>
      <c r="D533" t="inlineStr">
        <is>
          <t>VÄSTERNORRLANDS LÄN</t>
        </is>
      </c>
      <c r="E533" t="inlineStr">
        <is>
          <t>ÅNGE</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25320-2023</t>
        </is>
      </c>
      <c r="B534" s="1" t="n">
        <v>45086.93929398148</v>
      </c>
      <c r="C534" s="1" t="n">
        <v>45939</v>
      </c>
      <c r="D534" t="inlineStr">
        <is>
          <t>VÄSTERNORRLANDS LÄN</t>
        </is>
      </c>
      <c r="E534" t="inlineStr">
        <is>
          <t>ÅNGE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33428-2023</t>
        </is>
      </c>
      <c r="B535" s="1" t="n">
        <v>45128.94976851852</v>
      </c>
      <c r="C535" s="1" t="n">
        <v>45939</v>
      </c>
      <c r="D535" t="inlineStr">
        <is>
          <t>VÄSTERNORRLANDS LÄN</t>
        </is>
      </c>
      <c r="E535" t="inlineStr">
        <is>
          <t>ÅNGE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24541-2023</t>
        </is>
      </c>
      <c r="B536" s="1" t="n">
        <v>45082.94135416667</v>
      </c>
      <c r="C536" s="1" t="n">
        <v>45939</v>
      </c>
      <c r="D536" t="inlineStr">
        <is>
          <t>VÄSTERNORRLANDS LÄN</t>
        </is>
      </c>
      <c r="E536" t="inlineStr">
        <is>
          <t>ÅNGE</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24552-2023</t>
        </is>
      </c>
      <c r="B537" s="1" t="n">
        <v>45082.94226851852</v>
      </c>
      <c r="C537" s="1" t="n">
        <v>45939</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18542-2022</t>
        </is>
      </c>
      <c r="B538" s="1" t="n">
        <v>44686</v>
      </c>
      <c r="C538" s="1" t="n">
        <v>45939</v>
      </c>
      <c r="D538" t="inlineStr">
        <is>
          <t>VÄSTERNORRLANDS LÄN</t>
        </is>
      </c>
      <c r="E538" t="inlineStr">
        <is>
          <t>ÅNGE</t>
        </is>
      </c>
      <c r="G538" t="n">
        <v>0.2</v>
      </c>
      <c r="H538" t="n">
        <v>0</v>
      </c>
      <c r="I538" t="n">
        <v>0</v>
      </c>
      <c r="J538" t="n">
        <v>0</v>
      </c>
      <c r="K538" t="n">
        <v>0</v>
      </c>
      <c r="L538" t="n">
        <v>0</v>
      </c>
      <c r="M538" t="n">
        <v>0</v>
      </c>
      <c r="N538" t="n">
        <v>0</v>
      </c>
      <c r="O538" t="n">
        <v>0</v>
      </c>
      <c r="P538" t="n">
        <v>0</v>
      </c>
      <c r="Q538" t="n">
        <v>0</v>
      </c>
      <c r="R538" s="2" t="inlineStr"/>
    </row>
    <row r="539" ht="15" customHeight="1">
      <c r="A539" t="inlineStr">
        <is>
          <t>A 44600-2024</t>
        </is>
      </c>
      <c r="B539" s="1" t="n">
        <v>45574.51113425926</v>
      </c>
      <c r="C539" s="1" t="n">
        <v>45939</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34815-2024</t>
        </is>
      </c>
      <c r="B540" s="1" t="n">
        <v>45526.70732638889</v>
      </c>
      <c r="C540" s="1" t="n">
        <v>45939</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26013-2024</t>
        </is>
      </c>
      <c r="B541" s="1" t="n">
        <v>45467</v>
      </c>
      <c r="C541" s="1" t="n">
        <v>45939</v>
      </c>
      <c r="D541" t="inlineStr">
        <is>
          <t>VÄSTERNORRLANDS LÄN</t>
        </is>
      </c>
      <c r="E541" t="inlineStr">
        <is>
          <t>ÅNGE</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25377-2024</t>
        </is>
      </c>
      <c r="B542" s="1" t="n">
        <v>45462.96211805556</v>
      </c>
      <c r="C542" s="1" t="n">
        <v>45939</v>
      </c>
      <c r="D542" t="inlineStr">
        <is>
          <t>VÄSTERNORRLANDS LÄN</t>
        </is>
      </c>
      <c r="E542" t="inlineStr">
        <is>
          <t>ÅNGE</t>
        </is>
      </c>
      <c r="F542" t="inlineStr">
        <is>
          <t>SCA</t>
        </is>
      </c>
      <c r="G542" t="n">
        <v>20.7</v>
      </c>
      <c r="H542" t="n">
        <v>0</v>
      </c>
      <c r="I542" t="n">
        <v>0</v>
      </c>
      <c r="J542" t="n">
        <v>0</v>
      </c>
      <c r="K542" t="n">
        <v>0</v>
      </c>
      <c r="L542" t="n">
        <v>0</v>
      </c>
      <c r="M542" t="n">
        <v>0</v>
      </c>
      <c r="N542" t="n">
        <v>0</v>
      </c>
      <c r="O542" t="n">
        <v>0</v>
      </c>
      <c r="P542" t="n">
        <v>0</v>
      </c>
      <c r="Q542" t="n">
        <v>0</v>
      </c>
      <c r="R542" s="2" t="inlineStr"/>
    </row>
    <row r="543" ht="15" customHeight="1">
      <c r="A543" t="inlineStr">
        <is>
          <t>A 56399-2022</t>
        </is>
      </c>
      <c r="B543" s="1" t="n">
        <v>44890</v>
      </c>
      <c r="C543" s="1" t="n">
        <v>45939</v>
      </c>
      <c r="D543" t="inlineStr">
        <is>
          <t>VÄSTERNORRLANDS LÄN</t>
        </is>
      </c>
      <c r="E543" t="inlineStr">
        <is>
          <t>ÅNGE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46109-2025</t>
        </is>
      </c>
      <c r="B544" s="1" t="n">
        <v>45924.5596412037</v>
      </c>
      <c r="C544" s="1" t="n">
        <v>45939</v>
      </c>
      <c r="D544" t="inlineStr">
        <is>
          <t>VÄSTERNORRLANDS LÄN</t>
        </is>
      </c>
      <c r="E544" t="inlineStr">
        <is>
          <t>ÅNGE</t>
        </is>
      </c>
      <c r="G544" t="n">
        <v>1.1</v>
      </c>
      <c r="H544" t="n">
        <v>0</v>
      </c>
      <c r="I544" t="n">
        <v>0</v>
      </c>
      <c r="J544" t="n">
        <v>0</v>
      </c>
      <c r="K544" t="n">
        <v>0</v>
      </c>
      <c r="L544" t="n">
        <v>0</v>
      </c>
      <c r="M544" t="n">
        <v>0</v>
      </c>
      <c r="N544" t="n">
        <v>0</v>
      </c>
      <c r="O544" t="n">
        <v>0</v>
      </c>
      <c r="P544" t="n">
        <v>0</v>
      </c>
      <c r="Q544" t="n">
        <v>0</v>
      </c>
      <c r="R544" s="2" t="inlineStr"/>
    </row>
    <row r="545" ht="15" customHeight="1">
      <c r="A545" t="inlineStr">
        <is>
          <t>A 46111-2025</t>
        </is>
      </c>
      <c r="B545" s="1" t="n">
        <v>45924.56684027778</v>
      </c>
      <c r="C545" s="1" t="n">
        <v>45939</v>
      </c>
      <c r="D545" t="inlineStr">
        <is>
          <t>VÄSTERNORRLANDS LÄN</t>
        </is>
      </c>
      <c r="E545" t="inlineStr">
        <is>
          <t>ÅNGE</t>
        </is>
      </c>
      <c r="G545" t="n">
        <v>1.1</v>
      </c>
      <c r="H545" t="n">
        <v>0</v>
      </c>
      <c r="I545" t="n">
        <v>0</v>
      </c>
      <c r="J545" t="n">
        <v>0</v>
      </c>
      <c r="K545" t="n">
        <v>0</v>
      </c>
      <c r="L545" t="n">
        <v>0</v>
      </c>
      <c r="M545" t="n">
        <v>0</v>
      </c>
      <c r="N545" t="n">
        <v>0</v>
      </c>
      <c r="O545" t="n">
        <v>0</v>
      </c>
      <c r="P545" t="n">
        <v>0</v>
      </c>
      <c r="Q545" t="n">
        <v>0</v>
      </c>
      <c r="R545" s="2" t="inlineStr"/>
    </row>
    <row r="546" ht="15" customHeight="1">
      <c r="A546" t="inlineStr">
        <is>
          <t>A 28506-2024</t>
        </is>
      </c>
      <c r="B546" s="1" t="n">
        <v>45477.9475</v>
      </c>
      <c r="C546" s="1" t="n">
        <v>45939</v>
      </c>
      <c r="D546" t="inlineStr">
        <is>
          <t>VÄSTERNORRLANDS LÄN</t>
        </is>
      </c>
      <c r="E546" t="inlineStr">
        <is>
          <t>ÅNGE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56956-2022</t>
        </is>
      </c>
      <c r="B547" s="1" t="n">
        <v>44894</v>
      </c>
      <c r="C547" s="1" t="n">
        <v>45939</v>
      </c>
      <c r="D547" t="inlineStr">
        <is>
          <t>VÄSTERNORRLANDS LÄN</t>
        </is>
      </c>
      <c r="E547" t="inlineStr">
        <is>
          <t>ÅNGE</t>
        </is>
      </c>
      <c r="G547" t="n">
        <v>1.1</v>
      </c>
      <c r="H547" t="n">
        <v>0</v>
      </c>
      <c r="I547" t="n">
        <v>0</v>
      </c>
      <c r="J547" t="n">
        <v>0</v>
      </c>
      <c r="K547" t="n">
        <v>0</v>
      </c>
      <c r="L547" t="n">
        <v>0</v>
      </c>
      <c r="M547" t="n">
        <v>0</v>
      </c>
      <c r="N547" t="n">
        <v>0</v>
      </c>
      <c r="O547" t="n">
        <v>0</v>
      </c>
      <c r="P547" t="n">
        <v>0</v>
      </c>
      <c r="Q547" t="n">
        <v>0</v>
      </c>
      <c r="R547" s="2" t="inlineStr"/>
    </row>
    <row r="548" ht="15" customHeight="1">
      <c r="A548" t="inlineStr">
        <is>
          <t>A 1420-2023</t>
        </is>
      </c>
      <c r="B548" s="1" t="n">
        <v>44936.92762731481</v>
      </c>
      <c r="C548" s="1" t="n">
        <v>45939</v>
      </c>
      <c r="D548" t="inlineStr">
        <is>
          <t>VÄSTERNORRLANDS LÄN</t>
        </is>
      </c>
      <c r="E548" t="inlineStr">
        <is>
          <t>ÅNGE</t>
        </is>
      </c>
      <c r="G548" t="n">
        <v>3.7</v>
      </c>
      <c r="H548" t="n">
        <v>0</v>
      </c>
      <c r="I548" t="n">
        <v>0</v>
      </c>
      <c r="J548" t="n">
        <v>0</v>
      </c>
      <c r="K548" t="n">
        <v>0</v>
      </c>
      <c r="L548" t="n">
        <v>0</v>
      </c>
      <c r="M548" t="n">
        <v>0</v>
      </c>
      <c r="N548" t="n">
        <v>0</v>
      </c>
      <c r="O548" t="n">
        <v>0</v>
      </c>
      <c r="P548" t="n">
        <v>0</v>
      </c>
      <c r="Q548" t="n">
        <v>0</v>
      </c>
      <c r="R548" s="2" t="inlineStr"/>
    </row>
    <row r="549" ht="15" customHeight="1">
      <c r="A549" t="inlineStr">
        <is>
          <t>A 60205-2023</t>
        </is>
      </c>
      <c r="B549" s="1" t="n">
        <v>45257</v>
      </c>
      <c r="C549" s="1" t="n">
        <v>45939</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5035-2025</t>
        </is>
      </c>
      <c r="B550" s="1" t="n">
        <v>45691</v>
      </c>
      <c r="C550" s="1" t="n">
        <v>45939</v>
      </c>
      <c r="D550" t="inlineStr">
        <is>
          <t>VÄSTERNORRLANDS LÄN</t>
        </is>
      </c>
      <c r="E550" t="inlineStr">
        <is>
          <t>ÅNGE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26018-2024</t>
        </is>
      </c>
      <c r="B551" s="1" t="n">
        <v>45467.95998842592</v>
      </c>
      <c r="C551" s="1" t="n">
        <v>45939</v>
      </c>
      <c r="D551" t="inlineStr">
        <is>
          <t>VÄSTERNORRLANDS LÄN</t>
        </is>
      </c>
      <c r="E551" t="inlineStr">
        <is>
          <t>ÅNGE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26021-2024</t>
        </is>
      </c>
      <c r="B552" s="1" t="n">
        <v>45467</v>
      </c>
      <c r="C552" s="1" t="n">
        <v>45939</v>
      </c>
      <c r="D552" t="inlineStr">
        <is>
          <t>VÄSTERNORRLANDS LÄN</t>
        </is>
      </c>
      <c r="E552" t="inlineStr">
        <is>
          <t>ÅNGE</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33631-2024</t>
        </is>
      </c>
      <c r="B553" s="1" t="n">
        <v>45520</v>
      </c>
      <c r="C553" s="1" t="n">
        <v>45939</v>
      </c>
      <c r="D553" t="inlineStr">
        <is>
          <t>VÄSTERNORRLANDS LÄN</t>
        </is>
      </c>
      <c r="E553" t="inlineStr">
        <is>
          <t>ÅNGE</t>
        </is>
      </c>
      <c r="G553" t="n">
        <v>1.7</v>
      </c>
      <c r="H553" t="n">
        <v>0</v>
      </c>
      <c r="I553" t="n">
        <v>0</v>
      </c>
      <c r="J553" t="n">
        <v>0</v>
      </c>
      <c r="K553" t="n">
        <v>0</v>
      </c>
      <c r="L553" t="n">
        <v>0</v>
      </c>
      <c r="M553" t="n">
        <v>0</v>
      </c>
      <c r="N553" t="n">
        <v>0</v>
      </c>
      <c r="O553" t="n">
        <v>0</v>
      </c>
      <c r="P553" t="n">
        <v>0</v>
      </c>
      <c r="Q553" t="n">
        <v>0</v>
      </c>
      <c r="R553" s="2" t="inlineStr"/>
    </row>
    <row r="554" ht="15" customHeight="1">
      <c r="A554" t="inlineStr">
        <is>
          <t>A 45932-2023</t>
        </is>
      </c>
      <c r="B554" s="1" t="n">
        <v>45195</v>
      </c>
      <c r="C554" s="1" t="n">
        <v>45939</v>
      </c>
      <c r="D554" t="inlineStr">
        <is>
          <t>VÄSTERNORRLANDS LÄN</t>
        </is>
      </c>
      <c r="E554" t="inlineStr">
        <is>
          <t>ÅNGE</t>
        </is>
      </c>
      <c r="F554" t="inlineStr">
        <is>
          <t>SCA</t>
        </is>
      </c>
      <c r="G554" t="n">
        <v>0.1</v>
      </c>
      <c r="H554" t="n">
        <v>0</v>
      </c>
      <c r="I554" t="n">
        <v>0</v>
      </c>
      <c r="J554" t="n">
        <v>0</v>
      </c>
      <c r="K554" t="n">
        <v>0</v>
      </c>
      <c r="L554" t="n">
        <v>0</v>
      </c>
      <c r="M554" t="n">
        <v>0</v>
      </c>
      <c r="N554" t="n">
        <v>0</v>
      </c>
      <c r="O554" t="n">
        <v>0</v>
      </c>
      <c r="P554" t="n">
        <v>0</v>
      </c>
      <c r="Q554" t="n">
        <v>0</v>
      </c>
      <c r="R554" s="2" t="inlineStr"/>
    </row>
    <row r="555" ht="15" customHeight="1">
      <c r="A555" t="inlineStr">
        <is>
          <t>A 44876-2024</t>
        </is>
      </c>
      <c r="B555" s="1" t="n">
        <v>45575.34474537037</v>
      </c>
      <c r="C555" s="1" t="n">
        <v>45939</v>
      </c>
      <c r="D555" t="inlineStr">
        <is>
          <t>VÄSTERNORRLANDS LÄN</t>
        </is>
      </c>
      <c r="E555" t="inlineStr">
        <is>
          <t>ÅNGE</t>
        </is>
      </c>
      <c r="F555" t="inlineStr">
        <is>
          <t>SCA</t>
        </is>
      </c>
      <c r="G555" t="n">
        <v>12.4</v>
      </c>
      <c r="H555" t="n">
        <v>0</v>
      </c>
      <c r="I555" t="n">
        <v>0</v>
      </c>
      <c r="J555" t="n">
        <v>0</v>
      </c>
      <c r="K555" t="n">
        <v>0</v>
      </c>
      <c r="L555" t="n">
        <v>0</v>
      </c>
      <c r="M555" t="n">
        <v>0</v>
      </c>
      <c r="N555" t="n">
        <v>0</v>
      </c>
      <c r="O555" t="n">
        <v>0</v>
      </c>
      <c r="P555" t="n">
        <v>0</v>
      </c>
      <c r="Q555" t="n">
        <v>0</v>
      </c>
      <c r="R555" s="2" t="inlineStr"/>
    </row>
    <row r="556" ht="15" customHeight="1">
      <c r="A556" t="inlineStr">
        <is>
          <t>A 6-2025</t>
        </is>
      </c>
      <c r="B556" s="1" t="n">
        <v>45658.50759259259</v>
      </c>
      <c r="C556" s="1" t="n">
        <v>45939</v>
      </c>
      <c r="D556" t="inlineStr">
        <is>
          <t>VÄSTERNORRLANDS LÄN</t>
        </is>
      </c>
      <c r="E556" t="inlineStr">
        <is>
          <t>ÅNGE</t>
        </is>
      </c>
      <c r="G556" t="n">
        <v>4.3</v>
      </c>
      <c r="H556" t="n">
        <v>0</v>
      </c>
      <c r="I556" t="n">
        <v>0</v>
      </c>
      <c r="J556" t="n">
        <v>0</v>
      </c>
      <c r="K556" t="n">
        <v>0</v>
      </c>
      <c r="L556" t="n">
        <v>0</v>
      </c>
      <c r="M556" t="n">
        <v>0</v>
      </c>
      <c r="N556" t="n">
        <v>0</v>
      </c>
      <c r="O556" t="n">
        <v>0</v>
      </c>
      <c r="P556" t="n">
        <v>0</v>
      </c>
      <c r="Q556" t="n">
        <v>0</v>
      </c>
      <c r="R556" s="2" t="inlineStr"/>
    </row>
    <row r="557" ht="15" customHeight="1">
      <c r="A557" t="inlineStr">
        <is>
          <t>A 39764-2024</t>
        </is>
      </c>
      <c r="B557" s="1" t="n">
        <v>45552.7190162037</v>
      </c>
      <c r="C557" s="1" t="n">
        <v>45939</v>
      </c>
      <c r="D557" t="inlineStr">
        <is>
          <t>VÄSTERNORRLANDS LÄN</t>
        </is>
      </c>
      <c r="E557" t="inlineStr">
        <is>
          <t>ÅNGE</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45970-2025</t>
        </is>
      </c>
      <c r="B558" s="1" t="n">
        <v>45924.36519675926</v>
      </c>
      <c r="C558" s="1" t="n">
        <v>45939</v>
      </c>
      <c r="D558" t="inlineStr">
        <is>
          <t>VÄSTERNORRLANDS LÄN</t>
        </is>
      </c>
      <c r="E558" t="inlineStr">
        <is>
          <t>ÅNGE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11088-2024</t>
        </is>
      </c>
      <c r="B559" s="1" t="n">
        <v>45370</v>
      </c>
      <c r="C559" s="1" t="n">
        <v>45939</v>
      </c>
      <c r="D559" t="inlineStr">
        <is>
          <t>VÄSTERNORRLANDS LÄN</t>
        </is>
      </c>
      <c r="E559" t="inlineStr">
        <is>
          <t>ÅNGE</t>
        </is>
      </c>
      <c r="F559" t="inlineStr">
        <is>
          <t>SCA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45875-2025</t>
        </is>
      </c>
      <c r="B560" s="1" t="n">
        <v>45923.65690972222</v>
      </c>
      <c r="C560" s="1" t="n">
        <v>45939</v>
      </c>
      <c r="D560" t="inlineStr">
        <is>
          <t>VÄSTERNORRLANDS LÄN</t>
        </is>
      </c>
      <c r="E560" t="inlineStr">
        <is>
          <t>ÅNGE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38078-2025</t>
        </is>
      </c>
      <c r="B561" s="1" t="n">
        <v>45882.46918981482</v>
      </c>
      <c r="C561" s="1" t="n">
        <v>45939</v>
      </c>
      <c r="D561" t="inlineStr">
        <is>
          <t>VÄSTERNORRLANDS LÄN</t>
        </is>
      </c>
      <c r="E561" t="inlineStr">
        <is>
          <t>ÅNGE</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53988-2024</t>
        </is>
      </c>
      <c r="B562" s="1" t="n">
        <v>45616.34408564815</v>
      </c>
      <c r="C562" s="1" t="n">
        <v>45939</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54002-2024</t>
        </is>
      </c>
      <c r="B563" s="1" t="n">
        <v>45616.36491898148</v>
      </c>
      <c r="C563" s="1" t="n">
        <v>45939</v>
      </c>
      <c r="D563" t="inlineStr">
        <is>
          <t>VÄSTERNORRLANDS LÄN</t>
        </is>
      </c>
      <c r="E563" t="inlineStr">
        <is>
          <t>ÅNGE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26012-2024</t>
        </is>
      </c>
      <c r="B564" s="1" t="n">
        <v>45467</v>
      </c>
      <c r="C564" s="1" t="n">
        <v>45939</v>
      </c>
      <c r="D564" t="inlineStr">
        <is>
          <t>VÄSTERNORRLANDS LÄN</t>
        </is>
      </c>
      <c r="E564" t="inlineStr">
        <is>
          <t>ÅNGE</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37919-2025</t>
        </is>
      </c>
      <c r="B565" s="1" t="n">
        <v>45881.57478009259</v>
      </c>
      <c r="C565" s="1" t="n">
        <v>45939</v>
      </c>
      <c r="D565" t="inlineStr">
        <is>
          <t>VÄSTERNORRLANDS LÄN</t>
        </is>
      </c>
      <c r="E565" t="inlineStr">
        <is>
          <t>ÅNGE</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37802-2025</t>
        </is>
      </c>
      <c r="B566" s="1" t="n">
        <v>45881.34447916667</v>
      </c>
      <c r="C566" s="1" t="n">
        <v>45939</v>
      </c>
      <c r="D566" t="inlineStr">
        <is>
          <t>VÄSTERNORRLANDS LÄN</t>
        </is>
      </c>
      <c r="E566" t="inlineStr">
        <is>
          <t>ÅNGE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45833-2025</t>
        </is>
      </c>
      <c r="B567" s="1" t="n">
        <v>45923</v>
      </c>
      <c r="C567" s="1" t="n">
        <v>45939</v>
      </c>
      <c r="D567" t="inlineStr">
        <is>
          <t>VÄSTERNORRLANDS LÄN</t>
        </is>
      </c>
      <c r="E567" t="inlineStr">
        <is>
          <t>ÅNGE</t>
        </is>
      </c>
      <c r="G567" t="n">
        <v>8.1</v>
      </c>
      <c r="H567" t="n">
        <v>0</v>
      </c>
      <c r="I567" t="n">
        <v>0</v>
      </c>
      <c r="J567" t="n">
        <v>0</v>
      </c>
      <c r="K567" t="n">
        <v>0</v>
      </c>
      <c r="L567" t="n">
        <v>0</v>
      </c>
      <c r="M567" t="n">
        <v>0</v>
      </c>
      <c r="N567" t="n">
        <v>0</v>
      </c>
      <c r="O567" t="n">
        <v>0</v>
      </c>
      <c r="P567" t="n">
        <v>0</v>
      </c>
      <c r="Q567" t="n">
        <v>0</v>
      </c>
      <c r="R567" s="2" t="inlineStr"/>
    </row>
    <row r="568" ht="15" customHeight="1">
      <c r="A568" t="inlineStr">
        <is>
          <t>A 45659-2025</t>
        </is>
      </c>
      <c r="B568" s="1" t="n">
        <v>45923.34471064815</v>
      </c>
      <c r="C568" s="1" t="n">
        <v>45939</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30348-2024</t>
        </is>
      </c>
      <c r="B569" s="1" t="n">
        <v>45490.95524305556</v>
      </c>
      <c r="C569" s="1" t="n">
        <v>45939</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31457-2024</t>
        </is>
      </c>
      <c r="B570" s="1" t="n">
        <v>45505</v>
      </c>
      <c r="C570" s="1" t="n">
        <v>45939</v>
      </c>
      <c r="D570" t="inlineStr">
        <is>
          <t>VÄSTERNORRLANDS LÄN</t>
        </is>
      </c>
      <c r="E570" t="inlineStr">
        <is>
          <t>ÅNGE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45660-2025</t>
        </is>
      </c>
      <c r="B571" s="1" t="n">
        <v>45923.34494212963</v>
      </c>
      <c r="C571" s="1" t="n">
        <v>45939</v>
      </c>
      <c r="D571" t="inlineStr">
        <is>
          <t>VÄSTERNORRLANDS LÄN</t>
        </is>
      </c>
      <c r="E571" t="inlineStr">
        <is>
          <t>ÅNGE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35392-2024</t>
        </is>
      </c>
      <c r="B572" s="1" t="n">
        <v>45531.4025462963</v>
      </c>
      <c r="C572" s="1" t="n">
        <v>45939</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4883-2023</t>
        </is>
      </c>
      <c r="B573" s="1" t="n">
        <v>44957</v>
      </c>
      <c r="C573" s="1" t="n">
        <v>45939</v>
      </c>
      <c r="D573" t="inlineStr">
        <is>
          <t>VÄSTERNORRLANDS LÄN</t>
        </is>
      </c>
      <c r="E573" t="inlineStr">
        <is>
          <t>ÅNGE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8755-2022</t>
        </is>
      </c>
      <c r="B574" s="1" t="n">
        <v>44614</v>
      </c>
      <c r="C574" s="1" t="n">
        <v>45939</v>
      </c>
      <c r="D574" t="inlineStr">
        <is>
          <t>VÄSTERNORRLANDS LÄN</t>
        </is>
      </c>
      <c r="E574" t="inlineStr">
        <is>
          <t>ÅNGE</t>
        </is>
      </c>
      <c r="G574" t="n">
        <v>2</v>
      </c>
      <c r="H574" t="n">
        <v>0</v>
      </c>
      <c r="I574" t="n">
        <v>0</v>
      </c>
      <c r="J574" t="n">
        <v>0</v>
      </c>
      <c r="K574" t="n">
        <v>0</v>
      </c>
      <c r="L574" t="n">
        <v>0</v>
      </c>
      <c r="M574" t="n">
        <v>0</v>
      </c>
      <c r="N574" t="n">
        <v>0</v>
      </c>
      <c r="O574" t="n">
        <v>0</v>
      </c>
      <c r="P574" t="n">
        <v>0</v>
      </c>
      <c r="Q574" t="n">
        <v>0</v>
      </c>
      <c r="R574" s="2" t="inlineStr"/>
    </row>
    <row r="575" ht="15" customHeight="1">
      <c r="A575" t="inlineStr">
        <is>
          <t>A 43066-2022</t>
        </is>
      </c>
      <c r="B575" s="1" t="n">
        <v>44833</v>
      </c>
      <c r="C575" s="1" t="n">
        <v>45939</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30747-2024</t>
        </is>
      </c>
      <c r="B576" s="1" t="n">
        <v>45496</v>
      </c>
      <c r="C576" s="1" t="n">
        <v>45939</v>
      </c>
      <c r="D576" t="inlineStr">
        <is>
          <t>VÄSTERNORRLANDS LÄN</t>
        </is>
      </c>
      <c r="E576" t="inlineStr">
        <is>
          <t>ÅNGE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48697-2024</t>
        </is>
      </c>
      <c r="B577" s="1" t="n">
        <v>45593.51136574074</v>
      </c>
      <c r="C577" s="1" t="n">
        <v>45939</v>
      </c>
      <c r="D577" t="inlineStr">
        <is>
          <t>VÄSTERNORRLANDS LÄN</t>
        </is>
      </c>
      <c r="E577" t="inlineStr">
        <is>
          <t>ÅNGE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57595-2022</t>
        </is>
      </c>
      <c r="B578" s="1" t="n">
        <v>44896.97862268519</v>
      </c>
      <c r="C578" s="1" t="n">
        <v>45939</v>
      </c>
      <c r="D578" t="inlineStr">
        <is>
          <t>VÄSTERNORRLANDS LÄN</t>
        </is>
      </c>
      <c r="E578" t="inlineStr">
        <is>
          <t>ÅNGE</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58929-2024</t>
        </is>
      </c>
      <c r="B579" s="1" t="n">
        <v>45636.51090277778</v>
      </c>
      <c r="C579" s="1" t="n">
        <v>45939</v>
      </c>
      <c r="D579" t="inlineStr">
        <is>
          <t>VÄSTERNORRLANDS LÄN</t>
        </is>
      </c>
      <c r="E579" t="inlineStr">
        <is>
          <t>ÅNGE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11764-2024</t>
        </is>
      </c>
      <c r="B580" s="1" t="n">
        <v>45373.94837962963</v>
      </c>
      <c r="C580" s="1" t="n">
        <v>45939</v>
      </c>
      <c r="D580" t="inlineStr">
        <is>
          <t>VÄSTERNORRLANDS LÄN</t>
        </is>
      </c>
      <c r="E580" t="inlineStr">
        <is>
          <t>ÅNGE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46419-2025</t>
        </is>
      </c>
      <c r="B581" s="1" t="n">
        <v>45925.5949537037</v>
      </c>
      <c r="C581" s="1" t="n">
        <v>45939</v>
      </c>
      <c r="D581" t="inlineStr">
        <is>
          <t>VÄSTERNORRLANDS LÄN</t>
        </is>
      </c>
      <c r="E581" t="inlineStr">
        <is>
          <t>ÅNGE</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46254-2023</t>
        </is>
      </c>
      <c r="B582" s="1" t="n">
        <v>45196</v>
      </c>
      <c r="C582" s="1" t="n">
        <v>45939</v>
      </c>
      <c r="D582" t="inlineStr">
        <is>
          <t>VÄSTERNORRLANDS LÄN</t>
        </is>
      </c>
      <c r="E582" t="inlineStr">
        <is>
          <t>ÅNGE</t>
        </is>
      </c>
      <c r="F582" t="inlineStr">
        <is>
          <t>SCA</t>
        </is>
      </c>
      <c r="G582" t="n">
        <v>0.1</v>
      </c>
      <c r="H582" t="n">
        <v>0</v>
      </c>
      <c r="I582" t="n">
        <v>0</v>
      </c>
      <c r="J582" t="n">
        <v>0</v>
      </c>
      <c r="K582" t="n">
        <v>0</v>
      </c>
      <c r="L582" t="n">
        <v>0</v>
      </c>
      <c r="M582" t="n">
        <v>0</v>
      </c>
      <c r="N582" t="n">
        <v>0</v>
      </c>
      <c r="O582" t="n">
        <v>0</v>
      </c>
      <c r="P582" t="n">
        <v>0</v>
      </c>
      <c r="Q582" t="n">
        <v>0</v>
      </c>
      <c r="R582" s="2" t="inlineStr"/>
    </row>
    <row r="583" ht="15" customHeight="1">
      <c r="A583" t="inlineStr">
        <is>
          <t>A 46262-2023</t>
        </is>
      </c>
      <c r="B583" s="1" t="n">
        <v>45196.93855324074</v>
      </c>
      <c r="C583" s="1" t="n">
        <v>45939</v>
      </c>
      <c r="D583" t="inlineStr">
        <is>
          <t>VÄSTERNORRLANDS LÄN</t>
        </is>
      </c>
      <c r="E583" t="inlineStr">
        <is>
          <t>ÅNGE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45027-2023</t>
        </is>
      </c>
      <c r="B584" s="1" t="n">
        <v>45190.96303240741</v>
      </c>
      <c r="C584" s="1" t="n">
        <v>45939</v>
      </c>
      <c r="D584" t="inlineStr">
        <is>
          <t>VÄSTERNORRLANDS LÄN</t>
        </is>
      </c>
      <c r="E584" t="inlineStr">
        <is>
          <t>ÅNGE</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24232-2024</t>
        </is>
      </c>
      <c r="B585" s="1" t="n">
        <v>45457.34686342593</v>
      </c>
      <c r="C585" s="1" t="n">
        <v>45939</v>
      </c>
      <c r="D585" t="inlineStr">
        <is>
          <t>VÄSTERNORRLANDS LÄN</t>
        </is>
      </c>
      <c r="E585" t="inlineStr">
        <is>
          <t>ÅNGE</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33783-2024</t>
        </is>
      </c>
      <c r="B586" s="1" t="n">
        <v>45520</v>
      </c>
      <c r="C586" s="1" t="n">
        <v>45939</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45128-2022</t>
        </is>
      </c>
      <c r="B587" s="1" t="n">
        <v>44844.3146412037</v>
      </c>
      <c r="C587" s="1" t="n">
        <v>45939</v>
      </c>
      <c r="D587" t="inlineStr">
        <is>
          <t>VÄSTERNORRLANDS LÄN</t>
        </is>
      </c>
      <c r="E587" t="inlineStr">
        <is>
          <t>ÅNGE</t>
        </is>
      </c>
      <c r="G587" t="n">
        <v>4.1</v>
      </c>
      <c r="H587" t="n">
        <v>0</v>
      </c>
      <c r="I587" t="n">
        <v>0</v>
      </c>
      <c r="J587" t="n">
        <v>0</v>
      </c>
      <c r="K587" t="n">
        <v>0</v>
      </c>
      <c r="L587" t="n">
        <v>0</v>
      </c>
      <c r="M587" t="n">
        <v>0</v>
      </c>
      <c r="N587" t="n">
        <v>0</v>
      </c>
      <c r="O587" t="n">
        <v>0</v>
      </c>
      <c r="P587" t="n">
        <v>0</v>
      </c>
      <c r="Q587" t="n">
        <v>0</v>
      </c>
      <c r="R587" s="2" t="inlineStr"/>
    </row>
    <row r="588" ht="15" customHeight="1">
      <c r="A588" t="inlineStr">
        <is>
          <t>A 26951-2024</t>
        </is>
      </c>
      <c r="B588" s="1" t="n">
        <v>45470.96991898148</v>
      </c>
      <c r="C588" s="1" t="n">
        <v>45939</v>
      </c>
      <c r="D588" t="inlineStr">
        <is>
          <t>VÄSTERNORRLANDS LÄN</t>
        </is>
      </c>
      <c r="E588" t="inlineStr">
        <is>
          <t>ÅNGE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26952-2024</t>
        </is>
      </c>
      <c r="B589" s="1" t="n">
        <v>45470</v>
      </c>
      <c r="C589" s="1" t="n">
        <v>45939</v>
      </c>
      <c r="D589" t="inlineStr">
        <is>
          <t>VÄSTERNORRLANDS LÄN</t>
        </is>
      </c>
      <c r="E589" t="inlineStr">
        <is>
          <t>ÅNGE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27321-2024</t>
        </is>
      </c>
      <c r="B590" s="1" t="n">
        <v>45471</v>
      </c>
      <c r="C590" s="1" t="n">
        <v>45939</v>
      </c>
      <c r="D590" t="inlineStr">
        <is>
          <t>VÄSTERNORRLANDS LÄN</t>
        </is>
      </c>
      <c r="E590" t="inlineStr">
        <is>
          <t>ÅNGE</t>
        </is>
      </c>
      <c r="F590" t="inlineStr">
        <is>
          <t>SCA</t>
        </is>
      </c>
      <c r="G590" t="n">
        <v>14.1</v>
      </c>
      <c r="H590" t="n">
        <v>0</v>
      </c>
      <c r="I590" t="n">
        <v>0</v>
      </c>
      <c r="J590" t="n">
        <v>0</v>
      </c>
      <c r="K590" t="n">
        <v>0</v>
      </c>
      <c r="L590" t="n">
        <v>0</v>
      </c>
      <c r="M590" t="n">
        <v>0</v>
      </c>
      <c r="N590" t="n">
        <v>0</v>
      </c>
      <c r="O590" t="n">
        <v>0</v>
      </c>
      <c r="P590" t="n">
        <v>0</v>
      </c>
      <c r="Q590" t="n">
        <v>0</v>
      </c>
      <c r="R590" s="2" t="inlineStr"/>
    </row>
    <row r="591" ht="15" customHeight="1">
      <c r="A591" t="inlineStr">
        <is>
          <t>A 37382-2021</t>
        </is>
      </c>
      <c r="B591" s="1" t="n">
        <v>44397</v>
      </c>
      <c r="C591" s="1" t="n">
        <v>45939</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27668-2024</t>
        </is>
      </c>
      <c r="B592" s="1" t="n">
        <v>45474.95435185185</v>
      </c>
      <c r="C592" s="1" t="n">
        <v>45939</v>
      </c>
      <c r="D592" t="inlineStr">
        <is>
          <t>VÄSTERNORRLANDS LÄN</t>
        </is>
      </c>
      <c r="E592" t="inlineStr">
        <is>
          <t>ÅNGE</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1116-2023</t>
        </is>
      </c>
      <c r="B593" s="1" t="n">
        <v>44929</v>
      </c>
      <c r="C593" s="1" t="n">
        <v>45939</v>
      </c>
      <c r="D593" t="inlineStr">
        <is>
          <t>VÄSTERNORRLANDS LÄN</t>
        </is>
      </c>
      <c r="E593" t="inlineStr">
        <is>
          <t>ÅNGE</t>
        </is>
      </c>
      <c r="G593" t="n">
        <v>17.2</v>
      </c>
      <c r="H593" t="n">
        <v>0</v>
      </c>
      <c r="I593" t="n">
        <v>0</v>
      </c>
      <c r="J593" t="n">
        <v>0</v>
      </c>
      <c r="K593" t="n">
        <v>0</v>
      </c>
      <c r="L593" t="n">
        <v>0</v>
      </c>
      <c r="M593" t="n">
        <v>0</v>
      </c>
      <c r="N593" t="n">
        <v>0</v>
      </c>
      <c r="O593" t="n">
        <v>0</v>
      </c>
      <c r="P593" t="n">
        <v>0</v>
      </c>
      <c r="Q593" t="n">
        <v>0</v>
      </c>
      <c r="R593" s="2" t="inlineStr"/>
    </row>
    <row r="594" ht="15" customHeight="1">
      <c r="A594" t="inlineStr">
        <is>
          <t>A 21409-2022</t>
        </is>
      </c>
      <c r="B594" s="1" t="n">
        <v>44705.9406712963</v>
      </c>
      <c r="C594" s="1" t="n">
        <v>45939</v>
      </c>
      <c r="D594" t="inlineStr">
        <is>
          <t>VÄSTERNORRLANDS LÄN</t>
        </is>
      </c>
      <c r="E594" t="inlineStr">
        <is>
          <t>ÅNGE</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55380-2024</t>
        </is>
      </c>
      <c r="B595" s="1" t="n">
        <v>45622.28810185185</v>
      </c>
      <c r="C595" s="1" t="n">
        <v>45939</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54059-2024</t>
        </is>
      </c>
      <c r="B596" s="1" t="n">
        <v>45616.46943287037</v>
      </c>
      <c r="C596" s="1" t="n">
        <v>45939</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22678-2024</t>
        </is>
      </c>
      <c r="B597" s="1" t="n">
        <v>45447.94533564815</v>
      </c>
      <c r="C597" s="1" t="n">
        <v>45939</v>
      </c>
      <c r="D597" t="inlineStr">
        <is>
          <t>VÄSTERNORRLANDS LÄN</t>
        </is>
      </c>
      <c r="E597" t="inlineStr">
        <is>
          <t>ÅNGE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10084-2023</t>
        </is>
      </c>
      <c r="B598" s="1" t="n">
        <v>44985.94465277778</v>
      </c>
      <c r="C598" s="1" t="n">
        <v>45939</v>
      </c>
      <c r="D598" t="inlineStr">
        <is>
          <t>VÄSTERNORRLANDS LÄN</t>
        </is>
      </c>
      <c r="E598" t="inlineStr">
        <is>
          <t>ÅNGE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44158-2024</t>
        </is>
      </c>
      <c r="B599" s="1" t="n">
        <v>45572</v>
      </c>
      <c r="C599" s="1" t="n">
        <v>45939</v>
      </c>
      <c r="D599" t="inlineStr">
        <is>
          <t>VÄSTERNORRLANDS LÄN</t>
        </is>
      </c>
      <c r="E599" t="inlineStr">
        <is>
          <t>ÅNGE</t>
        </is>
      </c>
      <c r="G599" t="n">
        <v>2.6</v>
      </c>
      <c r="H599" t="n">
        <v>0</v>
      </c>
      <c r="I599" t="n">
        <v>0</v>
      </c>
      <c r="J599" t="n">
        <v>0</v>
      </c>
      <c r="K599" t="n">
        <v>0</v>
      </c>
      <c r="L599" t="n">
        <v>0</v>
      </c>
      <c r="M599" t="n">
        <v>0</v>
      </c>
      <c r="N599" t="n">
        <v>0</v>
      </c>
      <c r="O599" t="n">
        <v>0</v>
      </c>
      <c r="P599" t="n">
        <v>0</v>
      </c>
      <c r="Q599" t="n">
        <v>0</v>
      </c>
      <c r="R599" s="2" t="inlineStr"/>
    </row>
    <row r="600" ht="15" customHeight="1">
      <c r="A600" t="inlineStr">
        <is>
          <t>A 2299-2025</t>
        </is>
      </c>
      <c r="B600" s="1" t="n">
        <v>45673.59516203704</v>
      </c>
      <c r="C600" s="1" t="n">
        <v>45939</v>
      </c>
      <c r="D600" t="inlineStr">
        <is>
          <t>VÄSTERNORRLANDS LÄN</t>
        </is>
      </c>
      <c r="E600" t="inlineStr">
        <is>
          <t>ÅNGE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39991-2023</t>
        </is>
      </c>
      <c r="B601" s="1" t="n">
        <v>45168.6043287037</v>
      </c>
      <c r="C601" s="1" t="n">
        <v>45939</v>
      </c>
      <c r="D601" t="inlineStr">
        <is>
          <t>VÄSTERNORRLANDS LÄN</t>
        </is>
      </c>
      <c r="E601" t="inlineStr">
        <is>
          <t>ÅNGE</t>
        </is>
      </c>
      <c r="G601" t="n">
        <v>10.2</v>
      </c>
      <c r="H601" t="n">
        <v>0</v>
      </c>
      <c r="I601" t="n">
        <v>0</v>
      </c>
      <c r="J601" t="n">
        <v>0</v>
      </c>
      <c r="K601" t="n">
        <v>0</v>
      </c>
      <c r="L601" t="n">
        <v>0</v>
      </c>
      <c r="M601" t="n">
        <v>0</v>
      </c>
      <c r="N601" t="n">
        <v>0</v>
      </c>
      <c r="O601" t="n">
        <v>0</v>
      </c>
      <c r="P601" t="n">
        <v>0</v>
      </c>
      <c r="Q601" t="n">
        <v>0</v>
      </c>
      <c r="R601" s="2" t="inlineStr"/>
    </row>
    <row r="602" ht="15" customHeight="1">
      <c r="A602" t="inlineStr">
        <is>
          <t>A 15167-2025</t>
        </is>
      </c>
      <c r="B602" s="1" t="n">
        <v>45744.49009259259</v>
      </c>
      <c r="C602" s="1" t="n">
        <v>45939</v>
      </c>
      <c r="D602" t="inlineStr">
        <is>
          <t>VÄSTERNORRLANDS LÄN</t>
        </is>
      </c>
      <c r="E602" t="inlineStr">
        <is>
          <t>ÅNGE</t>
        </is>
      </c>
      <c r="F602" t="inlineStr">
        <is>
          <t>SCA</t>
        </is>
      </c>
      <c r="G602" t="n">
        <v>6.4</v>
      </c>
      <c r="H602" t="n">
        <v>0</v>
      </c>
      <c r="I602" t="n">
        <v>0</v>
      </c>
      <c r="J602" t="n">
        <v>0</v>
      </c>
      <c r="K602" t="n">
        <v>0</v>
      </c>
      <c r="L602" t="n">
        <v>0</v>
      </c>
      <c r="M602" t="n">
        <v>0</v>
      </c>
      <c r="N602" t="n">
        <v>0</v>
      </c>
      <c r="O602" t="n">
        <v>0</v>
      </c>
      <c r="P602" t="n">
        <v>0</v>
      </c>
      <c r="Q602" t="n">
        <v>0</v>
      </c>
      <c r="R602" s="2" t="inlineStr"/>
    </row>
    <row r="603" ht="15" customHeight="1">
      <c r="A603" t="inlineStr">
        <is>
          <t>A 30556-2023</t>
        </is>
      </c>
      <c r="B603" s="1" t="n">
        <v>45111.87935185185</v>
      </c>
      <c r="C603" s="1" t="n">
        <v>45939</v>
      </c>
      <c r="D603" t="inlineStr">
        <is>
          <t>VÄSTERNORRLANDS LÄN</t>
        </is>
      </c>
      <c r="E603" t="inlineStr">
        <is>
          <t>ÅNGE</t>
        </is>
      </c>
      <c r="G603" t="n">
        <v>3.7</v>
      </c>
      <c r="H603" t="n">
        <v>0</v>
      </c>
      <c r="I603" t="n">
        <v>0</v>
      </c>
      <c r="J603" t="n">
        <v>0</v>
      </c>
      <c r="K603" t="n">
        <v>0</v>
      </c>
      <c r="L603" t="n">
        <v>0</v>
      </c>
      <c r="M603" t="n">
        <v>0</v>
      </c>
      <c r="N603" t="n">
        <v>0</v>
      </c>
      <c r="O603" t="n">
        <v>0</v>
      </c>
      <c r="P603" t="n">
        <v>0</v>
      </c>
      <c r="Q603" t="n">
        <v>0</v>
      </c>
      <c r="R603" s="2" t="inlineStr"/>
    </row>
    <row r="604" ht="15" customHeight="1">
      <c r="A604" t="inlineStr">
        <is>
          <t>A 44639-2023</t>
        </is>
      </c>
      <c r="B604" s="1" t="n">
        <v>45184</v>
      </c>
      <c r="C604" s="1" t="n">
        <v>45939</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17009-2023</t>
        </is>
      </c>
      <c r="B605" s="1" t="n">
        <v>45033.9455787037</v>
      </c>
      <c r="C605" s="1" t="n">
        <v>45939</v>
      </c>
      <c r="D605" t="inlineStr">
        <is>
          <t>VÄSTERNORRLANDS LÄN</t>
        </is>
      </c>
      <c r="E605" t="inlineStr">
        <is>
          <t>ÅNGE</t>
        </is>
      </c>
      <c r="F605" t="inlineStr">
        <is>
          <t>SCA</t>
        </is>
      </c>
      <c r="G605" t="n">
        <v>5.8</v>
      </c>
      <c r="H605" t="n">
        <v>0</v>
      </c>
      <c r="I605" t="n">
        <v>0</v>
      </c>
      <c r="J605" t="n">
        <v>0</v>
      </c>
      <c r="K605" t="n">
        <v>0</v>
      </c>
      <c r="L605" t="n">
        <v>0</v>
      </c>
      <c r="M605" t="n">
        <v>0</v>
      </c>
      <c r="N605" t="n">
        <v>0</v>
      </c>
      <c r="O605" t="n">
        <v>0</v>
      </c>
      <c r="P605" t="n">
        <v>0</v>
      </c>
      <c r="Q605" t="n">
        <v>0</v>
      </c>
      <c r="R605" s="2" t="inlineStr"/>
    </row>
    <row r="606" ht="15" customHeight="1">
      <c r="A606" t="inlineStr">
        <is>
          <t>A 63216-2023</t>
        </is>
      </c>
      <c r="B606" s="1" t="n">
        <v>45273.62721064815</v>
      </c>
      <c r="C606" s="1" t="n">
        <v>45939</v>
      </c>
      <c r="D606" t="inlineStr">
        <is>
          <t>VÄSTERNORRLANDS LÄN</t>
        </is>
      </c>
      <c r="E606" t="inlineStr">
        <is>
          <t>ÅNGE</t>
        </is>
      </c>
      <c r="F606" t="inlineStr">
        <is>
          <t>Holmen skog AB</t>
        </is>
      </c>
      <c r="G606" t="n">
        <v>2.9</v>
      </c>
      <c r="H606" t="n">
        <v>0</v>
      </c>
      <c r="I606" t="n">
        <v>0</v>
      </c>
      <c r="J606" t="n">
        <v>0</v>
      </c>
      <c r="K606" t="n">
        <v>0</v>
      </c>
      <c r="L606" t="n">
        <v>0</v>
      </c>
      <c r="M606" t="n">
        <v>0</v>
      </c>
      <c r="N606" t="n">
        <v>0</v>
      </c>
      <c r="O606" t="n">
        <v>0</v>
      </c>
      <c r="P606" t="n">
        <v>0</v>
      </c>
      <c r="Q606" t="n">
        <v>0</v>
      </c>
      <c r="R606" s="2" t="inlineStr"/>
    </row>
    <row r="607" ht="15" customHeight="1">
      <c r="A607" t="inlineStr">
        <is>
          <t>A 5393-2025</t>
        </is>
      </c>
      <c r="B607" s="1" t="n">
        <v>45692.63574074074</v>
      </c>
      <c r="C607" s="1" t="n">
        <v>45939</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60578-2024</t>
        </is>
      </c>
      <c r="B608" s="1" t="n">
        <v>45644.34434027778</v>
      </c>
      <c r="C608" s="1" t="n">
        <v>45939</v>
      </c>
      <c r="D608" t="inlineStr">
        <is>
          <t>VÄSTERNORRLANDS LÄN</t>
        </is>
      </c>
      <c r="E608" t="inlineStr">
        <is>
          <t>ÅNGE</t>
        </is>
      </c>
      <c r="F608" t="inlineStr">
        <is>
          <t>SCA</t>
        </is>
      </c>
      <c r="G608" t="n">
        <v>5.8</v>
      </c>
      <c r="H608" t="n">
        <v>0</v>
      </c>
      <c r="I608" t="n">
        <v>0</v>
      </c>
      <c r="J608" t="n">
        <v>0</v>
      </c>
      <c r="K608" t="n">
        <v>0</v>
      </c>
      <c r="L608" t="n">
        <v>0</v>
      </c>
      <c r="M608" t="n">
        <v>0</v>
      </c>
      <c r="N608" t="n">
        <v>0</v>
      </c>
      <c r="O608" t="n">
        <v>0</v>
      </c>
      <c r="P608" t="n">
        <v>0</v>
      </c>
      <c r="Q608" t="n">
        <v>0</v>
      </c>
      <c r="R608" s="2" t="inlineStr"/>
    </row>
    <row r="609" ht="15" customHeight="1">
      <c r="A609" t="inlineStr">
        <is>
          <t>A 55197-2022</t>
        </is>
      </c>
      <c r="B609" s="1" t="n">
        <v>44886.93714120371</v>
      </c>
      <c r="C609" s="1" t="n">
        <v>45939</v>
      </c>
      <c r="D609" t="inlineStr">
        <is>
          <t>VÄSTERNORRLANDS LÄN</t>
        </is>
      </c>
      <c r="E609" t="inlineStr">
        <is>
          <t>ÅNGE</t>
        </is>
      </c>
      <c r="G609" t="n">
        <v>1.4</v>
      </c>
      <c r="H609" t="n">
        <v>0</v>
      </c>
      <c r="I609" t="n">
        <v>0</v>
      </c>
      <c r="J609" t="n">
        <v>0</v>
      </c>
      <c r="K609" t="n">
        <v>0</v>
      </c>
      <c r="L609" t="n">
        <v>0</v>
      </c>
      <c r="M609" t="n">
        <v>0</v>
      </c>
      <c r="N609" t="n">
        <v>0</v>
      </c>
      <c r="O609" t="n">
        <v>0</v>
      </c>
      <c r="P609" t="n">
        <v>0</v>
      </c>
      <c r="Q609" t="n">
        <v>0</v>
      </c>
      <c r="R609" s="2" t="inlineStr"/>
    </row>
    <row r="610" ht="15" customHeight="1">
      <c r="A610" t="inlineStr">
        <is>
          <t>A 24977-2021</t>
        </is>
      </c>
      <c r="B610" s="1" t="n">
        <v>44341.51386574074</v>
      </c>
      <c r="C610" s="1" t="n">
        <v>45939</v>
      </c>
      <c r="D610" t="inlineStr">
        <is>
          <t>VÄSTERNORRLANDS LÄN</t>
        </is>
      </c>
      <c r="E610" t="inlineStr">
        <is>
          <t>ÅNGE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50186-2021</t>
        </is>
      </c>
      <c r="B611" s="1" t="n">
        <v>44456</v>
      </c>
      <c r="C611" s="1" t="n">
        <v>45939</v>
      </c>
      <c r="D611" t="inlineStr">
        <is>
          <t>VÄSTERNORRLANDS LÄN</t>
        </is>
      </c>
      <c r="E611" t="inlineStr">
        <is>
          <t>ÅNGE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34971-2023</t>
        </is>
      </c>
      <c r="B612" s="1" t="n">
        <v>45142.61635416667</v>
      </c>
      <c r="C612" s="1" t="n">
        <v>45939</v>
      </c>
      <c r="D612" t="inlineStr">
        <is>
          <t>VÄSTERNORRLANDS LÄN</t>
        </is>
      </c>
      <c r="E612" t="inlineStr">
        <is>
          <t>ÅNGE</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25034-2023</t>
        </is>
      </c>
      <c r="B613" s="1" t="n">
        <v>45085</v>
      </c>
      <c r="C613" s="1" t="n">
        <v>45939</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9480-2022</t>
        </is>
      </c>
      <c r="B614" s="1" t="n">
        <v>44616</v>
      </c>
      <c r="C614" s="1" t="n">
        <v>45939</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18617-2024</t>
        </is>
      </c>
      <c r="B615" s="1" t="n">
        <v>45425</v>
      </c>
      <c r="C615" s="1" t="n">
        <v>45939</v>
      </c>
      <c r="D615" t="inlineStr">
        <is>
          <t>VÄSTERNORRLANDS LÄN</t>
        </is>
      </c>
      <c r="E615" t="inlineStr">
        <is>
          <t>ÅNGE</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38686-2025</t>
        </is>
      </c>
      <c r="B616" s="1" t="n">
        <v>45884.65658564815</v>
      </c>
      <c r="C616" s="1" t="n">
        <v>45939</v>
      </c>
      <c r="D616" t="inlineStr">
        <is>
          <t>VÄSTERNORRLANDS LÄN</t>
        </is>
      </c>
      <c r="E616" t="inlineStr">
        <is>
          <t>ÅNGE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22597-2021</t>
        </is>
      </c>
      <c r="B617" s="1" t="n">
        <v>44326</v>
      </c>
      <c r="C617" s="1" t="n">
        <v>45939</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8868-2023</t>
        </is>
      </c>
      <c r="B618" s="1" t="n">
        <v>44978</v>
      </c>
      <c r="C618" s="1" t="n">
        <v>45939</v>
      </c>
      <c r="D618" t="inlineStr">
        <is>
          <t>VÄSTERNORRLANDS LÄN</t>
        </is>
      </c>
      <c r="E618" t="inlineStr">
        <is>
          <t>ÅNGE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10917-2024</t>
        </is>
      </c>
      <c r="B619" s="1" t="n">
        <v>45370</v>
      </c>
      <c r="C619" s="1" t="n">
        <v>45939</v>
      </c>
      <c r="D619" t="inlineStr">
        <is>
          <t>VÄSTERNORRLANDS LÄN</t>
        </is>
      </c>
      <c r="E619" t="inlineStr">
        <is>
          <t>ÅNGE</t>
        </is>
      </c>
      <c r="G619" t="n">
        <v>2.2</v>
      </c>
      <c r="H619" t="n">
        <v>0</v>
      </c>
      <c r="I619" t="n">
        <v>0</v>
      </c>
      <c r="J619" t="n">
        <v>0</v>
      </c>
      <c r="K619" t="n">
        <v>0</v>
      </c>
      <c r="L619" t="n">
        <v>0</v>
      </c>
      <c r="M619" t="n">
        <v>0</v>
      </c>
      <c r="N619" t="n">
        <v>0</v>
      </c>
      <c r="O619" t="n">
        <v>0</v>
      </c>
      <c r="P619" t="n">
        <v>0</v>
      </c>
      <c r="Q619" t="n">
        <v>0</v>
      </c>
      <c r="R619" s="2" t="inlineStr"/>
    </row>
    <row r="620" ht="15" customHeight="1">
      <c r="A620" t="inlineStr">
        <is>
          <t>A 10282-2025</t>
        </is>
      </c>
      <c r="B620" s="1" t="n">
        <v>45720.40659722222</v>
      </c>
      <c r="C620" s="1" t="n">
        <v>45939</v>
      </c>
      <c r="D620" t="inlineStr">
        <is>
          <t>VÄSTERNORRLANDS LÄN</t>
        </is>
      </c>
      <c r="E620" t="inlineStr">
        <is>
          <t>ÅNGE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31864-2024</t>
        </is>
      </c>
      <c r="B621" s="1" t="n">
        <v>45509.74791666667</v>
      </c>
      <c r="C621" s="1" t="n">
        <v>45939</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49532-2024</t>
        </is>
      </c>
      <c r="B622" s="1" t="n">
        <v>45596.41797453703</v>
      </c>
      <c r="C622" s="1" t="n">
        <v>45939</v>
      </c>
      <c r="D622" t="inlineStr">
        <is>
          <t>VÄSTERNORRLANDS LÄN</t>
        </is>
      </c>
      <c r="E622" t="inlineStr">
        <is>
          <t>ÅNGE</t>
        </is>
      </c>
      <c r="G622" t="n">
        <v>3.3</v>
      </c>
      <c r="H622" t="n">
        <v>0</v>
      </c>
      <c r="I622" t="n">
        <v>0</v>
      </c>
      <c r="J622" t="n">
        <v>0</v>
      </c>
      <c r="K622" t="n">
        <v>0</v>
      </c>
      <c r="L622" t="n">
        <v>0</v>
      </c>
      <c r="M622" t="n">
        <v>0</v>
      </c>
      <c r="N622" t="n">
        <v>0</v>
      </c>
      <c r="O622" t="n">
        <v>0</v>
      </c>
      <c r="P622" t="n">
        <v>0</v>
      </c>
      <c r="Q622" t="n">
        <v>0</v>
      </c>
      <c r="R622" s="2" t="inlineStr"/>
    </row>
    <row r="623" ht="15" customHeight="1">
      <c r="A623" t="inlineStr">
        <is>
          <t>A 40790-2023</t>
        </is>
      </c>
      <c r="B623" s="1" t="n">
        <v>45170.95814814815</v>
      </c>
      <c r="C623" s="1" t="n">
        <v>45939</v>
      </c>
      <c r="D623" t="inlineStr">
        <is>
          <t>VÄSTERNORRLANDS LÄN</t>
        </is>
      </c>
      <c r="E623" t="inlineStr">
        <is>
          <t>ÅNGE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11310-2023</t>
        </is>
      </c>
      <c r="B624" s="1" t="n">
        <v>44993.01190972222</v>
      </c>
      <c r="C624" s="1" t="n">
        <v>45939</v>
      </c>
      <c r="D624" t="inlineStr">
        <is>
          <t>VÄSTERNORRLANDS LÄN</t>
        </is>
      </c>
      <c r="E624" t="inlineStr">
        <is>
          <t>ÅNGE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43775-2022</t>
        </is>
      </c>
      <c r="B625" s="1" t="n">
        <v>44837.95053240741</v>
      </c>
      <c r="C625" s="1" t="n">
        <v>45939</v>
      </c>
      <c r="D625" t="inlineStr">
        <is>
          <t>VÄSTERNORRLANDS LÄN</t>
        </is>
      </c>
      <c r="E625" t="inlineStr">
        <is>
          <t>ÅNGE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1090-2023</t>
        </is>
      </c>
      <c r="B626" s="1" t="n">
        <v>44929</v>
      </c>
      <c r="C626" s="1" t="n">
        <v>45939</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137-2025</t>
        </is>
      </c>
      <c r="B627" s="1" t="n">
        <v>45659.57684027778</v>
      </c>
      <c r="C627" s="1" t="n">
        <v>45939</v>
      </c>
      <c r="D627" t="inlineStr">
        <is>
          <t>VÄSTERNORRLANDS LÄN</t>
        </is>
      </c>
      <c r="E627" t="inlineStr">
        <is>
          <t>ÅNGE</t>
        </is>
      </c>
      <c r="G627" t="n">
        <v>0.2</v>
      </c>
      <c r="H627" t="n">
        <v>0</v>
      </c>
      <c r="I627" t="n">
        <v>0</v>
      </c>
      <c r="J627" t="n">
        <v>0</v>
      </c>
      <c r="K627" t="n">
        <v>0</v>
      </c>
      <c r="L627" t="n">
        <v>0</v>
      </c>
      <c r="M627" t="n">
        <v>0</v>
      </c>
      <c r="N627" t="n">
        <v>0</v>
      </c>
      <c r="O627" t="n">
        <v>0</v>
      </c>
      <c r="P627" t="n">
        <v>0</v>
      </c>
      <c r="Q627" t="n">
        <v>0</v>
      </c>
      <c r="R627" s="2" t="inlineStr"/>
    </row>
    <row r="628" ht="15" customHeight="1">
      <c r="A628" t="inlineStr">
        <is>
          <t>A 27306-2024</t>
        </is>
      </c>
      <c r="B628" s="1" t="n">
        <v>45471.94454861111</v>
      </c>
      <c r="C628" s="1" t="n">
        <v>45939</v>
      </c>
      <c r="D628" t="inlineStr">
        <is>
          <t>VÄSTERNORRLANDS LÄN</t>
        </is>
      </c>
      <c r="E628" t="inlineStr">
        <is>
          <t>ÅNGE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11396-2024</t>
        </is>
      </c>
      <c r="B629" s="1" t="n">
        <v>45372</v>
      </c>
      <c r="C629" s="1" t="n">
        <v>45939</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10071-2023</t>
        </is>
      </c>
      <c r="B630" s="1" t="n">
        <v>44985.92418981482</v>
      </c>
      <c r="C630" s="1" t="n">
        <v>45939</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25680-2023</t>
        </is>
      </c>
      <c r="B631" s="1" t="n">
        <v>45089</v>
      </c>
      <c r="C631" s="1" t="n">
        <v>45939</v>
      </c>
      <c r="D631" t="inlineStr">
        <is>
          <t>VÄSTERNORRLANDS LÄN</t>
        </is>
      </c>
      <c r="E631" t="inlineStr">
        <is>
          <t>ÅNGE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59818-2024</t>
        </is>
      </c>
      <c r="B632" s="1" t="n">
        <v>45639.63572916666</v>
      </c>
      <c r="C632" s="1" t="n">
        <v>45939</v>
      </c>
      <c r="D632" t="inlineStr">
        <is>
          <t>VÄSTERNORRLANDS LÄN</t>
        </is>
      </c>
      <c r="E632" t="inlineStr">
        <is>
          <t>ÅNGE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35426-2024</t>
        </is>
      </c>
      <c r="B633" s="1" t="n">
        <v>45531</v>
      </c>
      <c r="C633" s="1" t="n">
        <v>45939</v>
      </c>
      <c r="D633" t="inlineStr">
        <is>
          <t>VÄSTERNORRLANDS LÄN</t>
        </is>
      </c>
      <c r="E633" t="inlineStr">
        <is>
          <t>ÅNGE</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31545-2024</t>
        </is>
      </c>
      <c r="B634" s="1" t="n">
        <v>45505</v>
      </c>
      <c r="C634" s="1" t="n">
        <v>45939</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38693-2025</t>
        </is>
      </c>
      <c r="B635" s="1" t="n">
        <v>45884.69829861111</v>
      </c>
      <c r="C635" s="1" t="n">
        <v>45939</v>
      </c>
      <c r="D635" t="inlineStr">
        <is>
          <t>VÄSTERNORRLANDS LÄN</t>
        </is>
      </c>
      <c r="E635" t="inlineStr">
        <is>
          <t>ÅNGE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1769-2023</t>
        </is>
      </c>
      <c r="B636" s="1" t="n">
        <v>44938.58025462963</v>
      </c>
      <c r="C636" s="1" t="n">
        <v>45939</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1775-2023</t>
        </is>
      </c>
      <c r="B637" s="1" t="n">
        <v>44938</v>
      </c>
      <c r="C637" s="1" t="n">
        <v>45939</v>
      </c>
      <c r="D637" t="inlineStr">
        <is>
          <t>VÄSTERNORRLANDS LÄN</t>
        </is>
      </c>
      <c r="E637" t="inlineStr">
        <is>
          <t>ÅNGE</t>
        </is>
      </c>
      <c r="G637" t="n">
        <v>1.4</v>
      </c>
      <c r="H637" t="n">
        <v>0</v>
      </c>
      <c r="I637" t="n">
        <v>0</v>
      </c>
      <c r="J637" t="n">
        <v>0</v>
      </c>
      <c r="K637" t="n">
        <v>0</v>
      </c>
      <c r="L637" t="n">
        <v>0</v>
      </c>
      <c r="M637" t="n">
        <v>0</v>
      </c>
      <c r="N637" t="n">
        <v>0</v>
      </c>
      <c r="O637" t="n">
        <v>0</v>
      </c>
      <c r="P637" t="n">
        <v>0</v>
      </c>
      <c r="Q637" t="n">
        <v>0</v>
      </c>
      <c r="R637" s="2" t="inlineStr"/>
    </row>
    <row r="638" ht="15" customHeight="1">
      <c r="A638" t="inlineStr">
        <is>
          <t>A 10878-2024</t>
        </is>
      </c>
      <c r="B638" s="1" t="n">
        <v>45370</v>
      </c>
      <c r="C638" s="1" t="n">
        <v>45939</v>
      </c>
      <c r="D638" t="inlineStr">
        <is>
          <t>VÄSTERNORRLANDS LÄN</t>
        </is>
      </c>
      <c r="E638" t="inlineStr">
        <is>
          <t>ÅNGE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19066-2024</t>
        </is>
      </c>
      <c r="B639" s="1" t="n">
        <v>45427</v>
      </c>
      <c r="C639" s="1" t="n">
        <v>45939</v>
      </c>
      <c r="D639" t="inlineStr">
        <is>
          <t>VÄSTERNORRLANDS LÄN</t>
        </is>
      </c>
      <c r="E639" t="inlineStr">
        <is>
          <t>ÅNGE</t>
        </is>
      </c>
      <c r="G639" t="n">
        <v>0.8</v>
      </c>
      <c r="H639" t="n">
        <v>0</v>
      </c>
      <c r="I639" t="n">
        <v>0</v>
      </c>
      <c r="J639" t="n">
        <v>0</v>
      </c>
      <c r="K639" t="n">
        <v>0</v>
      </c>
      <c r="L639" t="n">
        <v>0</v>
      </c>
      <c r="M639" t="n">
        <v>0</v>
      </c>
      <c r="N639" t="n">
        <v>0</v>
      </c>
      <c r="O639" t="n">
        <v>0</v>
      </c>
      <c r="P639" t="n">
        <v>0</v>
      </c>
      <c r="Q639" t="n">
        <v>0</v>
      </c>
      <c r="R639" s="2" t="inlineStr"/>
    </row>
    <row r="640" ht="15" customHeight="1">
      <c r="A640" t="inlineStr">
        <is>
          <t>A 53171-2020</t>
        </is>
      </c>
      <c r="B640" s="1" t="n">
        <v>44120</v>
      </c>
      <c r="C640" s="1" t="n">
        <v>45939</v>
      </c>
      <c r="D640" t="inlineStr">
        <is>
          <t>VÄSTERNORRLANDS LÄN</t>
        </is>
      </c>
      <c r="E640" t="inlineStr">
        <is>
          <t>ÅNGE</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27915-2024</t>
        </is>
      </c>
      <c r="B641" s="1" t="n">
        <v>45475</v>
      </c>
      <c r="C641" s="1" t="n">
        <v>45939</v>
      </c>
      <c r="D641" t="inlineStr">
        <is>
          <t>VÄSTERNORRLANDS LÄN</t>
        </is>
      </c>
      <c r="E641" t="inlineStr">
        <is>
          <t>ÅNGE</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3629-2023</t>
        </is>
      </c>
      <c r="B642" s="1" t="n">
        <v>44950</v>
      </c>
      <c r="C642" s="1" t="n">
        <v>45939</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3631-2023</t>
        </is>
      </c>
      <c r="B643" s="1" t="n">
        <v>44950</v>
      </c>
      <c r="C643" s="1" t="n">
        <v>45939</v>
      </c>
      <c r="D643" t="inlineStr">
        <is>
          <t>VÄSTERNORRLANDS LÄN</t>
        </is>
      </c>
      <c r="E643" t="inlineStr">
        <is>
          <t>ÅNGE</t>
        </is>
      </c>
      <c r="G643" t="n">
        <v>0.8</v>
      </c>
      <c r="H643" t="n">
        <v>0</v>
      </c>
      <c r="I643" t="n">
        <v>0</v>
      </c>
      <c r="J643" t="n">
        <v>0</v>
      </c>
      <c r="K643" t="n">
        <v>0</v>
      </c>
      <c r="L643" t="n">
        <v>0</v>
      </c>
      <c r="M643" t="n">
        <v>0</v>
      </c>
      <c r="N643" t="n">
        <v>0</v>
      </c>
      <c r="O643" t="n">
        <v>0</v>
      </c>
      <c r="P643" t="n">
        <v>0</v>
      </c>
      <c r="Q643" t="n">
        <v>0</v>
      </c>
      <c r="R643" s="2" t="inlineStr"/>
    </row>
    <row r="644" ht="15" customHeight="1">
      <c r="A644" t="inlineStr">
        <is>
          <t>A 31177-2024</t>
        </is>
      </c>
      <c r="B644" s="1" t="n">
        <v>45503</v>
      </c>
      <c r="C644" s="1" t="n">
        <v>45939</v>
      </c>
      <c r="D644" t="inlineStr">
        <is>
          <t>VÄSTERNORRLANDS LÄN</t>
        </is>
      </c>
      <c r="E644" t="inlineStr">
        <is>
          <t>ÅNGE</t>
        </is>
      </c>
      <c r="G644" t="n">
        <v>10.2</v>
      </c>
      <c r="H644" t="n">
        <v>0</v>
      </c>
      <c r="I644" t="n">
        <v>0</v>
      </c>
      <c r="J644" t="n">
        <v>0</v>
      </c>
      <c r="K644" t="n">
        <v>0</v>
      </c>
      <c r="L644" t="n">
        <v>0</v>
      </c>
      <c r="M644" t="n">
        <v>0</v>
      </c>
      <c r="N644" t="n">
        <v>0</v>
      </c>
      <c r="O644" t="n">
        <v>0</v>
      </c>
      <c r="P644" t="n">
        <v>0</v>
      </c>
      <c r="Q644" t="n">
        <v>0</v>
      </c>
      <c r="R644" s="2" t="inlineStr"/>
    </row>
    <row r="645" ht="15" customHeight="1">
      <c r="A645" t="inlineStr">
        <is>
          <t>A 50179-2024</t>
        </is>
      </c>
      <c r="B645" s="1" t="n">
        <v>45600</v>
      </c>
      <c r="C645" s="1" t="n">
        <v>45939</v>
      </c>
      <c r="D645" t="inlineStr">
        <is>
          <t>VÄSTERNORRLANDS LÄN</t>
        </is>
      </c>
      <c r="E645" t="inlineStr">
        <is>
          <t>ÅNGE</t>
        </is>
      </c>
      <c r="G645" t="n">
        <v>3.6</v>
      </c>
      <c r="H645" t="n">
        <v>0</v>
      </c>
      <c r="I645" t="n">
        <v>0</v>
      </c>
      <c r="J645" t="n">
        <v>0</v>
      </c>
      <c r="K645" t="n">
        <v>0</v>
      </c>
      <c r="L645" t="n">
        <v>0</v>
      </c>
      <c r="M645" t="n">
        <v>0</v>
      </c>
      <c r="N645" t="n">
        <v>0</v>
      </c>
      <c r="O645" t="n">
        <v>0</v>
      </c>
      <c r="P645" t="n">
        <v>0</v>
      </c>
      <c r="Q645" t="n">
        <v>0</v>
      </c>
      <c r="R645" s="2" t="inlineStr"/>
    </row>
    <row r="646" ht="15" customHeight="1">
      <c r="A646" t="inlineStr">
        <is>
          <t>A 2140-2023</t>
        </is>
      </c>
      <c r="B646" s="1" t="n">
        <v>44940</v>
      </c>
      <c r="C646" s="1" t="n">
        <v>45939</v>
      </c>
      <c r="D646" t="inlineStr">
        <is>
          <t>VÄSTERNORRLANDS LÄN</t>
        </is>
      </c>
      <c r="E646" t="inlineStr">
        <is>
          <t>ÅNGE</t>
        </is>
      </c>
      <c r="G646" t="n">
        <v>2.9</v>
      </c>
      <c r="H646" t="n">
        <v>0</v>
      </c>
      <c r="I646" t="n">
        <v>0</v>
      </c>
      <c r="J646" t="n">
        <v>0</v>
      </c>
      <c r="K646" t="n">
        <v>0</v>
      </c>
      <c r="L646" t="n">
        <v>0</v>
      </c>
      <c r="M646" t="n">
        <v>0</v>
      </c>
      <c r="N646" t="n">
        <v>0</v>
      </c>
      <c r="O646" t="n">
        <v>0</v>
      </c>
      <c r="P646" t="n">
        <v>0</v>
      </c>
      <c r="Q646" t="n">
        <v>0</v>
      </c>
      <c r="R646" s="2" t="inlineStr"/>
    </row>
    <row r="647" ht="15" customHeight="1">
      <c r="A647" t="inlineStr">
        <is>
          <t>A 30347-2024</t>
        </is>
      </c>
      <c r="B647" s="1" t="n">
        <v>45490.95515046296</v>
      </c>
      <c r="C647" s="1" t="n">
        <v>45939</v>
      </c>
      <c r="D647" t="inlineStr">
        <is>
          <t>VÄSTERNORRLANDS LÄN</t>
        </is>
      </c>
      <c r="E647" t="inlineStr">
        <is>
          <t>ÅNGE</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1964-2022</t>
        </is>
      </c>
      <c r="B648" s="1" t="n">
        <v>44575.5050462963</v>
      </c>
      <c r="C648" s="1" t="n">
        <v>45939</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63522-2021</t>
        </is>
      </c>
      <c r="B649" s="1" t="n">
        <v>44508</v>
      </c>
      <c r="C649" s="1" t="n">
        <v>45939</v>
      </c>
      <c r="D649" t="inlineStr">
        <is>
          <t>VÄSTERNORRLANDS LÄN</t>
        </is>
      </c>
      <c r="E649" t="inlineStr">
        <is>
          <t>ÅNGE</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16362-2023</t>
        </is>
      </c>
      <c r="B650" s="1" t="n">
        <v>45028.9250462963</v>
      </c>
      <c r="C650" s="1" t="n">
        <v>45939</v>
      </c>
      <c r="D650" t="inlineStr">
        <is>
          <t>VÄSTERNORRLANDS LÄN</t>
        </is>
      </c>
      <c r="E650" t="inlineStr">
        <is>
          <t>ÅNGE</t>
        </is>
      </c>
      <c r="G650" t="n">
        <v>4.8</v>
      </c>
      <c r="H650" t="n">
        <v>0</v>
      </c>
      <c r="I650" t="n">
        <v>0</v>
      </c>
      <c r="J650" t="n">
        <v>0</v>
      </c>
      <c r="K650" t="n">
        <v>0</v>
      </c>
      <c r="L650" t="n">
        <v>0</v>
      </c>
      <c r="M650" t="n">
        <v>0</v>
      </c>
      <c r="N650" t="n">
        <v>0</v>
      </c>
      <c r="O650" t="n">
        <v>0</v>
      </c>
      <c r="P650" t="n">
        <v>0</v>
      </c>
      <c r="Q650" t="n">
        <v>0</v>
      </c>
      <c r="R650" s="2" t="inlineStr"/>
    </row>
    <row r="651" ht="15" customHeight="1">
      <c r="A651" t="inlineStr">
        <is>
          <t>A 55177-2024</t>
        </is>
      </c>
      <c r="B651" s="1" t="n">
        <v>45621.53179398148</v>
      </c>
      <c r="C651" s="1" t="n">
        <v>45939</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57287-2022</t>
        </is>
      </c>
      <c r="B652" s="1" t="n">
        <v>44895.95</v>
      </c>
      <c r="C652" s="1" t="n">
        <v>45939</v>
      </c>
      <c r="D652" t="inlineStr">
        <is>
          <t>VÄSTERNORRLANDS LÄN</t>
        </is>
      </c>
      <c r="E652" t="inlineStr">
        <is>
          <t>ÅNGE</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57291-2022</t>
        </is>
      </c>
      <c r="B653" s="1" t="n">
        <v>44895</v>
      </c>
      <c r="C653" s="1" t="n">
        <v>45939</v>
      </c>
      <c r="D653" t="inlineStr">
        <is>
          <t>VÄSTERNORRLANDS LÄN</t>
        </is>
      </c>
      <c r="E653" t="inlineStr">
        <is>
          <t>ÅNGE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6680-2024</t>
        </is>
      </c>
      <c r="B654" s="1" t="n">
        <v>45341</v>
      </c>
      <c r="C654" s="1" t="n">
        <v>45939</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6685-2024</t>
        </is>
      </c>
      <c r="B655" s="1" t="n">
        <v>45341</v>
      </c>
      <c r="C655" s="1" t="n">
        <v>45939</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6689-2024</t>
        </is>
      </c>
      <c r="B656" s="1" t="n">
        <v>45341.9259375</v>
      </c>
      <c r="C656" s="1" t="n">
        <v>45939</v>
      </c>
      <c r="D656" t="inlineStr">
        <is>
          <t>VÄSTERNORRLANDS LÄN</t>
        </is>
      </c>
      <c r="E656" t="inlineStr">
        <is>
          <t>ÅNGE</t>
        </is>
      </c>
      <c r="G656" t="n">
        <v>1</v>
      </c>
      <c r="H656" t="n">
        <v>0</v>
      </c>
      <c r="I656" t="n">
        <v>0</v>
      </c>
      <c r="J656" t="n">
        <v>0</v>
      </c>
      <c r="K656" t="n">
        <v>0</v>
      </c>
      <c r="L656" t="n">
        <v>0</v>
      </c>
      <c r="M656" t="n">
        <v>0</v>
      </c>
      <c r="N656" t="n">
        <v>0</v>
      </c>
      <c r="O656" t="n">
        <v>0</v>
      </c>
      <c r="P656" t="n">
        <v>0</v>
      </c>
      <c r="Q656" t="n">
        <v>0</v>
      </c>
      <c r="R656" s="2" t="inlineStr"/>
    </row>
    <row r="657" ht="15" customHeight="1">
      <c r="A657" t="inlineStr">
        <is>
          <t>A 35488-2024</t>
        </is>
      </c>
      <c r="B657" s="1" t="n">
        <v>45531</v>
      </c>
      <c r="C657" s="1" t="n">
        <v>45939</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43096-2023</t>
        </is>
      </c>
      <c r="B658" s="1" t="n">
        <v>45182</v>
      </c>
      <c r="C658" s="1" t="n">
        <v>45939</v>
      </c>
      <c r="D658" t="inlineStr">
        <is>
          <t>VÄSTERNORRLANDS LÄN</t>
        </is>
      </c>
      <c r="E658" t="inlineStr">
        <is>
          <t>ÅNGE</t>
        </is>
      </c>
      <c r="G658" t="n">
        <v>0.4</v>
      </c>
      <c r="H658" t="n">
        <v>0</v>
      </c>
      <c r="I658" t="n">
        <v>0</v>
      </c>
      <c r="J658" t="n">
        <v>0</v>
      </c>
      <c r="K658" t="n">
        <v>0</v>
      </c>
      <c r="L658" t="n">
        <v>0</v>
      </c>
      <c r="M658" t="n">
        <v>0</v>
      </c>
      <c r="N658" t="n">
        <v>0</v>
      </c>
      <c r="O658" t="n">
        <v>0</v>
      </c>
      <c r="P658" t="n">
        <v>0</v>
      </c>
      <c r="Q658" t="n">
        <v>0</v>
      </c>
      <c r="R658" s="2" t="inlineStr"/>
    </row>
    <row r="659" ht="15" customHeight="1">
      <c r="A659" t="inlineStr">
        <is>
          <t>A 28779-2023</t>
        </is>
      </c>
      <c r="B659" s="1" t="n">
        <v>45104.34314814815</v>
      </c>
      <c r="C659" s="1" t="n">
        <v>45939</v>
      </c>
      <c r="D659" t="inlineStr">
        <is>
          <t>VÄSTERNORRLANDS LÄN</t>
        </is>
      </c>
      <c r="E659" t="inlineStr">
        <is>
          <t>ÅNGE</t>
        </is>
      </c>
      <c r="G659" t="n">
        <v>1.3</v>
      </c>
      <c r="H659" t="n">
        <v>0</v>
      </c>
      <c r="I659" t="n">
        <v>0</v>
      </c>
      <c r="J659" t="n">
        <v>0</v>
      </c>
      <c r="K659" t="n">
        <v>0</v>
      </c>
      <c r="L659" t="n">
        <v>0</v>
      </c>
      <c r="M659" t="n">
        <v>0</v>
      </c>
      <c r="N659" t="n">
        <v>0</v>
      </c>
      <c r="O659" t="n">
        <v>0</v>
      </c>
      <c r="P659" t="n">
        <v>0</v>
      </c>
      <c r="Q659" t="n">
        <v>0</v>
      </c>
      <c r="R659" s="2" t="inlineStr"/>
    </row>
    <row r="660" ht="15" customHeight="1">
      <c r="A660" t="inlineStr">
        <is>
          <t>A 63607-2021</t>
        </is>
      </c>
      <c r="B660" s="1" t="n">
        <v>44508.94650462963</v>
      </c>
      <c r="C660" s="1" t="n">
        <v>45939</v>
      </c>
      <c r="D660" t="inlineStr">
        <is>
          <t>VÄSTERNORRLANDS LÄN</t>
        </is>
      </c>
      <c r="E660" t="inlineStr">
        <is>
          <t>ÅNGE</t>
        </is>
      </c>
      <c r="F660" t="inlineStr">
        <is>
          <t>SCA</t>
        </is>
      </c>
      <c r="G660" t="n">
        <v>6.7</v>
      </c>
      <c r="H660" t="n">
        <v>0</v>
      </c>
      <c r="I660" t="n">
        <v>0</v>
      </c>
      <c r="J660" t="n">
        <v>0</v>
      </c>
      <c r="K660" t="n">
        <v>0</v>
      </c>
      <c r="L660" t="n">
        <v>0</v>
      </c>
      <c r="M660" t="n">
        <v>0</v>
      </c>
      <c r="N660" t="n">
        <v>0</v>
      </c>
      <c r="O660" t="n">
        <v>0</v>
      </c>
      <c r="P660" t="n">
        <v>0</v>
      </c>
      <c r="Q660" t="n">
        <v>0</v>
      </c>
      <c r="R660" s="2" t="inlineStr"/>
    </row>
    <row r="661" ht="15" customHeight="1">
      <c r="A661" t="inlineStr">
        <is>
          <t>A 30235-2024</t>
        </is>
      </c>
      <c r="B661" s="1" t="n">
        <v>45490.49040509259</v>
      </c>
      <c r="C661" s="1" t="n">
        <v>45939</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3322-2025</t>
        </is>
      </c>
      <c r="B662" s="1" t="n">
        <v>45679.6989699074</v>
      </c>
      <c r="C662" s="1" t="n">
        <v>45939</v>
      </c>
      <c r="D662" t="inlineStr">
        <is>
          <t>VÄSTERNORRLANDS LÄN</t>
        </is>
      </c>
      <c r="E662" t="inlineStr">
        <is>
          <t>ÅNGE</t>
        </is>
      </c>
      <c r="F662" t="inlineStr">
        <is>
          <t>SCA</t>
        </is>
      </c>
      <c r="G662" t="n">
        <v>11.1</v>
      </c>
      <c r="H662" t="n">
        <v>0</v>
      </c>
      <c r="I662" t="n">
        <v>0</v>
      </c>
      <c r="J662" t="n">
        <v>0</v>
      </c>
      <c r="K662" t="n">
        <v>0</v>
      </c>
      <c r="L662" t="n">
        <v>0</v>
      </c>
      <c r="M662" t="n">
        <v>0</v>
      </c>
      <c r="N662" t="n">
        <v>0</v>
      </c>
      <c r="O662" t="n">
        <v>0</v>
      </c>
      <c r="P662" t="n">
        <v>0</v>
      </c>
      <c r="Q662" t="n">
        <v>0</v>
      </c>
      <c r="R662" s="2" t="inlineStr"/>
    </row>
    <row r="663" ht="15" customHeight="1">
      <c r="A663" t="inlineStr">
        <is>
          <t>A 3327-2025</t>
        </is>
      </c>
      <c r="B663" s="1" t="n">
        <v>45679.69967592593</v>
      </c>
      <c r="C663" s="1" t="n">
        <v>45939</v>
      </c>
      <c r="D663" t="inlineStr">
        <is>
          <t>VÄSTERNORRLANDS LÄN</t>
        </is>
      </c>
      <c r="E663" t="inlineStr">
        <is>
          <t>ÅNGE</t>
        </is>
      </c>
      <c r="F663" t="inlineStr">
        <is>
          <t>SCA</t>
        </is>
      </c>
      <c r="G663" t="n">
        <v>12.9</v>
      </c>
      <c r="H663" t="n">
        <v>0</v>
      </c>
      <c r="I663" t="n">
        <v>0</v>
      </c>
      <c r="J663" t="n">
        <v>0</v>
      </c>
      <c r="K663" t="n">
        <v>0</v>
      </c>
      <c r="L663" t="n">
        <v>0</v>
      </c>
      <c r="M663" t="n">
        <v>0</v>
      </c>
      <c r="N663" t="n">
        <v>0</v>
      </c>
      <c r="O663" t="n">
        <v>0</v>
      </c>
      <c r="P663" t="n">
        <v>0</v>
      </c>
      <c r="Q663" t="n">
        <v>0</v>
      </c>
      <c r="R663" s="2" t="inlineStr"/>
    </row>
    <row r="664" ht="15" customHeight="1">
      <c r="A664" t="inlineStr">
        <is>
          <t>A 35593-2024</t>
        </is>
      </c>
      <c r="B664" s="1" t="n">
        <v>45531</v>
      </c>
      <c r="C664" s="1" t="n">
        <v>45939</v>
      </c>
      <c r="D664" t="inlineStr">
        <is>
          <t>VÄSTERNORRLANDS LÄN</t>
        </is>
      </c>
      <c r="E664" t="inlineStr">
        <is>
          <t>ÅNGE</t>
        </is>
      </c>
      <c r="G664" t="n">
        <v>17.6</v>
      </c>
      <c r="H664" t="n">
        <v>0</v>
      </c>
      <c r="I664" t="n">
        <v>0</v>
      </c>
      <c r="J664" t="n">
        <v>0</v>
      </c>
      <c r="K664" t="n">
        <v>0</v>
      </c>
      <c r="L664" t="n">
        <v>0</v>
      </c>
      <c r="M664" t="n">
        <v>0</v>
      </c>
      <c r="N664" t="n">
        <v>0</v>
      </c>
      <c r="O664" t="n">
        <v>0</v>
      </c>
      <c r="P664" t="n">
        <v>0</v>
      </c>
      <c r="Q664" t="n">
        <v>0</v>
      </c>
      <c r="R664" s="2" t="inlineStr"/>
    </row>
    <row r="665" ht="15" customHeight="1">
      <c r="A665" t="inlineStr">
        <is>
          <t>A 38386-2025</t>
        </is>
      </c>
      <c r="B665" s="1" t="n">
        <v>45883.57430555556</v>
      </c>
      <c r="C665" s="1" t="n">
        <v>45939</v>
      </c>
      <c r="D665" t="inlineStr">
        <is>
          <t>VÄSTERNORRLANDS LÄN</t>
        </is>
      </c>
      <c r="E665" t="inlineStr">
        <is>
          <t>ÅNGE</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38273-2025</t>
        </is>
      </c>
      <c r="B666" s="1" t="n">
        <v>45883.40740740741</v>
      </c>
      <c r="C666" s="1" t="n">
        <v>45939</v>
      </c>
      <c r="D666" t="inlineStr">
        <is>
          <t>VÄSTERNORRLANDS LÄN</t>
        </is>
      </c>
      <c r="E666" t="inlineStr">
        <is>
          <t>ÅNGE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27468-2024</t>
        </is>
      </c>
      <c r="B667" s="1" t="n">
        <v>45474</v>
      </c>
      <c r="C667" s="1" t="n">
        <v>45939</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30055-2024</t>
        </is>
      </c>
      <c r="B668" s="1" t="n">
        <v>45488.94767361111</v>
      </c>
      <c r="C668" s="1" t="n">
        <v>45939</v>
      </c>
      <c r="D668" t="inlineStr">
        <is>
          <t>VÄSTERNORRLANDS LÄN</t>
        </is>
      </c>
      <c r="E668" t="inlineStr">
        <is>
          <t>ÅNGE</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3947-2025</t>
        </is>
      </c>
      <c r="B669" s="1" t="n">
        <v>45684.49001157407</v>
      </c>
      <c r="C669" s="1" t="n">
        <v>45939</v>
      </c>
      <c r="D669" t="inlineStr">
        <is>
          <t>VÄSTERNORRLANDS LÄN</t>
        </is>
      </c>
      <c r="E669" t="inlineStr">
        <is>
          <t>ÅNGE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41370-2023</t>
        </is>
      </c>
      <c r="B670" s="1" t="n">
        <v>45174.85951388889</v>
      </c>
      <c r="C670" s="1" t="n">
        <v>45939</v>
      </c>
      <c r="D670" t="inlineStr">
        <is>
          <t>VÄSTERNORRLANDS LÄN</t>
        </is>
      </c>
      <c r="E670" t="inlineStr">
        <is>
          <t>ÅNGE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14927-2025</t>
        </is>
      </c>
      <c r="B671" s="1" t="n">
        <v>45743</v>
      </c>
      <c r="C671" s="1" t="n">
        <v>45939</v>
      </c>
      <c r="D671" t="inlineStr">
        <is>
          <t>VÄSTERNORRLANDS LÄN</t>
        </is>
      </c>
      <c r="E671" t="inlineStr">
        <is>
          <t>ÅNGE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15603-2024</t>
        </is>
      </c>
      <c r="B672" s="1" t="n">
        <v>45401.92501157407</v>
      </c>
      <c r="C672" s="1" t="n">
        <v>45939</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38284-2022</t>
        </is>
      </c>
      <c r="B673" s="1" t="n">
        <v>44812.55149305556</v>
      </c>
      <c r="C673" s="1" t="n">
        <v>45939</v>
      </c>
      <c r="D673" t="inlineStr">
        <is>
          <t>VÄSTERNORRLANDS LÄN</t>
        </is>
      </c>
      <c r="E673" t="inlineStr">
        <is>
          <t>ÅNGE</t>
        </is>
      </c>
      <c r="G673" t="n">
        <v>2.4</v>
      </c>
      <c r="H673" t="n">
        <v>0</v>
      </c>
      <c r="I673" t="n">
        <v>0</v>
      </c>
      <c r="J673" t="n">
        <v>0</v>
      </c>
      <c r="K673" t="n">
        <v>0</v>
      </c>
      <c r="L673" t="n">
        <v>0</v>
      </c>
      <c r="M673" t="n">
        <v>0</v>
      </c>
      <c r="N673" t="n">
        <v>0</v>
      </c>
      <c r="O673" t="n">
        <v>0</v>
      </c>
      <c r="P673" t="n">
        <v>0</v>
      </c>
      <c r="Q673" t="n">
        <v>0</v>
      </c>
      <c r="R673" s="2" t="inlineStr"/>
    </row>
    <row r="674" ht="15" customHeight="1">
      <c r="A674" t="inlineStr">
        <is>
          <t>A 26011-2024</t>
        </is>
      </c>
      <c r="B674" s="1" t="n">
        <v>45467.95828703704</v>
      </c>
      <c r="C674" s="1" t="n">
        <v>45939</v>
      </c>
      <c r="D674" t="inlineStr">
        <is>
          <t>VÄSTERNORRLANDS LÄN</t>
        </is>
      </c>
      <c r="E674" t="inlineStr">
        <is>
          <t>ÅNGE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26014-2024</t>
        </is>
      </c>
      <c r="B675" s="1" t="n">
        <v>45467.95862268518</v>
      </c>
      <c r="C675" s="1" t="n">
        <v>45939</v>
      </c>
      <c r="D675" t="inlineStr">
        <is>
          <t>VÄSTERNORRLANDS LÄN</t>
        </is>
      </c>
      <c r="E675" t="inlineStr">
        <is>
          <t>ÅNGE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26019-2024</t>
        </is>
      </c>
      <c r="B676" s="1" t="n">
        <v>45467.96015046296</v>
      </c>
      <c r="C676" s="1" t="n">
        <v>45939</v>
      </c>
      <c r="D676" t="inlineStr">
        <is>
          <t>VÄSTERNORRLANDS LÄN</t>
        </is>
      </c>
      <c r="E676" t="inlineStr">
        <is>
          <t>ÅNGE</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52804-2024</t>
        </is>
      </c>
      <c r="B677" s="1" t="n">
        <v>45610.57322916666</v>
      </c>
      <c r="C677" s="1" t="n">
        <v>45939</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3-2025</t>
        </is>
      </c>
      <c r="B678" s="1" t="n">
        <v>45658.49819444444</v>
      </c>
      <c r="C678" s="1" t="n">
        <v>45939</v>
      </c>
      <c r="D678" t="inlineStr">
        <is>
          <t>VÄSTERNORRLANDS LÄN</t>
        </is>
      </c>
      <c r="E678" t="inlineStr">
        <is>
          <t>ÅNGE</t>
        </is>
      </c>
      <c r="G678" t="n">
        <v>2</v>
      </c>
      <c r="H678" t="n">
        <v>0</v>
      </c>
      <c r="I678" t="n">
        <v>0</v>
      </c>
      <c r="J678" t="n">
        <v>0</v>
      </c>
      <c r="K678" t="n">
        <v>0</v>
      </c>
      <c r="L678" t="n">
        <v>0</v>
      </c>
      <c r="M678" t="n">
        <v>0</v>
      </c>
      <c r="N678" t="n">
        <v>0</v>
      </c>
      <c r="O678" t="n">
        <v>0</v>
      </c>
      <c r="P678" t="n">
        <v>0</v>
      </c>
      <c r="Q678" t="n">
        <v>0</v>
      </c>
      <c r="R678" s="2" t="inlineStr"/>
    </row>
    <row r="679" ht="15" customHeight="1">
      <c r="A679" t="inlineStr">
        <is>
          <t>A 21151-2024</t>
        </is>
      </c>
      <c r="B679" s="1" t="n">
        <v>45440</v>
      </c>
      <c r="C679" s="1" t="n">
        <v>45939</v>
      </c>
      <c r="D679" t="inlineStr">
        <is>
          <t>VÄSTERNORRLANDS LÄN</t>
        </is>
      </c>
      <c r="E679" t="inlineStr">
        <is>
          <t>ÅNGE</t>
        </is>
      </c>
      <c r="G679" t="n">
        <v>3.7</v>
      </c>
      <c r="H679" t="n">
        <v>0</v>
      </c>
      <c r="I679" t="n">
        <v>0</v>
      </c>
      <c r="J679" t="n">
        <v>0</v>
      </c>
      <c r="K679" t="n">
        <v>0</v>
      </c>
      <c r="L679" t="n">
        <v>0</v>
      </c>
      <c r="M679" t="n">
        <v>0</v>
      </c>
      <c r="N679" t="n">
        <v>0</v>
      </c>
      <c r="O679" t="n">
        <v>0</v>
      </c>
      <c r="P679" t="n">
        <v>0</v>
      </c>
      <c r="Q679" t="n">
        <v>0</v>
      </c>
      <c r="R679" s="2" t="inlineStr"/>
    </row>
    <row r="680" ht="15" customHeight="1">
      <c r="A680" t="inlineStr">
        <is>
          <t>A 30353-2024</t>
        </is>
      </c>
      <c r="B680" s="1" t="n">
        <v>45490.95567129629</v>
      </c>
      <c r="C680" s="1" t="n">
        <v>45939</v>
      </c>
      <c r="D680" t="inlineStr">
        <is>
          <t>VÄSTERNORRLANDS LÄN</t>
        </is>
      </c>
      <c r="E680" t="inlineStr">
        <is>
          <t>ÅNGE</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13706-2023</t>
        </is>
      </c>
      <c r="B681" s="1" t="n">
        <v>45006</v>
      </c>
      <c r="C681" s="1" t="n">
        <v>45939</v>
      </c>
      <c r="D681" t="inlineStr">
        <is>
          <t>VÄSTERNORRLANDS LÄN</t>
        </is>
      </c>
      <c r="E681" t="inlineStr">
        <is>
          <t>ÅNGE</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14889-2022</t>
        </is>
      </c>
      <c r="B682" s="1" t="n">
        <v>44656</v>
      </c>
      <c r="C682" s="1" t="n">
        <v>45939</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6462-2024</t>
        </is>
      </c>
      <c r="B683" s="1" t="n">
        <v>45338</v>
      </c>
      <c r="C683" s="1" t="n">
        <v>45939</v>
      </c>
      <c r="D683" t="inlineStr">
        <is>
          <t>VÄSTERNORRLANDS LÄN</t>
        </is>
      </c>
      <c r="E683" t="inlineStr">
        <is>
          <t>ÅNGE</t>
        </is>
      </c>
      <c r="F683" t="inlineStr">
        <is>
          <t>Kyrkan</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16606-2023</t>
        </is>
      </c>
      <c r="B684" s="1" t="n">
        <v>45030.3990625</v>
      </c>
      <c r="C684" s="1" t="n">
        <v>45939</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26490-2024</t>
        </is>
      </c>
      <c r="B685" s="1" t="n">
        <v>45469</v>
      </c>
      <c r="C685" s="1" t="n">
        <v>45939</v>
      </c>
      <c r="D685" t="inlineStr">
        <is>
          <t>VÄSTERNORRLANDS LÄN</t>
        </is>
      </c>
      <c r="E685" t="inlineStr">
        <is>
          <t>ÅNGE</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25047-2023</t>
        </is>
      </c>
      <c r="B686" s="1" t="n">
        <v>45085.94569444445</v>
      </c>
      <c r="C686" s="1" t="n">
        <v>45939</v>
      </c>
      <c r="D686" t="inlineStr">
        <is>
          <t>VÄSTERNORRLANDS LÄN</t>
        </is>
      </c>
      <c r="E686" t="inlineStr">
        <is>
          <t>ÅNGE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60817-2024</t>
        </is>
      </c>
      <c r="B687" s="1" t="n">
        <v>45644</v>
      </c>
      <c r="C687" s="1" t="n">
        <v>45939</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23225-2024</t>
        </is>
      </c>
      <c r="B688" s="1" t="n">
        <v>45452.9490162037</v>
      </c>
      <c r="C688" s="1" t="n">
        <v>45939</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15791-2025</t>
        </is>
      </c>
      <c r="B689" s="1" t="n">
        <v>45748.631875</v>
      </c>
      <c r="C689" s="1" t="n">
        <v>45939</v>
      </c>
      <c r="D689" t="inlineStr">
        <is>
          <t>VÄSTERNORRLANDS LÄN</t>
        </is>
      </c>
      <c r="E689" t="inlineStr">
        <is>
          <t>ÅNGE</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33747-2024</t>
        </is>
      </c>
      <c r="B690" s="1" t="n">
        <v>45520</v>
      </c>
      <c r="C690" s="1" t="n">
        <v>45939</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34754-2024</t>
        </is>
      </c>
      <c r="B691" s="1" t="n">
        <v>45526</v>
      </c>
      <c r="C691" s="1" t="n">
        <v>45939</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22411-2023</t>
        </is>
      </c>
      <c r="B692" s="1" t="n">
        <v>45070</v>
      </c>
      <c r="C692" s="1" t="n">
        <v>45939</v>
      </c>
      <c r="D692" t="inlineStr">
        <is>
          <t>VÄSTERNORRLANDS LÄN</t>
        </is>
      </c>
      <c r="E692" t="inlineStr">
        <is>
          <t>ÅNGE</t>
        </is>
      </c>
      <c r="G692" t="n">
        <v>2.8</v>
      </c>
      <c r="H692" t="n">
        <v>0</v>
      </c>
      <c r="I692" t="n">
        <v>0</v>
      </c>
      <c r="J692" t="n">
        <v>0</v>
      </c>
      <c r="K692" t="n">
        <v>0</v>
      </c>
      <c r="L692" t="n">
        <v>0</v>
      </c>
      <c r="M692" t="n">
        <v>0</v>
      </c>
      <c r="N692" t="n">
        <v>0</v>
      </c>
      <c r="O692" t="n">
        <v>0</v>
      </c>
      <c r="P692" t="n">
        <v>0</v>
      </c>
      <c r="Q692" t="n">
        <v>0</v>
      </c>
      <c r="R692" s="2" t="inlineStr"/>
    </row>
    <row r="693" ht="15" customHeight="1">
      <c r="A693" t="inlineStr">
        <is>
          <t>A 33305-2024</t>
        </is>
      </c>
      <c r="B693" s="1" t="n">
        <v>45518</v>
      </c>
      <c r="C693" s="1" t="n">
        <v>45939</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33306-2024</t>
        </is>
      </c>
      <c r="B694" s="1" t="n">
        <v>45518</v>
      </c>
      <c r="C694" s="1" t="n">
        <v>45939</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4071-2025</t>
        </is>
      </c>
      <c r="B695" s="1" t="n">
        <v>45684.63579861111</v>
      </c>
      <c r="C695" s="1" t="n">
        <v>45939</v>
      </c>
      <c r="D695" t="inlineStr">
        <is>
          <t>VÄSTERNORRLANDS LÄN</t>
        </is>
      </c>
      <c r="E695" t="inlineStr">
        <is>
          <t>ÅNGE</t>
        </is>
      </c>
      <c r="F695" t="inlineStr">
        <is>
          <t>SCA</t>
        </is>
      </c>
      <c r="G695" t="n">
        <v>13.7</v>
      </c>
      <c r="H695" t="n">
        <v>0</v>
      </c>
      <c r="I695" t="n">
        <v>0</v>
      </c>
      <c r="J695" t="n">
        <v>0</v>
      </c>
      <c r="K695" t="n">
        <v>0</v>
      </c>
      <c r="L695" t="n">
        <v>0</v>
      </c>
      <c r="M695" t="n">
        <v>0</v>
      </c>
      <c r="N695" t="n">
        <v>0</v>
      </c>
      <c r="O695" t="n">
        <v>0</v>
      </c>
      <c r="P695" t="n">
        <v>0</v>
      </c>
      <c r="Q695" t="n">
        <v>0</v>
      </c>
      <c r="R695" s="2" t="inlineStr"/>
    </row>
    <row r="696" ht="15" customHeight="1">
      <c r="A696" t="inlineStr">
        <is>
          <t>A 6619-2025</t>
        </is>
      </c>
      <c r="B696" s="1" t="n">
        <v>45700.36541666667</v>
      </c>
      <c r="C696" s="1" t="n">
        <v>45939</v>
      </c>
      <c r="D696" t="inlineStr">
        <is>
          <t>VÄSTERNORRLANDS LÄN</t>
        </is>
      </c>
      <c r="E696" t="inlineStr">
        <is>
          <t>ÅNGE</t>
        </is>
      </c>
      <c r="F696" t="inlineStr">
        <is>
          <t>SCA</t>
        </is>
      </c>
      <c r="G696" t="n">
        <v>10.3</v>
      </c>
      <c r="H696" t="n">
        <v>0</v>
      </c>
      <c r="I696" t="n">
        <v>0</v>
      </c>
      <c r="J696" t="n">
        <v>0</v>
      </c>
      <c r="K696" t="n">
        <v>0</v>
      </c>
      <c r="L696" t="n">
        <v>0</v>
      </c>
      <c r="M696" t="n">
        <v>0</v>
      </c>
      <c r="N696" t="n">
        <v>0</v>
      </c>
      <c r="O696" t="n">
        <v>0</v>
      </c>
      <c r="P696" t="n">
        <v>0</v>
      </c>
      <c r="Q696" t="n">
        <v>0</v>
      </c>
      <c r="R696" s="2" t="inlineStr"/>
    </row>
    <row r="697" ht="15" customHeight="1">
      <c r="A697" t="inlineStr">
        <is>
          <t>A 55007-2022</t>
        </is>
      </c>
      <c r="B697" s="1" t="n">
        <v>44881</v>
      </c>
      <c r="C697" s="1" t="n">
        <v>45939</v>
      </c>
      <c r="D697" t="inlineStr">
        <is>
          <t>VÄSTERNORRLANDS LÄN</t>
        </is>
      </c>
      <c r="E697" t="inlineStr">
        <is>
          <t>ÅNGE</t>
        </is>
      </c>
      <c r="G697" t="n">
        <v>2</v>
      </c>
      <c r="H697" t="n">
        <v>0</v>
      </c>
      <c r="I697" t="n">
        <v>0</v>
      </c>
      <c r="J697" t="n">
        <v>0</v>
      </c>
      <c r="K697" t="n">
        <v>0</v>
      </c>
      <c r="L697" t="n">
        <v>0</v>
      </c>
      <c r="M697" t="n">
        <v>0</v>
      </c>
      <c r="N697" t="n">
        <v>0</v>
      </c>
      <c r="O697" t="n">
        <v>0</v>
      </c>
      <c r="P697" t="n">
        <v>0</v>
      </c>
      <c r="Q697" t="n">
        <v>0</v>
      </c>
      <c r="R697" s="2" t="inlineStr"/>
    </row>
    <row r="698" ht="15" customHeight="1">
      <c r="A698" t="inlineStr">
        <is>
          <t>A 7535-2023</t>
        </is>
      </c>
      <c r="B698" s="1" t="n">
        <v>44971</v>
      </c>
      <c r="C698" s="1" t="n">
        <v>45939</v>
      </c>
      <c r="D698" t="inlineStr">
        <is>
          <t>VÄSTERNORRLANDS LÄN</t>
        </is>
      </c>
      <c r="E698" t="inlineStr">
        <is>
          <t>ÅNGE</t>
        </is>
      </c>
      <c r="F698" t="inlineStr">
        <is>
          <t>SCA</t>
        </is>
      </c>
      <c r="G698" t="n">
        <v>14.6</v>
      </c>
      <c r="H698" t="n">
        <v>0</v>
      </c>
      <c r="I698" t="n">
        <v>0</v>
      </c>
      <c r="J698" t="n">
        <v>0</v>
      </c>
      <c r="K698" t="n">
        <v>0</v>
      </c>
      <c r="L698" t="n">
        <v>0</v>
      </c>
      <c r="M698" t="n">
        <v>0</v>
      </c>
      <c r="N698" t="n">
        <v>0</v>
      </c>
      <c r="O698" t="n">
        <v>0</v>
      </c>
      <c r="P698" t="n">
        <v>0</v>
      </c>
      <c r="Q698" t="n">
        <v>0</v>
      </c>
      <c r="R698" s="2" t="inlineStr"/>
    </row>
    <row r="699" ht="15" customHeight="1">
      <c r="A699" t="inlineStr">
        <is>
          <t>A 16281-2023</t>
        </is>
      </c>
      <c r="B699" s="1" t="n">
        <v>45028</v>
      </c>
      <c r="C699" s="1" t="n">
        <v>45939</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45459-2022</t>
        </is>
      </c>
      <c r="B700" s="1" t="n">
        <v>44845</v>
      </c>
      <c r="C700" s="1" t="n">
        <v>45939</v>
      </c>
      <c r="D700" t="inlineStr">
        <is>
          <t>VÄSTERNORRLANDS LÄN</t>
        </is>
      </c>
      <c r="E700" t="inlineStr">
        <is>
          <t>ÅNGE</t>
        </is>
      </c>
      <c r="G700" t="n">
        <v>0.9</v>
      </c>
      <c r="H700" t="n">
        <v>0</v>
      </c>
      <c r="I700" t="n">
        <v>0</v>
      </c>
      <c r="J700" t="n">
        <v>0</v>
      </c>
      <c r="K700" t="n">
        <v>0</v>
      </c>
      <c r="L700" t="n">
        <v>0</v>
      </c>
      <c r="M700" t="n">
        <v>0</v>
      </c>
      <c r="N700" t="n">
        <v>0</v>
      </c>
      <c r="O700" t="n">
        <v>0</v>
      </c>
      <c r="P700" t="n">
        <v>0</v>
      </c>
      <c r="Q700" t="n">
        <v>0</v>
      </c>
      <c r="R700" s="2" t="inlineStr"/>
    </row>
    <row r="701" ht="15" customHeight="1">
      <c r="A701" t="inlineStr">
        <is>
          <t>A 8070-2022</t>
        </is>
      </c>
      <c r="B701" s="1" t="n">
        <v>44609.48665509259</v>
      </c>
      <c r="C701" s="1" t="n">
        <v>45939</v>
      </c>
      <c r="D701" t="inlineStr">
        <is>
          <t>VÄSTERNORRLANDS LÄN</t>
        </is>
      </c>
      <c r="E701" t="inlineStr">
        <is>
          <t>ÅNGE</t>
        </is>
      </c>
      <c r="G701" t="n">
        <v>3.5</v>
      </c>
      <c r="H701" t="n">
        <v>0</v>
      </c>
      <c r="I701" t="n">
        <v>0</v>
      </c>
      <c r="J701" t="n">
        <v>0</v>
      </c>
      <c r="K701" t="n">
        <v>0</v>
      </c>
      <c r="L701" t="n">
        <v>0</v>
      </c>
      <c r="M701" t="n">
        <v>0</v>
      </c>
      <c r="N701" t="n">
        <v>0</v>
      </c>
      <c r="O701" t="n">
        <v>0</v>
      </c>
      <c r="P701" t="n">
        <v>0</v>
      </c>
      <c r="Q701" t="n">
        <v>0</v>
      </c>
      <c r="R701" s="2" t="inlineStr"/>
    </row>
    <row r="702" ht="15" customHeight="1">
      <c r="A702" t="inlineStr">
        <is>
          <t>A 37038-2024</t>
        </is>
      </c>
      <c r="B702" s="1" t="n">
        <v>45539.40881944444</v>
      </c>
      <c r="C702" s="1" t="n">
        <v>45939</v>
      </c>
      <c r="D702" t="inlineStr">
        <is>
          <t>VÄSTERNORRLANDS LÄN</t>
        </is>
      </c>
      <c r="E702" t="inlineStr">
        <is>
          <t>ÅNGE</t>
        </is>
      </c>
      <c r="G702" t="n">
        <v>1.4</v>
      </c>
      <c r="H702" t="n">
        <v>0</v>
      </c>
      <c r="I702" t="n">
        <v>0</v>
      </c>
      <c r="J702" t="n">
        <v>0</v>
      </c>
      <c r="K702" t="n">
        <v>0</v>
      </c>
      <c r="L702" t="n">
        <v>0</v>
      </c>
      <c r="M702" t="n">
        <v>0</v>
      </c>
      <c r="N702" t="n">
        <v>0</v>
      </c>
      <c r="O702" t="n">
        <v>0</v>
      </c>
      <c r="P702" t="n">
        <v>0</v>
      </c>
      <c r="Q702" t="n">
        <v>0</v>
      </c>
      <c r="R702" s="2" t="inlineStr"/>
    </row>
    <row r="703" ht="15" customHeight="1">
      <c r="A703" t="inlineStr">
        <is>
          <t>A 38283-2025</t>
        </is>
      </c>
      <c r="B703" s="1" t="n">
        <v>45883.42740740741</v>
      </c>
      <c r="C703" s="1" t="n">
        <v>45939</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53171-2020</t>
        </is>
      </c>
      <c r="B704" s="1" t="n">
        <v>44120</v>
      </c>
      <c r="C704" s="1" t="n">
        <v>45939</v>
      </c>
      <c r="D704" t="inlineStr">
        <is>
          <t>VÄSTERNORRLANDS LÄN</t>
        </is>
      </c>
      <c r="E704" t="inlineStr">
        <is>
          <t>ÅNGE</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2984-2025</t>
        </is>
      </c>
      <c r="B705" s="1" t="n">
        <v>45678.51094907407</v>
      </c>
      <c r="C705" s="1" t="n">
        <v>45939</v>
      </c>
      <c r="D705" t="inlineStr">
        <is>
          <t>VÄSTERNORRLANDS LÄN</t>
        </is>
      </c>
      <c r="E705" t="inlineStr">
        <is>
          <t>ÅNGE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46416-2025</t>
        </is>
      </c>
      <c r="B706" s="1" t="n">
        <v>45925.594375</v>
      </c>
      <c r="C706" s="1" t="n">
        <v>45939</v>
      </c>
      <c r="D706" t="inlineStr">
        <is>
          <t>VÄSTERNORRLANDS LÄN</t>
        </is>
      </c>
      <c r="E706" t="inlineStr">
        <is>
          <t>ÅNGE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10017-2025</t>
        </is>
      </c>
      <c r="B707" s="1" t="n">
        <v>45719.46957175926</v>
      </c>
      <c r="C707" s="1" t="n">
        <v>45939</v>
      </c>
      <c r="D707" t="inlineStr">
        <is>
          <t>VÄSTERNORRLANDS LÄN</t>
        </is>
      </c>
      <c r="E707" t="inlineStr">
        <is>
          <t>ÅNGE</t>
        </is>
      </c>
      <c r="F707" t="inlineStr">
        <is>
          <t>SCA</t>
        </is>
      </c>
      <c r="G707" t="n">
        <v>9.9</v>
      </c>
      <c r="H707" t="n">
        <v>0</v>
      </c>
      <c r="I707" t="n">
        <v>0</v>
      </c>
      <c r="J707" t="n">
        <v>0</v>
      </c>
      <c r="K707" t="n">
        <v>0</v>
      </c>
      <c r="L707" t="n">
        <v>0</v>
      </c>
      <c r="M707" t="n">
        <v>0</v>
      </c>
      <c r="N707" t="n">
        <v>0</v>
      </c>
      <c r="O707" t="n">
        <v>0</v>
      </c>
      <c r="P707" t="n">
        <v>0</v>
      </c>
      <c r="Q707" t="n">
        <v>0</v>
      </c>
      <c r="R707" s="2" t="inlineStr"/>
    </row>
    <row r="708" ht="15" customHeight="1">
      <c r="A708" t="inlineStr">
        <is>
          <t>A 29270-2024</t>
        </is>
      </c>
      <c r="B708" s="1" t="n">
        <v>45482.94979166667</v>
      </c>
      <c r="C708" s="1" t="n">
        <v>45939</v>
      </c>
      <c r="D708" t="inlineStr">
        <is>
          <t>VÄSTERNORRLANDS LÄN</t>
        </is>
      </c>
      <c r="E708" t="inlineStr">
        <is>
          <t>ÅNGE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14097-2022</t>
        </is>
      </c>
      <c r="B709" s="1" t="n">
        <v>44651</v>
      </c>
      <c r="C709" s="1" t="n">
        <v>45939</v>
      </c>
      <c r="D709" t="inlineStr">
        <is>
          <t>VÄSTERNORRLANDS LÄN</t>
        </is>
      </c>
      <c r="E709" t="inlineStr">
        <is>
          <t>ÅNGE</t>
        </is>
      </c>
      <c r="G709" t="n">
        <v>1.4</v>
      </c>
      <c r="H709" t="n">
        <v>0</v>
      </c>
      <c r="I709" t="n">
        <v>0</v>
      </c>
      <c r="J709" t="n">
        <v>0</v>
      </c>
      <c r="K709" t="n">
        <v>0</v>
      </c>
      <c r="L709" t="n">
        <v>0</v>
      </c>
      <c r="M709" t="n">
        <v>0</v>
      </c>
      <c r="N709" t="n">
        <v>0</v>
      </c>
      <c r="O709" t="n">
        <v>0</v>
      </c>
      <c r="P709" t="n">
        <v>0</v>
      </c>
      <c r="Q709" t="n">
        <v>0</v>
      </c>
      <c r="R709" s="2" t="inlineStr"/>
    </row>
    <row r="710" ht="15" customHeight="1">
      <c r="A710" t="inlineStr">
        <is>
          <t>A 29696-2024</t>
        </is>
      </c>
      <c r="B710" s="1" t="n">
        <v>45484.94524305555</v>
      </c>
      <c r="C710" s="1" t="n">
        <v>45939</v>
      </c>
      <c r="D710" t="inlineStr">
        <is>
          <t>VÄSTERNORRLANDS LÄN</t>
        </is>
      </c>
      <c r="E710" t="inlineStr">
        <is>
          <t>ÅNGE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29667-2024</t>
        </is>
      </c>
      <c r="B711" s="1" t="n">
        <v>45484.94041666666</v>
      </c>
      <c r="C711" s="1" t="n">
        <v>45939</v>
      </c>
      <c r="D711" t="inlineStr">
        <is>
          <t>VÄSTERNORRLANDS LÄN</t>
        </is>
      </c>
      <c r="E711" t="inlineStr">
        <is>
          <t>ÅNGE</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39975-2023</t>
        </is>
      </c>
      <c r="B712" s="1" t="n">
        <v>45168.58844907407</v>
      </c>
      <c r="C712" s="1" t="n">
        <v>45939</v>
      </c>
      <c r="D712" t="inlineStr">
        <is>
          <t>VÄSTERNORRLANDS LÄN</t>
        </is>
      </c>
      <c r="E712" t="inlineStr">
        <is>
          <t>ÅNGE</t>
        </is>
      </c>
      <c r="G712" t="n">
        <v>2.2</v>
      </c>
      <c r="H712" t="n">
        <v>0</v>
      </c>
      <c r="I712" t="n">
        <v>0</v>
      </c>
      <c r="J712" t="n">
        <v>0</v>
      </c>
      <c r="K712" t="n">
        <v>0</v>
      </c>
      <c r="L712" t="n">
        <v>0</v>
      </c>
      <c r="M712" t="n">
        <v>0</v>
      </c>
      <c r="N712" t="n">
        <v>0</v>
      </c>
      <c r="O712" t="n">
        <v>0</v>
      </c>
      <c r="P712" t="n">
        <v>0</v>
      </c>
      <c r="Q712" t="n">
        <v>0</v>
      </c>
      <c r="R712" s="2" t="inlineStr"/>
    </row>
    <row r="713" ht="15" customHeight="1">
      <c r="A713" t="inlineStr">
        <is>
          <t>A 32776-2022</t>
        </is>
      </c>
      <c r="B713" s="1" t="n">
        <v>44783.94607638889</v>
      </c>
      <c r="C713" s="1" t="n">
        <v>45939</v>
      </c>
      <c r="D713" t="inlineStr">
        <is>
          <t>VÄSTERNORRLANDS LÄN</t>
        </is>
      </c>
      <c r="E713" t="inlineStr">
        <is>
          <t>ÅNGE</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33062-2022</t>
        </is>
      </c>
      <c r="B714" s="1" t="n">
        <v>44785</v>
      </c>
      <c r="C714" s="1" t="n">
        <v>45939</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11032-2025</t>
        </is>
      </c>
      <c r="B715" s="1" t="n">
        <v>45723.47601851852</v>
      </c>
      <c r="C715" s="1" t="n">
        <v>45939</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56874-2024</t>
        </is>
      </c>
      <c r="B716" s="1" t="n">
        <v>45628</v>
      </c>
      <c r="C716" s="1" t="n">
        <v>45939</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59626-2022</t>
        </is>
      </c>
      <c r="B717" s="1" t="n">
        <v>44907.92354166666</v>
      </c>
      <c r="C717" s="1" t="n">
        <v>45939</v>
      </c>
      <c r="D717" t="inlineStr">
        <is>
          <t>VÄSTERNORRLANDS LÄN</t>
        </is>
      </c>
      <c r="E717" t="inlineStr">
        <is>
          <t>ÅNGE</t>
        </is>
      </c>
      <c r="G717" t="n">
        <v>1.4</v>
      </c>
      <c r="H717" t="n">
        <v>0</v>
      </c>
      <c r="I717" t="n">
        <v>0</v>
      </c>
      <c r="J717" t="n">
        <v>0</v>
      </c>
      <c r="K717" t="n">
        <v>0</v>
      </c>
      <c r="L717" t="n">
        <v>0</v>
      </c>
      <c r="M717" t="n">
        <v>0</v>
      </c>
      <c r="N717" t="n">
        <v>0</v>
      </c>
      <c r="O717" t="n">
        <v>0</v>
      </c>
      <c r="P717" t="n">
        <v>0</v>
      </c>
      <c r="Q717" t="n">
        <v>0</v>
      </c>
      <c r="R717" s="2" t="inlineStr"/>
    </row>
    <row r="718" ht="15" customHeight="1">
      <c r="A718" t="inlineStr">
        <is>
          <t>A 16657-2025</t>
        </is>
      </c>
      <c r="B718" s="1" t="n">
        <v>45754.40700231482</v>
      </c>
      <c r="C718" s="1" t="n">
        <v>45939</v>
      </c>
      <c r="D718" t="inlineStr">
        <is>
          <t>VÄSTERNORRLANDS LÄN</t>
        </is>
      </c>
      <c r="E718" t="inlineStr">
        <is>
          <t>ÅNGE</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6608-2025</t>
        </is>
      </c>
      <c r="B719" s="1" t="n">
        <v>45700.34415509259</v>
      </c>
      <c r="C719" s="1" t="n">
        <v>45939</v>
      </c>
      <c r="D719" t="inlineStr">
        <is>
          <t>VÄSTERNORRLANDS LÄN</t>
        </is>
      </c>
      <c r="E719" t="inlineStr">
        <is>
          <t>ÅNGE</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3249-2024</t>
        </is>
      </c>
      <c r="B720" s="1" t="n">
        <v>45316</v>
      </c>
      <c r="C720" s="1" t="n">
        <v>45939</v>
      </c>
      <c r="D720" t="inlineStr">
        <is>
          <t>VÄSTERNORRLANDS LÄN</t>
        </is>
      </c>
      <c r="E720" t="inlineStr">
        <is>
          <t>ÅNGE</t>
        </is>
      </c>
      <c r="G720" t="n">
        <v>0.3</v>
      </c>
      <c r="H720" t="n">
        <v>0</v>
      </c>
      <c r="I720" t="n">
        <v>0</v>
      </c>
      <c r="J720" t="n">
        <v>0</v>
      </c>
      <c r="K720" t="n">
        <v>0</v>
      </c>
      <c r="L720" t="n">
        <v>0</v>
      </c>
      <c r="M720" t="n">
        <v>0</v>
      </c>
      <c r="N720" t="n">
        <v>0</v>
      </c>
      <c r="O720" t="n">
        <v>0</v>
      </c>
      <c r="P720" t="n">
        <v>0</v>
      </c>
      <c r="Q720" t="n">
        <v>0</v>
      </c>
      <c r="R720" s="2" t="inlineStr"/>
    </row>
    <row r="721" ht="15" customHeight="1">
      <c r="A721" t="inlineStr">
        <is>
          <t>A 9759-2024</t>
        </is>
      </c>
      <c r="B721" s="1" t="n">
        <v>45362</v>
      </c>
      <c r="C721" s="1" t="n">
        <v>45939</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38332-2025</t>
        </is>
      </c>
      <c r="B722" s="1" t="n">
        <v>45883.49151620371</v>
      </c>
      <c r="C722" s="1" t="n">
        <v>45939</v>
      </c>
      <c r="D722" t="inlineStr">
        <is>
          <t>VÄSTERNORRLANDS LÄN</t>
        </is>
      </c>
      <c r="E722" t="inlineStr">
        <is>
          <t>ÅNGE</t>
        </is>
      </c>
      <c r="F722" t="inlineStr">
        <is>
          <t>SCA</t>
        </is>
      </c>
      <c r="G722" t="n">
        <v>5.9</v>
      </c>
      <c r="H722" t="n">
        <v>0</v>
      </c>
      <c r="I722" t="n">
        <v>0</v>
      </c>
      <c r="J722" t="n">
        <v>0</v>
      </c>
      <c r="K722" t="n">
        <v>0</v>
      </c>
      <c r="L722" t="n">
        <v>0</v>
      </c>
      <c r="M722" t="n">
        <v>0</v>
      </c>
      <c r="N722" t="n">
        <v>0</v>
      </c>
      <c r="O722" t="n">
        <v>0</v>
      </c>
      <c r="P722" t="n">
        <v>0</v>
      </c>
      <c r="Q722" t="n">
        <v>0</v>
      </c>
      <c r="R722" s="2" t="inlineStr"/>
    </row>
    <row r="723" ht="15" customHeight="1">
      <c r="A723" t="inlineStr">
        <is>
          <t>A 51871-2024</t>
        </is>
      </c>
      <c r="B723" s="1" t="n">
        <v>45607</v>
      </c>
      <c r="C723" s="1" t="n">
        <v>45939</v>
      </c>
      <c r="D723" t="inlineStr">
        <is>
          <t>VÄSTERNORRLANDS LÄN</t>
        </is>
      </c>
      <c r="E723" t="inlineStr">
        <is>
          <t>ÅNGE</t>
        </is>
      </c>
      <c r="F723" t="inlineStr">
        <is>
          <t>SCA</t>
        </is>
      </c>
      <c r="G723" t="n">
        <v>10.1</v>
      </c>
      <c r="H723" t="n">
        <v>0</v>
      </c>
      <c r="I723" t="n">
        <v>0</v>
      </c>
      <c r="J723" t="n">
        <v>0</v>
      </c>
      <c r="K723" t="n">
        <v>0</v>
      </c>
      <c r="L723" t="n">
        <v>0</v>
      </c>
      <c r="M723" t="n">
        <v>0</v>
      </c>
      <c r="N723" t="n">
        <v>0</v>
      </c>
      <c r="O723" t="n">
        <v>0</v>
      </c>
      <c r="P723" t="n">
        <v>0</v>
      </c>
      <c r="Q723" t="n">
        <v>0</v>
      </c>
      <c r="R723" s="2" t="inlineStr"/>
    </row>
    <row r="724" ht="15" customHeight="1">
      <c r="A724" t="inlineStr">
        <is>
          <t>A 19065-2025</t>
        </is>
      </c>
      <c r="B724" s="1" t="n">
        <v>45765</v>
      </c>
      <c r="C724" s="1" t="n">
        <v>45939</v>
      </c>
      <c r="D724" t="inlineStr">
        <is>
          <t>VÄSTERNORRLANDS LÄN</t>
        </is>
      </c>
      <c r="E724" t="inlineStr">
        <is>
          <t>ÅNGE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27002-2023</t>
        </is>
      </c>
      <c r="B725" s="1" t="n">
        <v>45093</v>
      </c>
      <c r="C725" s="1" t="n">
        <v>45939</v>
      </c>
      <c r="D725" t="inlineStr">
        <is>
          <t>VÄSTERNORRLANDS LÄN</t>
        </is>
      </c>
      <c r="E725" t="inlineStr">
        <is>
          <t>ÅNGE</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36290-2023</t>
        </is>
      </c>
      <c r="B726" s="1" t="n">
        <v>45152.35467592593</v>
      </c>
      <c r="C726" s="1" t="n">
        <v>45939</v>
      </c>
      <c r="D726" t="inlineStr">
        <is>
          <t>VÄSTERNORRLANDS LÄN</t>
        </is>
      </c>
      <c r="E726" t="inlineStr">
        <is>
          <t>ÅNGE</t>
        </is>
      </c>
      <c r="F726" t="inlineStr">
        <is>
          <t>Övriga Aktiebolag</t>
        </is>
      </c>
      <c r="G726" t="n">
        <v>3.4</v>
      </c>
      <c r="H726" t="n">
        <v>0</v>
      </c>
      <c r="I726" t="n">
        <v>0</v>
      </c>
      <c r="J726" t="n">
        <v>0</v>
      </c>
      <c r="K726" t="n">
        <v>0</v>
      </c>
      <c r="L726" t="n">
        <v>0</v>
      </c>
      <c r="M726" t="n">
        <v>0</v>
      </c>
      <c r="N726" t="n">
        <v>0</v>
      </c>
      <c r="O726" t="n">
        <v>0</v>
      </c>
      <c r="P726" t="n">
        <v>0</v>
      </c>
      <c r="Q726" t="n">
        <v>0</v>
      </c>
      <c r="R726" s="2" t="inlineStr"/>
    </row>
    <row r="727" ht="15" customHeight="1">
      <c r="A727" t="inlineStr">
        <is>
          <t>A 48369-2024</t>
        </is>
      </c>
      <c r="B727" s="1" t="n">
        <v>45590.57960648148</v>
      </c>
      <c r="C727" s="1" t="n">
        <v>45939</v>
      </c>
      <c r="D727" t="inlineStr">
        <is>
          <t>VÄSTERNORRLANDS LÄN</t>
        </is>
      </c>
      <c r="E727" t="inlineStr">
        <is>
          <t>ÅNGE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1714-2025</t>
        </is>
      </c>
      <c r="B728" s="1" t="n">
        <v>45671.32474537037</v>
      </c>
      <c r="C728" s="1" t="n">
        <v>45939</v>
      </c>
      <c r="D728" t="inlineStr">
        <is>
          <t>VÄSTERNORRLANDS LÄN</t>
        </is>
      </c>
      <c r="E728" t="inlineStr">
        <is>
          <t>ÅNGE</t>
        </is>
      </c>
      <c r="G728" t="n">
        <v>2</v>
      </c>
      <c r="H728" t="n">
        <v>0</v>
      </c>
      <c r="I728" t="n">
        <v>0</v>
      </c>
      <c r="J728" t="n">
        <v>0</v>
      </c>
      <c r="K728" t="n">
        <v>0</v>
      </c>
      <c r="L728" t="n">
        <v>0</v>
      </c>
      <c r="M728" t="n">
        <v>0</v>
      </c>
      <c r="N728" t="n">
        <v>0</v>
      </c>
      <c r="O728" t="n">
        <v>0</v>
      </c>
      <c r="P728" t="n">
        <v>0</v>
      </c>
      <c r="Q728" t="n">
        <v>0</v>
      </c>
      <c r="R728" s="2" t="inlineStr"/>
    </row>
    <row r="729" ht="15" customHeight="1">
      <c r="A729" t="inlineStr">
        <is>
          <t>A 42953-2024</t>
        </is>
      </c>
      <c r="B729" s="1" t="n">
        <v>45567</v>
      </c>
      <c r="C729" s="1" t="n">
        <v>45939</v>
      </c>
      <c r="D729" t="inlineStr">
        <is>
          <t>VÄSTERNORRLANDS LÄN</t>
        </is>
      </c>
      <c r="E729" t="inlineStr">
        <is>
          <t>ÅNGE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42968-2024</t>
        </is>
      </c>
      <c r="B730" s="1" t="n">
        <v>45567</v>
      </c>
      <c r="C730" s="1" t="n">
        <v>45939</v>
      </c>
      <c r="D730" t="inlineStr">
        <is>
          <t>VÄSTERNORRLANDS LÄN</t>
        </is>
      </c>
      <c r="E730" t="inlineStr">
        <is>
          <t>ÅNGE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63170-2023</t>
        </is>
      </c>
      <c r="B731" s="1" t="n">
        <v>45273.57087962963</v>
      </c>
      <c r="C731" s="1" t="n">
        <v>45939</v>
      </c>
      <c r="D731" t="inlineStr">
        <is>
          <t>VÄSTERNORRLANDS LÄN</t>
        </is>
      </c>
      <c r="E731" t="inlineStr">
        <is>
          <t>ÅNGE</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30273-2023</t>
        </is>
      </c>
      <c r="B732" s="1" t="n">
        <v>45099</v>
      </c>
      <c r="C732" s="1" t="n">
        <v>45939</v>
      </c>
      <c r="D732" t="inlineStr">
        <is>
          <t>VÄSTERNORRLANDS LÄN</t>
        </is>
      </c>
      <c r="E732" t="inlineStr">
        <is>
          <t>ÅNGE</t>
        </is>
      </c>
      <c r="G732" t="n">
        <v>3.9</v>
      </c>
      <c r="H732" t="n">
        <v>0</v>
      </c>
      <c r="I732" t="n">
        <v>0</v>
      </c>
      <c r="J732" t="n">
        <v>0</v>
      </c>
      <c r="K732" t="n">
        <v>0</v>
      </c>
      <c r="L732" t="n">
        <v>0</v>
      </c>
      <c r="M732" t="n">
        <v>0</v>
      </c>
      <c r="N732" t="n">
        <v>0</v>
      </c>
      <c r="O732" t="n">
        <v>0</v>
      </c>
      <c r="P732" t="n">
        <v>0</v>
      </c>
      <c r="Q732" t="n">
        <v>0</v>
      </c>
      <c r="R732" s="2" t="inlineStr"/>
    </row>
    <row r="733" ht="15" customHeight="1">
      <c r="A733" t="inlineStr">
        <is>
          <t>A 60368-2024</t>
        </is>
      </c>
      <c r="B733" s="1" t="n">
        <v>45643</v>
      </c>
      <c r="C733" s="1" t="n">
        <v>45939</v>
      </c>
      <c r="D733" t="inlineStr">
        <is>
          <t>VÄSTERNORRLANDS LÄN</t>
        </is>
      </c>
      <c r="E733" t="inlineStr">
        <is>
          <t>ÅNGE</t>
        </is>
      </c>
      <c r="G733" t="n">
        <v>1.8</v>
      </c>
      <c r="H733" t="n">
        <v>0</v>
      </c>
      <c r="I733" t="n">
        <v>0</v>
      </c>
      <c r="J733" t="n">
        <v>0</v>
      </c>
      <c r="K733" t="n">
        <v>0</v>
      </c>
      <c r="L733" t="n">
        <v>0</v>
      </c>
      <c r="M733" t="n">
        <v>0</v>
      </c>
      <c r="N733" t="n">
        <v>0</v>
      </c>
      <c r="O733" t="n">
        <v>0</v>
      </c>
      <c r="P733" t="n">
        <v>0</v>
      </c>
      <c r="Q733" t="n">
        <v>0</v>
      </c>
      <c r="R733" s="2" t="inlineStr"/>
    </row>
    <row r="734" ht="15" customHeight="1">
      <c r="A734" t="inlineStr">
        <is>
          <t>A 31729-2024</t>
        </is>
      </c>
      <c r="B734" s="1" t="n">
        <v>45509.35844907408</v>
      </c>
      <c r="C734" s="1" t="n">
        <v>45939</v>
      </c>
      <c r="D734" t="inlineStr">
        <is>
          <t>VÄSTERNORRLANDS LÄN</t>
        </is>
      </c>
      <c r="E734" t="inlineStr">
        <is>
          <t>ÅNGE</t>
        </is>
      </c>
      <c r="G734" t="n">
        <v>1.9</v>
      </c>
      <c r="H734" t="n">
        <v>0</v>
      </c>
      <c r="I734" t="n">
        <v>0</v>
      </c>
      <c r="J734" t="n">
        <v>0</v>
      </c>
      <c r="K734" t="n">
        <v>0</v>
      </c>
      <c r="L734" t="n">
        <v>0</v>
      </c>
      <c r="M734" t="n">
        <v>0</v>
      </c>
      <c r="N734" t="n">
        <v>0</v>
      </c>
      <c r="O734" t="n">
        <v>0</v>
      </c>
      <c r="P734" t="n">
        <v>0</v>
      </c>
      <c r="Q734" t="n">
        <v>0</v>
      </c>
      <c r="R734" s="2" t="inlineStr"/>
    </row>
    <row r="735" ht="15" customHeight="1">
      <c r="A735" t="inlineStr">
        <is>
          <t>A 34783-2021</t>
        </is>
      </c>
      <c r="B735" s="1" t="n">
        <v>44382</v>
      </c>
      <c r="C735" s="1" t="n">
        <v>45939</v>
      </c>
      <c r="D735" t="inlineStr">
        <is>
          <t>VÄSTERNORRLANDS LÄN</t>
        </is>
      </c>
      <c r="E735" t="inlineStr">
        <is>
          <t>ÅNGE</t>
        </is>
      </c>
      <c r="F735" t="inlineStr">
        <is>
          <t>SCA</t>
        </is>
      </c>
      <c r="G735" t="n">
        <v>8.5</v>
      </c>
      <c r="H735" t="n">
        <v>0</v>
      </c>
      <c r="I735" t="n">
        <v>0</v>
      </c>
      <c r="J735" t="n">
        <v>0</v>
      </c>
      <c r="K735" t="n">
        <v>0</v>
      </c>
      <c r="L735" t="n">
        <v>0</v>
      </c>
      <c r="M735" t="n">
        <v>0</v>
      </c>
      <c r="N735" t="n">
        <v>0</v>
      </c>
      <c r="O735" t="n">
        <v>0</v>
      </c>
      <c r="P735" t="n">
        <v>0</v>
      </c>
      <c r="Q735" t="n">
        <v>0</v>
      </c>
      <c r="R735" s="2" t="inlineStr"/>
    </row>
    <row r="736" ht="15" customHeight="1">
      <c r="A736" t="inlineStr">
        <is>
          <t>A 4187-2025</t>
        </is>
      </c>
      <c r="B736" s="1" t="n">
        <v>45685.44842592593</v>
      </c>
      <c r="C736" s="1" t="n">
        <v>45939</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11529-2023</t>
        </is>
      </c>
      <c r="B737" s="1" t="n">
        <v>44993</v>
      </c>
      <c r="C737" s="1" t="n">
        <v>45939</v>
      </c>
      <c r="D737" t="inlineStr">
        <is>
          <t>VÄSTERNORRLANDS LÄN</t>
        </is>
      </c>
      <c r="E737" t="inlineStr">
        <is>
          <t>ÅNGE</t>
        </is>
      </c>
      <c r="G737" t="n">
        <v>8.9</v>
      </c>
      <c r="H737" t="n">
        <v>0</v>
      </c>
      <c r="I737" t="n">
        <v>0</v>
      </c>
      <c r="J737" t="n">
        <v>0</v>
      </c>
      <c r="K737" t="n">
        <v>0</v>
      </c>
      <c r="L737" t="n">
        <v>0</v>
      </c>
      <c r="M737" t="n">
        <v>0</v>
      </c>
      <c r="N737" t="n">
        <v>0</v>
      </c>
      <c r="O737" t="n">
        <v>0</v>
      </c>
      <c r="P737" t="n">
        <v>0</v>
      </c>
      <c r="Q737" t="n">
        <v>0</v>
      </c>
      <c r="R737" s="2" t="inlineStr"/>
    </row>
    <row r="738" ht="15" customHeight="1">
      <c r="A738" t="inlineStr">
        <is>
          <t>A 42100-2023</t>
        </is>
      </c>
      <c r="B738" s="1" t="n">
        <v>45174</v>
      </c>
      <c r="C738" s="1" t="n">
        <v>45939</v>
      </c>
      <c r="D738" t="inlineStr">
        <is>
          <t>VÄSTERNORRLANDS LÄN</t>
        </is>
      </c>
      <c r="E738" t="inlineStr">
        <is>
          <t>ÅNGE</t>
        </is>
      </c>
      <c r="G738" t="n">
        <v>0.6</v>
      </c>
      <c r="H738" t="n">
        <v>0</v>
      </c>
      <c r="I738" t="n">
        <v>0</v>
      </c>
      <c r="J738" t="n">
        <v>0</v>
      </c>
      <c r="K738" t="n">
        <v>0</v>
      </c>
      <c r="L738" t="n">
        <v>0</v>
      </c>
      <c r="M738" t="n">
        <v>0</v>
      </c>
      <c r="N738" t="n">
        <v>0</v>
      </c>
      <c r="O738" t="n">
        <v>0</v>
      </c>
      <c r="P738" t="n">
        <v>0</v>
      </c>
      <c r="Q738" t="n">
        <v>0</v>
      </c>
      <c r="R738" s="2" t="inlineStr"/>
    </row>
    <row r="739" ht="15" customHeight="1">
      <c r="A739" t="inlineStr">
        <is>
          <t>A 31182-2024</t>
        </is>
      </c>
      <c r="B739" s="1" t="n">
        <v>45503</v>
      </c>
      <c r="C739" s="1" t="n">
        <v>45939</v>
      </c>
      <c r="D739" t="inlineStr">
        <is>
          <t>VÄSTERNORRLANDS LÄN</t>
        </is>
      </c>
      <c r="E739" t="inlineStr">
        <is>
          <t>ÅNGE</t>
        </is>
      </c>
      <c r="G739" t="n">
        <v>8.6</v>
      </c>
      <c r="H739" t="n">
        <v>0</v>
      </c>
      <c r="I739" t="n">
        <v>0</v>
      </c>
      <c r="J739" t="n">
        <v>0</v>
      </c>
      <c r="K739" t="n">
        <v>0</v>
      </c>
      <c r="L739" t="n">
        <v>0</v>
      </c>
      <c r="M739" t="n">
        <v>0</v>
      </c>
      <c r="N739" t="n">
        <v>0</v>
      </c>
      <c r="O739" t="n">
        <v>0</v>
      </c>
      <c r="P739" t="n">
        <v>0</v>
      </c>
      <c r="Q739" t="n">
        <v>0</v>
      </c>
      <c r="R739" s="2" t="inlineStr"/>
    </row>
    <row r="740" ht="15" customHeight="1">
      <c r="A740" t="inlineStr">
        <is>
          <t>A 12807-2025</t>
        </is>
      </c>
      <c r="B740" s="1" t="n">
        <v>45733.61537037037</v>
      </c>
      <c r="C740" s="1" t="n">
        <v>45939</v>
      </c>
      <c r="D740" t="inlineStr">
        <is>
          <t>VÄSTERNORRLANDS LÄN</t>
        </is>
      </c>
      <c r="E740" t="inlineStr">
        <is>
          <t>ÅNGE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51411-2023</t>
        </is>
      </c>
      <c r="B741" s="1" t="n">
        <v>45219</v>
      </c>
      <c r="C741" s="1" t="n">
        <v>45939</v>
      </c>
      <c r="D741" t="inlineStr">
        <is>
          <t>VÄSTERNORRLANDS LÄN</t>
        </is>
      </c>
      <c r="E741" t="inlineStr">
        <is>
          <t>ÅNGE</t>
        </is>
      </c>
      <c r="G741" t="n">
        <v>2.5</v>
      </c>
      <c r="H741" t="n">
        <v>0</v>
      </c>
      <c r="I741" t="n">
        <v>0</v>
      </c>
      <c r="J741" t="n">
        <v>0</v>
      </c>
      <c r="K741" t="n">
        <v>0</v>
      </c>
      <c r="L741" t="n">
        <v>0</v>
      </c>
      <c r="M741" t="n">
        <v>0</v>
      </c>
      <c r="N741" t="n">
        <v>0</v>
      </c>
      <c r="O741" t="n">
        <v>0</v>
      </c>
      <c r="P741" t="n">
        <v>0</v>
      </c>
      <c r="Q741" t="n">
        <v>0</v>
      </c>
      <c r="R741" s="2" t="inlineStr"/>
    </row>
    <row r="742" ht="15" customHeight="1">
      <c r="A742" t="inlineStr">
        <is>
          <t>A 1869-2022</t>
        </is>
      </c>
      <c r="B742" s="1" t="n">
        <v>44574</v>
      </c>
      <c r="C742" s="1" t="n">
        <v>45939</v>
      </c>
      <c r="D742" t="inlineStr">
        <is>
          <t>VÄSTERNORRLANDS LÄN</t>
        </is>
      </c>
      <c r="E742" t="inlineStr">
        <is>
          <t>ÅNGE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18668-2023</t>
        </is>
      </c>
      <c r="B743" s="1" t="n">
        <v>45043.57108796296</v>
      </c>
      <c r="C743" s="1" t="n">
        <v>45939</v>
      </c>
      <c r="D743" t="inlineStr">
        <is>
          <t>VÄSTERNORRLANDS LÄN</t>
        </is>
      </c>
      <c r="E743" t="inlineStr">
        <is>
          <t>ÅNGE</t>
        </is>
      </c>
      <c r="G743" t="n">
        <v>3.4</v>
      </c>
      <c r="H743" t="n">
        <v>0</v>
      </c>
      <c r="I743" t="n">
        <v>0</v>
      </c>
      <c r="J743" t="n">
        <v>0</v>
      </c>
      <c r="K743" t="n">
        <v>0</v>
      </c>
      <c r="L743" t="n">
        <v>0</v>
      </c>
      <c r="M743" t="n">
        <v>0</v>
      </c>
      <c r="N743" t="n">
        <v>0</v>
      </c>
      <c r="O743" t="n">
        <v>0</v>
      </c>
      <c r="P743" t="n">
        <v>0</v>
      </c>
      <c r="Q743" t="n">
        <v>0</v>
      </c>
      <c r="R743" s="2" t="inlineStr"/>
    </row>
    <row r="744" ht="15" customHeight="1">
      <c r="A744" t="inlineStr">
        <is>
          <t>A 62261-2022</t>
        </is>
      </c>
      <c r="B744" s="1" t="n">
        <v>44922.94378472222</v>
      </c>
      <c r="C744" s="1" t="n">
        <v>45939</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16524-2025</t>
        </is>
      </c>
      <c r="B745" s="1" t="n">
        <v>45751.64310185185</v>
      </c>
      <c r="C745" s="1" t="n">
        <v>45939</v>
      </c>
      <c r="D745" t="inlineStr">
        <is>
          <t>VÄSTERNORRLANDS LÄN</t>
        </is>
      </c>
      <c r="E745" t="inlineStr">
        <is>
          <t>ÅNGE</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65149-2020</t>
        </is>
      </c>
      <c r="B746" s="1" t="n">
        <v>44172</v>
      </c>
      <c r="C746" s="1" t="n">
        <v>45939</v>
      </c>
      <c r="D746" t="inlineStr">
        <is>
          <t>VÄSTERNORRLANDS LÄN</t>
        </is>
      </c>
      <c r="E746" t="inlineStr">
        <is>
          <t>ÅNGE</t>
        </is>
      </c>
      <c r="G746" t="n">
        <v>9.5</v>
      </c>
      <c r="H746" t="n">
        <v>0</v>
      </c>
      <c r="I746" t="n">
        <v>0</v>
      </c>
      <c r="J746" t="n">
        <v>0</v>
      </c>
      <c r="K746" t="n">
        <v>0</v>
      </c>
      <c r="L746" t="n">
        <v>0</v>
      </c>
      <c r="M746" t="n">
        <v>0</v>
      </c>
      <c r="N746" t="n">
        <v>0</v>
      </c>
      <c r="O746" t="n">
        <v>0</v>
      </c>
      <c r="P746" t="n">
        <v>0</v>
      </c>
      <c r="Q746" t="n">
        <v>0</v>
      </c>
      <c r="R746" s="2" t="inlineStr"/>
    </row>
    <row r="747" ht="15" customHeight="1">
      <c r="A747" t="inlineStr">
        <is>
          <t>A 47779-2023</t>
        </is>
      </c>
      <c r="B747" s="1" t="n">
        <v>45203.92232638889</v>
      </c>
      <c r="C747" s="1" t="n">
        <v>45939</v>
      </c>
      <c r="D747" t="inlineStr">
        <is>
          <t>VÄSTERNORRLANDS LÄN</t>
        </is>
      </c>
      <c r="E747" t="inlineStr">
        <is>
          <t>ÅNGE</t>
        </is>
      </c>
      <c r="G747" t="n">
        <v>9.6</v>
      </c>
      <c r="H747" t="n">
        <v>0</v>
      </c>
      <c r="I747" t="n">
        <v>0</v>
      </c>
      <c r="J747" t="n">
        <v>0</v>
      </c>
      <c r="K747" t="n">
        <v>0</v>
      </c>
      <c r="L747" t="n">
        <v>0</v>
      </c>
      <c r="M747" t="n">
        <v>0</v>
      </c>
      <c r="N747" t="n">
        <v>0</v>
      </c>
      <c r="O747" t="n">
        <v>0</v>
      </c>
      <c r="P747" t="n">
        <v>0</v>
      </c>
      <c r="Q747" t="n">
        <v>0</v>
      </c>
      <c r="R747" s="2" t="inlineStr"/>
    </row>
    <row r="748" ht="15" customHeight="1">
      <c r="A748" t="inlineStr">
        <is>
          <t>A 4095-2023</t>
        </is>
      </c>
      <c r="B748" s="1" t="n">
        <v>44952</v>
      </c>
      <c r="C748" s="1" t="n">
        <v>45939</v>
      </c>
      <c r="D748" t="inlineStr">
        <is>
          <t>VÄSTERNORRLANDS LÄN</t>
        </is>
      </c>
      <c r="E748" t="inlineStr">
        <is>
          <t>ÅNGE</t>
        </is>
      </c>
      <c r="G748" t="n">
        <v>13.4</v>
      </c>
      <c r="H748" t="n">
        <v>0</v>
      </c>
      <c r="I748" t="n">
        <v>0</v>
      </c>
      <c r="J748" t="n">
        <v>0</v>
      </c>
      <c r="K748" t="n">
        <v>0</v>
      </c>
      <c r="L748" t="n">
        <v>0</v>
      </c>
      <c r="M748" t="n">
        <v>0</v>
      </c>
      <c r="N748" t="n">
        <v>0</v>
      </c>
      <c r="O748" t="n">
        <v>0</v>
      </c>
      <c r="P748" t="n">
        <v>0</v>
      </c>
      <c r="Q748" t="n">
        <v>0</v>
      </c>
      <c r="R748" s="2" t="inlineStr"/>
    </row>
    <row r="749" ht="15" customHeight="1">
      <c r="A749" t="inlineStr">
        <is>
          <t>A 5367-2022</t>
        </is>
      </c>
      <c r="B749" s="1" t="n">
        <v>44594.92111111111</v>
      </c>
      <c r="C749" s="1" t="n">
        <v>45939</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72239-2021</t>
        </is>
      </c>
      <c r="B750" s="1" t="n">
        <v>44544.9203587963</v>
      </c>
      <c r="C750" s="1" t="n">
        <v>45939</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55882-2022</t>
        </is>
      </c>
      <c r="B751" s="1" t="n">
        <v>44888</v>
      </c>
      <c r="C751" s="1" t="n">
        <v>45939</v>
      </c>
      <c r="D751" t="inlineStr">
        <is>
          <t>VÄSTERNORRLANDS LÄN</t>
        </is>
      </c>
      <c r="E751" t="inlineStr">
        <is>
          <t>ÅNGE</t>
        </is>
      </c>
      <c r="G751" t="n">
        <v>2.7</v>
      </c>
      <c r="H751" t="n">
        <v>0</v>
      </c>
      <c r="I751" t="n">
        <v>0</v>
      </c>
      <c r="J751" t="n">
        <v>0</v>
      </c>
      <c r="K751" t="n">
        <v>0</v>
      </c>
      <c r="L751" t="n">
        <v>0</v>
      </c>
      <c r="M751" t="n">
        <v>0</v>
      </c>
      <c r="N751" t="n">
        <v>0</v>
      </c>
      <c r="O751" t="n">
        <v>0</v>
      </c>
      <c r="P751" t="n">
        <v>0</v>
      </c>
      <c r="Q751" t="n">
        <v>0</v>
      </c>
      <c r="R751" s="2" t="inlineStr"/>
    </row>
    <row r="752" ht="15" customHeight="1">
      <c r="A752" t="inlineStr">
        <is>
          <t>A 46249-2024</t>
        </is>
      </c>
      <c r="B752" s="1" t="n">
        <v>45581.59409722222</v>
      </c>
      <c r="C752" s="1" t="n">
        <v>45939</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38272-2024</t>
        </is>
      </c>
      <c r="B753" s="1" t="n">
        <v>45545.60392361111</v>
      </c>
      <c r="C753" s="1" t="n">
        <v>45939</v>
      </c>
      <c r="D753" t="inlineStr">
        <is>
          <t>VÄSTERNORRLANDS LÄN</t>
        </is>
      </c>
      <c r="E753" t="inlineStr">
        <is>
          <t>ÅNGE</t>
        </is>
      </c>
      <c r="G753" t="n">
        <v>1.7</v>
      </c>
      <c r="H753" t="n">
        <v>0</v>
      </c>
      <c r="I753" t="n">
        <v>0</v>
      </c>
      <c r="J753" t="n">
        <v>0</v>
      </c>
      <c r="K753" t="n">
        <v>0</v>
      </c>
      <c r="L753" t="n">
        <v>0</v>
      </c>
      <c r="M753" t="n">
        <v>0</v>
      </c>
      <c r="N753" t="n">
        <v>0</v>
      </c>
      <c r="O753" t="n">
        <v>0</v>
      </c>
      <c r="P753" t="n">
        <v>0</v>
      </c>
      <c r="Q753" t="n">
        <v>0</v>
      </c>
      <c r="R753" s="2" t="inlineStr"/>
    </row>
    <row r="754" ht="15" customHeight="1">
      <c r="A754" t="inlineStr">
        <is>
          <t>A 49502-2022</t>
        </is>
      </c>
      <c r="B754" s="1" t="n">
        <v>44861.92613425926</v>
      </c>
      <c r="C754" s="1" t="n">
        <v>45939</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4873-2025</t>
        </is>
      </c>
      <c r="B755" s="1" t="n">
        <v>45688.67633101852</v>
      </c>
      <c r="C755" s="1" t="n">
        <v>45939</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41825-2022</t>
        </is>
      </c>
      <c r="B756" s="1" t="n">
        <v>44827</v>
      </c>
      <c r="C756" s="1" t="n">
        <v>45939</v>
      </c>
      <c r="D756" t="inlineStr">
        <is>
          <t>VÄSTERNORRLANDS LÄN</t>
        </is>
      </c>
      <c r="E756" t="inlineStr">
        <is>
          <t>ÅNGE</t>
        </is>
      </c>
      <c r="F756" t="inlineStr">
        <is>
          <t>SCA</t>
        </is>
      </c>
      <c r="G756" t="n">
        <v>3.3</v>
      </c>
      <c r="H756" t="n">
        <v>0</v>
      </c>
      <c r="I756" t="n">
        <v>0</v>
      </c>
      <c r="J756" t="n">
        <v>0</v>
      </c>
      <c r="K756" t="n">
        <v>0</v>
      </c>
      <c r="L756" t="n">
        <v>0</v>
      </c>
      <c r="M756" t="n">
        <v>0</v>
      </c>
      <c r="N756" t="n">
        <v>0</v>
      </c>
      <c r="O756" t="n">
        <v>0</v>
      </c>
      <c r="P756" t="n">
        <v>0</v>
      </c>
      <c r="Q756" t="n">
        <v>0</v>
      </c>
      <c r="R756" s="2" t="inlineStr"/>
      <c r="U756">
        <f>HYPERLINK("https://klasma.github.io/Logging_2260/knärot/A 41825-2022 karta knärot.png", "A 41825-2022")</f>
        <v/>
      </c>
      <c r="V756">
        <f>HYPERLINK("https://klasma.github.io/Logging_2260/klagomål/A 41825-2022 FSC-klagomål.docx", "A 41825-2022")</f>
        <v/>
      </c>
      <c r="W756">
        <f>HYPERLINK("https://klasma.github.io/Logging_2260/klagomålsmail/A 41825-2022 FSC-klagomål mail.docx", "A 41825-2022")</f>
        <v/>
      </c>
      <c r="X756">
        <f>HYPERLINK("https://klasma.github.io/Logging_2260/tillsyn/A 41825-2022 tillsynsbegäran.docx", "A 41825-2022")</f>
        <v/>
      </c>
      <c r="Y756">
        <f>HYPERLINK("https://klasma.github.io/Logging_2260/tillsynsmail/A 41825-2022 tillsynsbegäran mail.docx", "A 41825-2022")</f>
        <v/>
      </c>
    </row>
    <row r="757" ht="15" customHeight="1">
      <c r="A757" t="inlineStr">
        <is>
          <t>A 42958-2024</t>
        </is>
      </c>
      <c r="B757" s="1" t="n">
        <v>45567.37131944444</v>
      </c>
      <c r="C757" s="1" t="n">
        <v>45939</v>
      </c>
      <c r="D757" t="inlineStr">
        <is>
          <t>VÄSTERNORRLANDS LÄN</t>
        </is>
      </c>
      <c r="E757" t="inlineStr">
        <is>
          <t>ÅNGE</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41758-2024</t>
        </is>
      </c>
      <c r="B758" s="1" t="n">
        <v>45561.34478009259</v>
      </c>
      <c r="C758" s="1" t="n">
        <v>45939</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5433-2024</t>
        </is>
      </c>
      <c r="B759" s="1" t="n">
        <v>45331</v>
      </c>
      <c r="C759" s="1" t="n">
        <v>45939</v>
      </c>
      <c r="D759" t="inlineStr">
        <is>
          <t>VÄSTERNORRLANDS LÄN</t>
        </is>
      </c>
      <c r="E759" t="inlineStr">
        <is>
          <t>ÅNGE</t>
        </is>
      </c>
      <c r="G759" t="n">
        <v>2.1</v>
      </c>
      <c r="H759" t="n">
        <v>0</v>
      </c>
      <c r="I759" t="n">
        <v>0</v>
      </c>
      <c r="J759" t="n">
        <v>0</v>
      </c>
      <c r="K759" t="n">
        <v>0</v>
      </c>
      <c r="L759" t="n">
        <v>0</v>
      </c>
      <c r="M759" t="n">
        <v>0</v>
      </c>
      <c r="N759" t="n">
        <v>0</v>
      </c>
      <c r="O759" t="n">
        <v>0</v>
      </c>
      <c r="P759" t="n">
        <v>0</v>
      </c>
      <c r="Q759" t="n">
        <v>0</v>
      </c>
      <c r="R759" s="2" t="inlineStr"/>
    </row>
    <row r="760" ht="15" customHeight="1">
      <c r="A760" t="inlineStr">
        <is>
          <t>A 34861-2024</t>
        </is>
      </c>
      <c r="B760" s="1" t="n">
        <v>45527.339375</v>
      </c>
      <c r="C760" s="1" t="n">
        <v>45939</v>
      </c>
      <c r="D760" t="inlineStr">
        <is>
          <t>VÄSTERNORRLANDS LÄN</t>
        </is>
      </c>
      <c r="E760" t="inlineStr">
        <is>
          <t>ÅNGE</t>
        </is>
      </c>
      <c r="F760" t="inlineStr">
        <is>
          <t>SCA</t>
        </is>
      </c>
      <c r="G760" t="n">
        <v>9.1</v>
      </c>
      <c r="H760" t="n">
        <v>0</v>
      </c>
      <c r="I760" t="n">
        <v>0</v>
      </c>
      <c r="J760" t="n">
        <v>0</v>
      </c>
      <c r="K760" t="n">
        <v>0</v>
      </c>
      <c r="L760" t="n">
        <v>0</v>
      </c>
      <c r="M760" t="n">
        <v>0</v>
      </c>
      <c r="N760" t="n">
        <v>0</v>
      </c>
      <c r="O760" t="n">
        <v>0</v>
      </c>
      <c r="P760" t="n">
        <v>0</v>
      </c>
      <c r="Q760" t="n">
        <v>0</v>
      </c>
      <c r="R760" s="2" t="inlineStr"/>
    </row>
    <row r="761" ht="15" customHeight="1">
      <c r="A761" t="inlineStr">
        <is>
          <t>A 16593-2023</t>
        </is>
      </c>
      <c r="B761" s="1" t="n">
        <v>45030</v>
      </c>
      <c r="C761" s="1" t="n">
        <v>45939</v>
      </c>
      <c r="D761" t="inlineStr">
        <is>
          <t>VÄSTERNORRLANDS LÄN</t>
        </is>
      </c>
      <c r="E761" t="inlineStr">
        <is>
          <t>ÅNGE</t>
        </is>
      </c>
      <c r="G761" t="n">
        <v>0.7</v>
      </c>
      <c r="H761" t="n">
        <v>0</v>
      </c>
      <c r="I761" t="n">
        <v>0</v>
      </c>
      <c r="J761" t="n">
        <v>0</v>
      </c>
      <c r="K761" t="n">
        <v>0</v>
      </c>
      <c r="L761" t="n">
        <v>0</v>
      </c>
      <c r="M761" t="n">
        <v>0</v>
      </c>
      <c r="N761" t="n">
        <v>0</v>
      </c>
      <c r="O761" t="n">
        <v>0</v>
      </c>
      <c r="P761" t="n">
        <v>0</v>
      </c>
      <c r="Q761" t="n">
        <v>0</v>
      </c>
      <c r="R761" s="2" t="inlineStr"/>
    </row>
    <row r="762" ht="15" customHeight="1">
      <c r="A762" t="inlineStr">
        <is>
          <t>A 16600-2023</t>
        </is>
      </c>
      <c r="B762" s="1" t="n">
        <v>45030</v>
      </c>
      <c r="C762" s="1" t="n">
        <v>45939</v>
      </c>
      <c r="D762" t="inlineStr">
        <is>
          <t>VÄSTERNORRLANDS LÄN</t>
        </is>
      </c>
      <c r="E762" t="inlineStr">
        <is>
          <t>ÅNGE</t>
        </is>
      </c>
      <c r="G762" t="n">
        <v>0.1</v>
      </c>
      <c r="H762" t="n">
        <v>0</v>
      </c>
      <c r="I762" t="n">
        <v>0</v>
      </c>
      <c r="J762" t="n">
        <v>0</v>
      </c>
      <c r="K762" t="n">
        <v>0</v>
      </c>
      <c r="L762" t="n">
        <v>0</v>
      </c>
      <c r="M762" t="n">
        <v>0</v>
      </c>
      <c r="N762" t="n">
        <v>0</v>
      </c>
      <c r="O762" t="n">
        <v>0</v>
      </c>
      <c r="P762" t="n">
        <v>0</v>
      </c>
      <c r="Q762" t="n">
        <v>0</v>
      </c>
      <c r="R762" s="2" t="inlineStr"/>
    </row>
    <row r="763" ht="15" customHeight="1">
      <c r="A763" t="inlineStr">
        <is>
          <t>A 42488-2024</t>
        </is>
      </c>
      <c r="B763" s="1" t="n">
        <v>45565.49420138889</v>
      </c>
      <c r="C763" s="1" t="n">
        <v>45939</v>
      </c>
      <c r="D763" t="inlineStr">
        <is>
          <t>VÄSTERNORRLANDS LÄN</t>
        </is>
      </c>
      <c r="E763" t="inlineStr">
        <is>
          <t>ÅNGE</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19926-2025</t>
        </is>
      </c>
      <c r="B764" s="1" t="n">
        <v>45771.6357175926</v>
      </c>
      <c r="C764" s="1" t="n">
        <v>45939</v>
      </c>
      <c r="D764" t="inlineStr">
        <is>
          <t>VÄSTERNORRLANDS LÄN</t>
        </is>
      </c>
      <c r="E764" t="inlineStr">
        <is>
          <t>ÅNGE</t>
        </is>
      </c>
      <c r="G764" t="n">
        <v>1.8</v>
      </c>
      <c r="H764" t="n">
        <v>0</v>
      </c>
      <c r="I764" t="n">
        <v>0</v>
      </c>
      <c r="J764" t="n">
        <v>0</v>
      </c>
      <c r="K764" t="n">
        <v>0</v>
      </c>
      <c r="L764" t="n">
        <v>0</v>
      </c>
      <c r="M764" t="n">
        <v>0</v>
      </c>
      <c r="N764" t="n">
        <v>0</v>
      </c>
      <c r="O764" t="n">
        <v>0</v>
      </c>
      <c r="P764" t="n">
        <v>0</v>
      </c>
      <c r="Q764" t="n">
        <v>0</v>
      </c>
      <c r="R764" s="2" t="inlineStr"/>
    </row>
    <row r="765" ht="15" customHeight="1">
      <c r="A765" t="inlineStr">
        <is>
          <t>A 17601-2024</t>
        </is>
      </c>
      <c r="B765" s="1" t="n">
        <v>45415</v>
      </c>
      <c r="C765" s="1" t="n">
        <v>45939</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51055-2023</t>
        </is>
      </c>
      <c r="B766" s="1" t="n">
        <v>45218</v>
      </c>
      <c r="C766" s="1" t="n">
        <v>45939</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6684-2024</t>
        </is>
      </c>
      <c r="B767" s="1" t="n">
        <v>45341.92555555556</v>
      </c>
      <c r="C767" s="1" t="n">
        <v>45939</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35399-2024</t>
        </is>
      </c>
      <c r="B768" s="1" t="n">
        <v>45531.40438657408</v>
      </c>
      <c r="C768" s="1" t="n">
        <v>45939</v>
      </c>
      <c r="D768" t="inlineStr">
        <is>
          <t>VÄSTERNORRLANDS LÄN</t>
        </is>
      </c>
      <c r="E768" t="inlineStr">
        <is>
          <t>ÅNGE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57846-2022</t>
        </is>
      </c>
      <c r="B769" s="1" t="n">
        <v>44897.95008101852</v>
      </c>
      <c r="C769" s="1" t="n">
        <v>45939</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3352-2021</t>
        </is>
      </c>
      <c r="B770" s="1" t="n">
        <v>44217</v>
      </c>
      <c r="C770" s="1" t="n">
        <v>45939</v>
      </c>
      <c r="D770" t="inlineStr">
        <is>
          <t>VÄSTERNORRLANDS LÄN</t>
        </is>
      </c>
      <c r="E770" t="inlineStr">
        <is>
          <t>ÅNGE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36342-2024</t>
        </is>
      </c>
      <c r="B771" s="1" t="n">
        <v>45534.64315972223</v>
      </c>
      <c r="C771" s="1" t="n">
        <v>45939</v>
      </c>
      <c r="D771" t="inlineStr">
        <is>
          <t>VÄSTERNORRLANDS LÄN</t>
        </is>
      </c>
      <c r="E771" t="inlineStr">
        <is>
          <t>ÅNGE</t>
        </is>
      </c>
      <c r="F771" t="inlineStr">
        <is>
          <t>SCA</t>
        </is>
      </c>
      <c r="G771" t="n">
        <v>3.6</v>
      </c>
      <c r="H771" t="n">
        <v>0</v>
      </c>
      <c r="I771" t="n">
        <v>0</v>
      </c>
      <c r="J771" t="n">
        <v>0</v>
      </c>
      <c r="K771" t="n">
        <v>0</v>
      </c>
      <c r="L771" t="n">
        <v>0</v>
      </c>
      <c r="M771" t="n">
        <v>0</v>
      </c>
      <c r="N771" t="n">
        <v>0</v>
      </c>
      <c r="O771" t="n">
        <v>0</v>
      </c>
      <c r="P771" t="n">
        <v>0</v>
      </c>
      <c r="Q771" t="n">
        <v>0</v>
      </c>
      <c r="R771" s="2" t="inlineStr"/>
    </row>
    <row r="772" ht="15" customHeight="1">
      <c r="A772" t="inlineStr">
        <is>
          <t>A 113-2025</t>
        </is>
      </c>
      <c r="B772" s="1" t="n">
        <v>45659.5106712963</v>
      </c>
      <c r="C772" s="1" t="n">
        <v>45939</v>
      </c>
      <c r="D772" t="inlineStr">
        <is>
          <t>VÄSTERNORRLANDS LÄN</t>
        </is>
      </c>
      <c r="E772" t="inlineStr">
        <is>
          <t>ÅNGE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54771-2023</t>
        </is>
      </c>
      <c r="B773" s="1" t="n">
        <v>45229</v>
      </c>
      <c r="C773" s="1" t="n">
        <v>45939</v>
      </c>
      <c r="D773" t="inlineStr">
        <is>
          <t>VÄSTERNORRLANDS LÄN</t>
        </is>
      </c>
      <c r="E773" t="inlineStr">
        <is>
          <t>ÅNGE</t>
        </is>
      </c>
      <c r="G773" t="n">
        <v>1</v>
      </c>
      <c r="H773" t="n">
        <v>0</v>
      </c>
      <c r="I773" t="n">
        <v>0</v>
      </c>
      <c r="J773" t="n">
        <v>0</v>
      </c>
      <c r="K773" t="n">
        <v>0</v>
      </c>
      <c r="L773" t="n">
        <v>0</v>
      </c>
      <c r="M773" t="n">
        <v>0</v>
      </c>
      <c r="N773" t="n">
        <v>0</v>
      </c>
      <c r="O773" t="n">
        <v>0</v>
      </c>
      <c r="P773" t="n">
        <v>0</v>
      </c>
      <c r="Q773" t="n">
        <v>0</v>
      </c>
      <c r="R773" s="2" t="inlineStr"/>
    </row>
    <row r="774" ht="15" customHeight="1">
      <c r="A774" t="inlineStr">
        <is>
          <t>A 39682-2024</t>
        </is>
      </c>
      <c r="B774" s="1" t="n">
        <v>45552</v>
      </c>
      <c r="C774" s="1" t="n">
        <v>45939</v>
      </c>
      <c r="D774" t="inlineStr">
        <is>
          <t>VÄSTERNORRLANDS LÄN</t>
        </is>
      </c>
      <c r="E774" t="inlineStr">
        <is>
          <t>ÅNGE</t>
        </is>
      </c>
      <c r="G774" t="n">
        <v>35.4</v>
      </c>
      <c r="H774" t="n">
        <v>0</v>
      </c>
      <c r="I774" t="n">
        <v>0</v>
      </c>
      <c r="J774" t="n">
        <v>0</v>
      </c>
      <c r="K774" t="n">
        <v>0</v>
      </c>
      <c r="L774" t="n">
        <v>0</v>
      </c>
      <c r="M774" t="n">
        <v>0</v>
      </c>
      <c r="N774" t="n">
        <v>0</v>
      </c>
      <c r="O774" t="n">
        <v>0</v>
      </c>
      <c r="P774" t="n">
        <v>0</v>
      </c>
      <c r="Q774" t="n">
        <v>0</v>
      </c>
      <c r="R774" s="2" t="inlineStr"/>
    </row>
    <row r="775" ht="15" customHeight="1">
      <c r="A775" t="inlineStr">
        <is>
          <t>A 32922-2024</t>
        </is>
      </c>
      <c r="B775" s="1" t="n">
        <v>45516.95263888889</v>
      </c>
      <c r="C775" s="1" t="n">
        <v>45939</v>
      </c>
      <c r="D775" t="inlineStr">
        <is>
          <t>VÄSTERNORRLANDS LÄN</t>
        </is>
      </c>
      <c r="E775" t="inlineStr">
        <is>
          <t>ÅNGE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17668-2023</t>
        </is>
      </c>
      <c r="B776" s="1" t="n">
        <v>45036</v>
      </c>
      <c r="C776" s="1" t="n">
        <v>45939</v>
      </c>
      <c r="D776" t="inlineStr">
        <is>
          <t>VÄSTERNORRLANDS LÄN</t>
        </is>
      </c>
      <c r="E776" t="inlineStr">
        <is>
          <t>ÅNGE</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1403-2025</t>
        </is>
      </c>
      <c r="B777" s="1" t="n">
        <v>45667.70548611111</v>
      </c>
      <c r="C777" s="1" t="n">
        <v>45939</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39619-2024</t>
        </is>
      </c>
      <c r="B778" s="1" t="n">
        <v>45552</v>
      </c>
      <c r="C778" s="1" t="n">
        <v>45939</v>
      </c>
      <c r="D778" t="inlineStr">
        <is>
          <t>VÄSTERNORRLANDS LÄN</t>
        </is>
      </c>
      <c r="E778" t="inlineStr">
        <is>
          <t>ÅNGE</t>
        </is>
      </c>
      <c r="G778" t="n">
        <v>0.5</v>
      </c>
      <c r="H778" t="n">
        <v>0</v>
      </c>
      <c r="I778" t="n">
        <v>0</v>
      </c>
      <c r="J778" t="n">
        <v>0</v>
      </c>
      <c r="K778" t="n">
        <v>0</v>
      </c>
      <c r="L778" t="n">
        <v>0</v>
      </c>
      <c r="M778" t="n">
        <v>0</v>
      </c>
      <c r="N778" t="n">
        <v>0</v>
      </c>
      <c r="O778" t="n">
        <v>0</v>
      </c>
      <c r="P778" t="n">
        <v>0</v>
      </c>
      <c r="Q778" t="n">
        <v>0</v>
      </c>
      <c r="R778" s="2" t="inlineStr"/>
    </row>
    <row r="779" ht="15" customHeight="1">
      <c r="A779" t="inlineStr">
        <is>
          <t>A 8406-2023</t>
        </is>
      </c>
      <c r="B779" s="1" t="n">
        <v>44971</v>
      </c>
      <c r="C779" s="1" t="n">
        <v>45939</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4651-2022</t>
        </is>
      </c>
      <c r="B780" s="1" t="n">
        <v>44592</v>
      </c>
      <c r="C780" s="1" t="n">
        <v>45939</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45933-2023</t>
        </is>
      </c>
      <c r="B781" s="1" t="n">
        <v>45195</v>
      </c>
      <c r="C781" s="1" t="n">
        <v>45939</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57601-2022</t>
        </is>
      </c>
      <c r="B782" s="1" t="n">
        <v>44896</v>
      </c>
      <c r="C782" s="1" t="n">
        <v>45939</v>
      </c>
      <c r="D782" t="inlineStr">
        <is>
          <t>VÄSTERNORRLANDS LÄN</t>
        </is>
      </c>
      <c r="E782" t="inlineStr">
        <is>
          <t>ÅNGE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20338-2025</t>
        </is>
      </c>
      <c r="B783" s="1" t="n">
        <v>45775</v>
      </c>
      <c r="C783" s="1" t="n">
        <v>45939</v>
      </c>
      <c r="D783" t="inlineStr">
        <is>
          <t>VÄSTERNORRLANDS LÄN</t>
        </is>
      </c>
      <c r="E783" t="inlineStr">
        <is>
          <t>ÅNGE</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34649-2024</t>
        </is>
      </c>
      <c r="B784" s="1" t="n">
        <v>45526.48325231481</v>
      </c>
      <c r="C784" s="1" t="n">
        <v>45939</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36457-2021</t>
        </is>
      </c>
      <c r="B785" s="1" t="n">
        <v>44390.93858796296</v>
      </c>
      <c r="C785" s="1" t="n">
        <v>45939</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58774-2023</t>
        </is>
      </c>
      <c r="B786" s="1" t="n">
        <v>45251</v>
      </c>
      <c r="C786" s="1" t="n">
        <v>45939</v>
      </c>
      <c r="D786" t="inlineStr">
        <is>
          <t>VÄSTERNORRLANDS LÄN</t>
        </is>
      </c>
      <c r="E786" t="inlineStr">
        <is>
          <t>ÅNGE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4359-2025</t>
        </is>
      </c>
      <c r="B787" s="1" t="n">
        <v>45686.33072916666</v>
      </c>
      <c r="C787" s="1" t="n">
        <v>45939</v>
      </c>
      <c r="D787" t="inlineStr">
        <is>
          <t>VÄSTERNORRLANDS LÄN</t>
        </is>
      </c>
      <c r="E787" t="inlineStr">
        <is>
          <t>ÅNGE</t>
        </is>
      </c>
      <c r="F787" t="inlineStr">
        <is>
          <t>Holmen skog AB</t>
        </is>
      </c>
      <c r="G787" t="n">
        <v>22</v>
      </c>
      <c r="H787" t="n">
        <v>0</v>
      </c>
      <c r="I787" t="n">
        <v>0</v>
      </c>
      <c r="J787" t="n">
        <v>0</v>
      </c>
      <c r="K787" t="n">
        <v>0</v>
      </c>
      <c r="L787" t="n">
        <v>0</v>
      </c>
      <c r="M787" t="n">
        <v>0</v>
      </c>
      <c r="N787" t="n">
        <v>0</v>
      </c>
      <c r="O787" t="n">
        <v>0</v>
      </c>
      <c r="P787" t="n">
        <v>0</v>
      </c>
      <c r="Q787" t="n">
        <v>0</v>
      </c>
      <c r="R787" s="2" t="inlineStr"/>
    </row>
    <row r="788" ht="15" customHeight="1">
      <c r="A788" t="inlineStr">
        <is>
          <t>A 56699-2023</t>
        </is>
      </c>
      <c r="B788" s="1" t="n">
        <v>45243</v>
      </c>
      <c r="C788" s="1" t="n">
        <v>45939</v>
      </c>
      <c r="D788" t="inlineStr">
        <is>
          <t>VÄSTERNORRLANDS LÄN</t>
        </is>
      </c>
      <c r="E788" t="inlineStr">
        <is>
          <t>ÅNGE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61928-2021</t>
        </is>
      </c>
      <c r="B789" s="1" t="n">
        <v>44502.38475694445</v>
      </c>
      <c r="C789" s="1" t="n">
        <v>45939</v>
      </c>
      <c r="D789" t="inlineStr">
        <is>
          <t>VÄSTERNORRLANDS LÄN</t>
        </is>
      </c>
      <c r="E789" t="inlineStr">
        <is>
          <t>ÅNGE</t>
        </is>
      </c>
      <c r="G789" t="n">
        <v>1</v>
      </c>
      <c r="H789" t="n">
        <v>0</v>
      </c>
      <c r="I789" t="n">
        <v>0</v>
      </c>
      <c r="J789" t="n">
        <v>0</v>
      </c>
      <c r="K789" t="n">
        <v>0</v>
      </c>
      <c r="L789" t="n">
        <v>0</v>
      </c>
      <c r="M789" t="n">
        <v>0</v>
      </c>
      <c r="N789" t="n">
        <v>0</v>
      </c>
      <c r="O789" t="n">
        <v>0</v>
      </c>
      <c r="P789" t="n">
        <v>0</v>
      </c>
      <c r="Q789" t="n">
        <v>0</v>
      </c>
      <c r="R789" s="2" t="inlineStr"/>
    </row>
    <row r="790" ht="15" customHeight="1">
      <c r="A790" t="inlineStr">
        <is>
          <t>A 16303-2025</t>
        </is>
      </c>
      <c r="B790" s="1" t="n">
        <v>45751.3462037037</v>
      </c>
      <c r="C790" s="1" t="n">
        <v>45939</v>
      </c>
      <c r="D790" t="inlineStr">
        <is>
          <t>VÄSTERNORRLANDS LÄN</t>
        </is>
      </c>
      <c r="E790" t="inlineStr">
        <is>
          <t>ÅNGE</t>
        </is>
      </c>
      <c r="F790" t="inlineStr">
        <is>
          <t>SCA</t>
        </is>
      </c>
      <c r="G790" t="n">
        <v>0.3</v>
      </c>
      <c r="H790" t="n">
        <v>0</v>
      </c>
      <c r="I790" t="n">
        <v>0</v>
      </c>
      <c r="J790" t="n">
        <v>0</v>
      </c>
      <c r="K790" t="n">
        <v>0</v>
      </c>
      <c r="L790" t="n">
        <v>0</v>
      </c>
      <c r="M790" t="n">
        <v>0</v>
      </c>
      <c r="N790" t="n">
        <v>0</v>
      </c>
      <c r="O790" t="n">
        <v>0</v>
      </c>
      <c r="P790" t="n">
        <v>0</v>
      </c>
      <c r="Q790" t="n">
        <v>0</v>
      </c>
      <c r="R790" s="2" t="inlineStr"/>
    </row>
    <row r="791" ht="15" customHeight="1">
      <c r="A791" t="inlineStr">
        <is>
          <t>A 11399-2025</t>
        </is>
      </c>
      <c r="B791" s="1" t="n">
        <v>45726.57364583333</v>
      </c>
      <c r="C791" s="1" t="n">
        <v>45939</v>
      </c>
      <c r="D791" t="inlineStr">
        <is>
          <t>VÄSTERNORRLANDS LÄN</t>
        </is>
      </c>
      <c r="E791" t="inlineStr">
        <is>
          <t>ÅNGE</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37051-2021</t>
        </is>
      </c>
      <c r="B792" s="1" t="n">
        <v>44393</v>
      </c>
      <c r="C792" s="1" t="n">
        <v>45939</v>
      </c>
      <c r="D792" t="inlineStr">
        <is>
          <t>VÄSTERNORRLANDS LÄN</t>
        </is>
      </c>
      <c r="E792" t="inlineStr">
        <is>
          <t>ÅNGE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56908-2021</t>
        </is>
      </c>
      <c r="B793" s="1" t="n">
        <v>44481.93844907408</v>
      </c>
      <c r="C793" s="1" t="n">
        <v>45939</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732-2023</t>
        </is>
      </c>
      <c r="B794" s="1" t="n">
        <v>44931.29981481482</v>
      </c>
      <c r="C794" s="1" t="n">
        <v>45939</v>
      </c>
      <c r="D794" t="inlineStr">
        <is>
          <t>VÄSTERNORRLANDS LÄN</t>
        </is>
      </c>
      <c r="E794" t="inlineStr">
        <is>
          <t>ÅNGE</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45939</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15822-2025</t>
        </is>
      </c>
      <c r="B796" s="1" t="n">
        <v>45748.70172453704</v>
      </c>
      <c r="C796" s="1" t="n">
        <v>45939</v>
      </c>
      <c r="D796" t="inlineStr">
        <is>
          <t>VÄSTERNORRLANDS LÄN</t>
        </is>
      </c>
      <c r="E796" t="inlineStr">
        <is>
          <t>ÅNGE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36786-2024</t>
        </is>
      </c>
      <c r="B797" s="1" t="n">
        <v>45538</v>
      </c>
      <c r="C797" s="1" t="n">
        <v>45939</v>
      </c>
      <c r="D797" t="inlineStr">
        <is>
          <t>VÄSTERNORRLANDS LÄN</t>
        </is>
      </c>
      <c r="E797" t="inlineStr">
        <is>
          <t>ÅNGE</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53663-2022</t>
        </is>
      </c>
      <c r="B798" s="1" t="n">
        <v>44879</v>
      </c>
      <c r="C798" s="1" t="n">
        <v>45939</v>
      </c>
      <c r="D798" t="inlineStr">
        <is>
          <t>VÄSTERNORRLANDS LÄN</t>
        </is>
      </c>
      <c r="E798" t="inlineStr">
        <is>
          <t>ÅNGE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57591-2022</t>
        </is>
      </c>
      <c r="B799" s="1" t="n">
        <v>44896.97834490741</v>
      </c>
      <c r="C799" s="1" t="n">
        <v>45939</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49711-2024</t>
        </is>
      </c>
      <c r="B800" s="1" t="n">
        <v>45596.69891203703</v>
      </c>
      <c r="C800" s="1" t="n">
        <v>45939</v>
      </c>
      <c r="D800" t="inlineStr">
        <is>
          <t>VÄSTERNORRLANDS LÄN</t>
        </is>
      </c>
      <c r="E800" t="inlineStr">
        <is>
          <t>ÅNGE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24293-2023</t>
        </is>
      </c>
      <c r="B801" s="1" t="n">
        <v>45079.92756944444</v>
      </c>
      <c r="C801" s="1" t="n">
        <v>45939</v>
      </c>
      <c r="D801" t="inlineStr">
        <is>
          <t>VÄSTERNORRLANDS LÄN</t>
        </is>
      </c>
      <c r="E801" t="inlineStr">
        <is>
          <t>ÅNGE</t>
        </is>
      </c>
      <c r="G801" t="n">
        <v>0.8</v>
      </c>
      <c r="H801" t="n">
        <v>0</v>
      </c>
      <c r="I801" t="n">
        <v>0</v>
      </c>
      <c r="J801" t="n">
        <v>0</v>
      </c>
      <c r="K801" t="n">
        <v>0</v>
      </c>
      <c r="L801" t="n">
        <v>0</v>
      </c>
      <c r="M801" t="n">
        <v>0</v>
      </c>
      <c r="N801" t="n">
        <v>0</v>
      </c>
      <c r="O801" t="n">
        <v>0</v>
      </c>
      <c r="P801" t="n">
        <v>0</v>
      </c>
      <c r="Q801" t="n">
        <v>0</v>
      </c>
      <c r="R801" s="2" t="inlineStr"/>
    </row>
    <row r="802" ht="15" customHeight="1">
      <c r="A802" t="inlineStr">
        <is>
          <t>A 25779-2023</t>
        </is>
      </c>
      <c r="B802" s="1" t="n">
        <v>45090.47439814815</v>
      </c>
      <c r="C802" s="1" t="n">
        <v>45939</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9211-2023</t>
        </is>
      </c>
      <c r="B803" s="1" t="n">
        <v>44980</v>
      </c>
      <c r="C803" s="1" t="n">
        <v>45939</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8627-2023</t>
        </is>
      </c>
      <c r="B804" s="1" t="n">
        <v>44977</v>
      </c>
      <c r="C804" s="1" t="n">
        <v>45939</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17044-2023</t>
        </is>
      </c>
      <c r="B805" s="1" t="n">
        <v>45034</v>
      </c>
      <c r="C805" s="1" t="n">
        <v>45939</v>
      </c>
      <c r="D805" t="inlineStr">
        <is>
          <t>VÄSTERNORRLANDS LÄN</t>
        </is>
      </c>
      <c r="E805" t="inlineStr">
        <is>
          <t>ÅNGE</t>
        </is>
      </c>
      <c r="G805" t="n">
        <v>0.5</v>
      </c>
      <c r="H805" t="n">
        <v>0</v>
      </c>
      <c r="I805" t="n">
        <v>0</v>
      </c>
      <c r="J805" t="n">
        <v>0</v>
      </c>
      <c r="K805" t="n">
        <v>0</v>
      </c>
      <c r="L805" t="n">
        <v>0</v>
      </c>
      <c r="M805" t="n">
        <v>0</v>
      </c>
      <c r="N805" t="n">
        <v>0</v>
      </c>
      <c r="O805" t="n">
        <v>0</v>
      </c>
      <c r="P805" t="n">
        <v>0</v>
      </c>
      <c r="Q805" t="n">
        <v>0</v>
      </c>
      <c r="R805" s="2" t="inlineStr"/>
    </row>
    <row r="806" ht="15" customHeight="1">
      <c r="A806" t="inlineStr">
        <is>
          <t>A 27260-2023</t>
        </is>
      </c>
      <c r="B806" s="1" t="n">
        <v>45092</v>
      </c>
      <c r="C806" s="1" t="n">
        <v>45939</v>
      </c>
      <c r="D806" t="inlineStr">
        <is>
          <t>VÄSTERNORRLANDS LÄN</t>
        </is>
      </c>
      <c r="E806" t="inlineStr">
        <is>
          <t>ÅNGE</t>
        </is>
      </c>
      <c r="G806" t="n">
        <v>2.7</v>
      </c>
      <c r="H806" t="n">
        <v>0</v>
      </c>
      <c r="I806" t="n">
        <v>0</v>
      </c>
      <c r="J806" t="n">
        <v>0</v>
      </c>
      <c r="K806" t="n">
        <v>0</v>
      </c>
      <c r="L806" t="n">
        <v>0</v>
      </c>
      <c r="M806" t="n">
        <v>0</v>
      </c>
      <c r="N806" t="n">
        <v>0</v>
      </c>
      <c r="O806" t="n">
        <v>0</v>
      </c>
      <c r="P806" t="n">
        <v>0</v>
      </c>
      <c r="Q806" t="n">
        <v>0</v>
      </c>
      <c r="R806" s="2" t="inlineStr"/>
    </row>
    <row r="807" ht="15" customHeight="1">
      <c r="A807" t="inlineStr">
        <is>
          <t>A 34679-2024</t>
        </is>
      </c>
      <c r="B807" s="1" t="n">
        <v>45526</v>
      </c>
      <c r="C807" s="1" t="n">
        <v>45939</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58445-2022</t>
        </is>
      </c>
      <c r="B808" s="1" t="n">
        <v>44901.95453703704</v>
      </c>
      <c r="C808" s="1" t="n">
        <v>45939</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16934-2025</t>
        </is>
      </c>
      <c r="B809" s="1" t="n">
        <v>45755.40671296296</v>
      </c>
      <c r="C809" s="1" t="n">
        <v>45939</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56434-2021</t>
        </is>
      </c>
      <c r="B810" s="1" t="n">
        <v>44477</v>
      </c>
      <c r="C810" s="1" t="n">
        <v>45939</v>
      </c>
      <c r="D810" t="inlineStr">
        <is>
          <t>VÄSTERNORRLANDS LÄN</t>
        </is>
      </c>
      <c r="E810" t="inlineStr">
        <is>
          <t>ÅNGE</t>
        </is>
      </c>
      <c r="G810" t="n">
        <v>2.7</v>
      </c>
      <c r="H810" t="n">
        <v>0</v>
      </c>
      <c r="I810" t="n">
        <v>0</v>
      </c>
      <c r="J810" t="n">
        <v>0</v>
      </c>
      <c r="K810" t="n">
        <v>0</v>
      </c>
      <c r="L810" t="n">
        <v>0</v>
      </c>
      <c r="M810" t="n">
        <v>0</v>
      </c>
      <c r="N810" t="n">
        <v>0</v>
      </c>
      <c r="O810" t="n">
        <v>0</v>
      </c>
      <c r="P810" t="n">
        <v>0</v>
      </c>
      <c r="Q810" t="n">
        <v>0</v>
      </c>
      <c r="R810" s="2" t="inlineStr"/>
    </row>
    <row r="811" ht="15" customHeight="1">
      <c r="A811" t="inlineStr">
        <is>
          <t>A 23058-2024</t>
        </is>
      </c>
      <c r="B811" s="1" t="n">
        <v>45450.44020833333</v>
      </c>
      <c r="C811" s="1" t="n">
        <v>45939</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60812-2024</t>
        </is>
      </c>
      <c r="B812" s="1" t="n">
        <v>45644</v>
      </c>
      <c r="C812" s="1" t="n">
        <v>45939</v>
      </c>
      <c r="D812" t="inlineStr">
        <is>
          <t>VÄSTERNORRLANDS LÄN</t>
        </is>
      </c>
      <c r="E812" t="inlineStr">
        <is>
          <t>ÅNGE</t>
        </is>
      </c>
      <c r="G812" t="n">
        <v>3.6</v>
      </c>
      <c r="H812" t="n">
        <v>0</v>
      </c>
      <c r="I812" t="n">
        <v>0</v>
      </c>
      <c r="J812" t="n">
        <v>0</v>
      </c>
      <c r="K812" t="n">
        <v>0</v>
      </c>
      <c r="L812" t="n">
        <v>0</v>
      </c>
      <c r="M812" t="n">
        <v>0</v>
      </c>
      <c r="N812" t="n">
        <v>0</v>
      </c>
      <c r="O812" t="n">
        <v>0</v>
      </c>
      <c r="P812" t="n">
        <v>0</v>
      </c>
      <c r="Q812" t="n">
        <v>0</v>
      </c>
      <c r="R812" s="2" t="inlineStr"/>
    </row>
    <row r="813" ht="15" customHeight="1">
      <c r="A813" t="inlineStr">
        <is>
          <t>A 54946-2021</t>
        </is>
      </c>
      <c r="B813" s="1" t="n">
        <v>44474.46466435185</v>
      </c>
      <c r="C813" s="1" t="n">
        <v>45939</v>
      </c>
      <c r="D813" t="inlineStr">
        <is>
          <t>VÄSTERNORRLANDS LÄN</t>
        </is>
      </c>
      <c r="E813" t="inlineStr">
        <is>
          <t>ÅNGE</t>
        </is>
      </c>
      <c r="G813" t="n">
        <v>5.4</v>
      </c>
      <c r="H813" t="n">
        <v>0</v>
      </c>
      <c r="I813" t="n">
        <v>0</v>
      </c>
      <c r="J813" t="n">
        <v>0</v>
      </c>
      <c r="K813" t="n">
        <v>0</v>
      </c>
      <c r="L813" t="n">
        <v>0</v>
      </c>
      <c r="M813" t="n">
        <v>0</v>
      </c>
      <c r="N813" t="n">
        <v>0</v>
      </c>
      <c r="O813" t="n">
        <v>0</v>
      </c>
      <c r="P813" t="n">
        <v>0</v>
      </c>
      <c r="Q813" t="n">
        <v>0</v>
      </c>
      <c r="R813" s="2" t="inlineStr"/>
    </row>
    <row r="814" ht="15" customHeight="1">
      <c r="A814" t="inlineStr">
        <is>
          <t>A 57109-2023</t>
        </is>
      </c>
      <c r="B814" s="1" t="n">
        <v>45239</v>
      </c>
      <c r="C814" s="1" t="n">
        <v>45939</v>
      </c>
      <c r="D814" t="inlineStr">
        <is>
          <t>VÄSTERNORRLANDS LÄN</t>
        </is>
      </c>
      <c r="E814" t="inlineStr">
        <is>
          <t>ÅNGE</t>
        </is>
      </c>
      <c r="G814" t="n">
        <v>7</v>
      </c>
      <c r="H814" t="n">
        <v>0</v>
      </c>
      <c r="I814" t="n">
        <v>0</v>
      </c>
      <c r="J814" t="n">
        <v>0</v>
      </c>
      <c r="K814" t="n">
        <v>0</v>
      </c>
      <c r="L814" t="n">
        <v>0</v>
      </c>
      <c r="M814" t="n">
        <v>0</v>
      </c>
      <c r="N814" t="n">
        <v>0</v>
      </c>
      <c r="O814" t="n">
        <v>0</v>
      </c>
      <c r="P814" t="n">
        <v>0</v>
      </c>
      <c r="Q814" t="n">
        <v>0</v>
      </c>
      <c r="R814" s="2" t="inlineStr"/>
    </row>
    <row r="815" ht="15" customHeight="1">
      <c r="A815" t="inlineStr">
        <is>
          <t>A 64946-2023</t>
        </is>
      </c>
      <c r="B815" s="1" t="n">
        <v>45282.94678240741</v>
      </c>
      <c r="C815" s="1" t="n">
        <v>45939</v>
      </c>
      <c r="D815" t="inlineStr">
        <is>
          <t>VÄSTERNORRLANDS LÄN</t>
        </is>
      </c>
      <c r="E815" t="inlineStr">
        <is>
          <t>ÅNGE</t>
        </is>
      </c>
      <c r="F815" t="inlineStr">
        <is>
          <t>SCA</t>
        </is>
      </c>
      <c r="G815" t="n">
        <v>6.4</v>
      </c>
      <c r="H815" t="n">
        <v>0</v>
      </c>
      <c r="I815" t="n">
        <v>0</v>
      </c>
      <c r="J815" t="n">
        <v>0</v>
      </c>
      <c r="K815" t="n">
        <v>0</v>
      </c>
      <c r="L815" t="n">
        <v>0</v>
      </c>
      <c r="M815" t="n">
        <v>0</v>
      </c>
      <c r="N815" t="n">
        <v>0</v>
      </c>
      <c r="O815" t="n">
        <v>0</v>
      </c>
      <c r="P815" t="n">
        <v>0</v>
      </c>
      <c r="Q815" t="n">
        <v>0</v>
      </c>
      <c r="R815" s="2" t="inlineStr"/>
    </row>
    <row r="816" ht="15" customHeight="1">
      <c r="A816" t="inlineStr">
        <is>
          <t>A 58943-2022</t>
        </is>
      </c>
      <c r="B816" s="1" t="n">
        <v>44903.64400462963</v>
      </c>
      <c r="C816" s="1" t="n">
        <v>45939</v>
      </c>
      <c r="D816" t="inlineStr">
        <is>
          <t>VÄSTERNORRLANDS LÄN</t>
        </is>
      </c>
      <c r="E816" t="inlineStr">
        <is>
          <t>ÅNGE</t>
        </is>
      </c>
      <c r="G816" t="n">
        <v>5.6</v>
      </c>
      <c r="H816" t="n">
        <v>0</v>
      </c>
      <c r="I816" t="n">
        <v>0</v>
      </c>
      <c r="J816" t="n">
        <v>0</v>
      </c>
      <c r="K816" t="n">
        <v>0</v>
      </c>
      <c r="L816" t="n">
        <v>0</v>
      </c>
      <c r="M816" t="n">
        <v>0</v>
      </c>
      <c r="N816" t="n">
        <v>0</v>
      </c>
      <c r="O816" t="n">
        <v>0</v>
      </c>
      <c r="P816" t="n">
        <v>0</v>
      </c>
      <c r="Q816" t="n">
        <v>0</v>
      </c>
      <c r="R816" s="2" t="inlineStr"/>
    </row>
    <row r="817" ht="15" customHeight="1">
      <c r="A817" t="inlineStr">
        <is>
          <t>A 42346-2023</t>
        </is>
      </c>
      <c r="B817" s="1" t="n">
        <v>45180</v>
      </c>
      <c r="C817" s="1" t="n">
        <v>45939</v>
      </c>
      <c r="D817" t="inlineStr">
        <is>
          <t>VÄSTERNORRLANDS LÄN</t>
        </is>
      </c>
      <c r="E817" t="inlineStr">
        <is>
          <t>ÅNGE</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46267-2025</t>
        </is>
      </c>
      <c r="B818" s="1" t="n">
        <v>45925.36578703704</v>
      </c>
      <c r="C818" s="1" t="n">
        <v>45939</v>
      </c>
      <c r="D818" t="inlineStr">
        <is>
          <t>VÄSTERNORRLANDS LÄN</t>
        </is>
      </c>
      <c r="E818" t="inlineStr">
        <is>
          <t>ÅNGE</t>
        </is>
      </c>
      <c r="G818" t="n">
        <v>1.9</v>
      </c>
      <c r="H818" t="n">
        <v>0</v>
      </c>
      <c r="I818" t="n">
        <v>0</v>
      </c>
      <c r="J818" t="n">
        <v>0</v>
      </c>
      <c r="K818" t="n">
        <v>0</v>
      </c>
      <c r="L818" t="n">
        <v>0</v>
      </c>
      <c r="M818" t="n">
        <v>0</v>
      </c>
      <c r="N818" t="n">
        <v>0</v>
      </c>
      <c r="O818" t="n">
        <v>0</v>
      </c>
      <c r="P818" t="n">
        <v>0</v>
      </c>
      <c r="Q818" t="n">
        <v>0</v>
      </c>
      <c r="R818" s="2" t="inlineStr"/>
    </row>
    <row r="819" ht="15" customHeight="1">
      <c r="A819" t="inlineStr">
        <is>
          <t>A 16563-2025</t>
        </is>
      </c>
      <c r="B819" s="1" t="n">
        <v>45752.34430555555</v>
      </c>
      <c r="C819" s="1" t="n">
        <v>45939</v>
      </c>
      <c r="D819" t="inlineStr">
        <is>
          <t>VÄSTERNORRLANDS LÄN</t>
        </is>
      </c>
      <c r="E819" t="inlineStr">
        <is>
          <t>ÅNGE</t>
        </is>
      </c>
      <c r="F819" t="inlineStr">
        <is>
          <t>SCA</t>
        </is>
      </c>
      <c r="G819" t="n">
        <v>24.7</v>
      </c>
      <c r="H819" t="n">
        <v>0</v>
      </c>
      <c r="I819" t="n">
        <v>0</v>
      </c>
      <c r="J819" t="n">
        <v>0</v>
      </c>
      <c r="K819" t="n">
        <v>0</v>
      </c>
      <c r="L819" t="n">
        <v>0</v>
      </c>
      <c r="M819" t="n">
        <v>0</v>
      </c>
      <c r="N819" t="n">
        <v>0</v>
      </c>
      <c r="O819" t="n">
        <v>0</v>
      </c>
      <c r="P819" t="n">
        <v>0</v>
      </c>
      <c r="Q819" t="n">
        <v>0</v>
      </c>
      <c r="R819" s="2" t="inlineStr"/>
    </row>
    <row r="820" ht="15" customHeight="1">
      <c r="A820" t="inlineStr">
        <is>
          <t>A 1103-2023</t>
        </is>
      </c>
      <c r="B820" s="1" t="n">
        <v>44929</v>
      </c>
      <c r="C820" s="1" t="n">
        <v>45939</v>
      </c>
      <c r="D820" t="inlineStr">
        <is>
          <t>VÄSTERNORRLANDS LÄN</t>
        </is>
      </c>
      <c r="E820" t="inlineStr">
        <is>
          <t>ÅNGE</t>
        </is>
      </c>
      <c r="G820" t="n">
        <v>7.3</v>
      </c>
      <c r="H820" t="n">
        <v>0</v>
      </c>
      <c r="I820" t="n">
        <v>0</v>
      </c>
      <c r="J820" t="n">
        <v>0</v>
      </c>
      <c r="K820" t="n">
        <v>0</v>
      </c>
      <c r="L820" t="n">
        <v>0</v>
      </c>
      <c r="M820" t="n">
        <v>0</v>
      </c>
      <c r="N820" t="n">
        <v>0</v>
      </c>
      <c r="O820" t="n">
        <v>0</v>
      </c>
      <c r="P820" t="n">
        <v>0</v>
      </c>
      <c r="Q820" t="n">
        <v>0</v>
      </c>
      <c r="R820" s="2" t="inlineStr"/>
    </row>
    <row r="821" ht="15" customHeight="1">
      <c r="A821" t="inlineStr">
        <is>
          <t>A 47488-2025</t>
        </is>
      </c>
      <c r="B821" s="1" t="n">
        <v>45930.69890046296</v>
      </c>
      <c r="C821" s="1" t="n">
        <v>45939</v>
      </c>
      <c r="D821" t="inlineStr">
        <is>
          <t>VÄSTERNORRLANDS LÄN</t>
        </is>
      </c>
      <c r="E821" t="inlineStr">
        <is>
          <t>ÅNGE</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15368-2024</t>
        </is>
      </c>
      <c r="B822" s="1" t="n">
        <v>45400.92284722222</v>
      </c>
      <c r="C822" s="1" t="n">
        <v>45939</v>
      </c>
      <c r="D822" t="inlineStr">
        <is>
          <t>VÄSTERNORRLANDS LÄN</t>
        </is>
      </c>
      <c r="E822" t="inlineStr">
        <is>
          <t>ÅNGE</t>
        </is>
      </c>
      <c r="G822" t="n">
        <v>0.4</v>
      </c>
      <c r="H822" t="n">
        <v>0</v>
      </c>
      <c r="I822" t="n">
        <v>0</v>
      </c>
      <c r="J822" t="n">
        <v>0</v>
      </c>
      <c r="K822" t="n">
        <v>0</v>
      </c>
      <c r="L822" t="n">
        <v>0</v>
      </c>
      <c r="M822" t="n">
        <v>0</v>
      </c>
      <c r="N822" t="n">
        <v>0</v>
      </c>
      <c r="O822" t="n">
        <v>0</v>
      </c>
      <c r="P822" t="n">
        <v>0</v>
      </c>
      <c r="Q822" t="n">
        <v>0</v>
      </c>
      <c r="R822" s="2" t="inlineStr"/>
    </row>
    <row r="823" ht="15" customHeight="1">
      <c r="A823" t="inlineStr">
        <is>
          <t>A 57526-2024</t>
        </is>
      </c>
      <c r="B823" s="1" t="n">
        <v>45630</v>
      </c>
      <c r="C823" s="1" t="n">
        <v>45939</v>
      </c>
      <c r="D823" t="inlineStr">
        <is>
          <t>VÄSTERNORRLANDS LÄN</t>
        </is>
      </c>
      <c r="E823" t="inlineStr">
        <is>
          <t>ÅNGE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57636-2022</t>
        </is>
      </c>
      <c r="B824" s="1" t="n">
        <v>44897</v>
      </c>
      <c r="C824" s="1" t="n">
        <v>45939</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46897-2025</t>
        </is>
      </c>
      <c r="B825" s="1" t="n">
        <v>45929.38597222222</v>
      </c>
      <c r="C825" s="1" t="n">
        <v>45939</v>
      </c>
      <c r="D825" t="inlineStr">
        <is>
          <t>VÄSTERNORRLANDS LÄN</t>
        </is>
      </c>
      <c r="E825" t="inlineStr">
        <is>
          <t>ÅNGE</t>
        </is>
      </c>
      <c r="G825" t="n">
        <v>10.6</v>
      </c>
      <c r="H825" t="n">
        <v>0</v>
      </c>
      <c r="I825" t="n">
        <v>0</v>
      </c>
      <c r="J825" t="n">
        <v>0</v>
      </c>
      <c r="K825" t="n">
        <v>0</v>
      </c>
      <c r="L825" t="n">
        <v>0</v>
      </c>
      <c r="M825" t="n">
        <v>0</v>
      </c>
      <c r="N825" t="n">
        <v>0</v>
      </c>
      <c r="O825" t="n">
        <v>0</v>
      </c>
      <c r="P825" t="n">
        <v>0</v>
      </c>
      <c r="Q825" t="n">
        <v>0</v>
      </c>
      <c r="R825" s="2" t="inlineStr"/>
    </row>
    <row r="826" ht="15" customHeight="1">
      <c r="A826" t="inlineStr">
        <is>
          <t>A 47196-2025</t>
        </is>
      </c>
      <c r="B826" s="1" t="n">
        <v>45930.34520833333</v>
      </c>
      <c r="C826" s="1" t="n">
        <v>45939</v>
      </c>
      <c r="D826" t="inlineStr">
        <is>
          <t>VÄSTERNORRLANDS LÄN</t>
        </is>
      </c>
      <c r="E826" t="inlineStr">
        <is>
          <t>ÅNGE</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52685-2024</t>
        </is>
      </c>
      <c r="B827" s="1" t="n">
        <v>45610</v>
      </c>
      <c r="C827" s="1" t="n">
        <v>45939</v>
      </c>
      <c r="D827" t="inlineStr">
        <is>
          <t>VÄSTERNORRLANDS LÄN</t>
        </is>
      </c>
      <c r="E827" t="inlineStr">
        <is>
          <t>ÅNGE</t>
        </is>
      </c>
      <c r="G827" t="n">
        <v>2.3</v>
      </c>
      <c r="H827" t="n">
        <v>0</v>
      </c>
      <c r="I827" t="n">
        <v>0</v>
      </c>
      <c r="J827" t="n">
        <v>0</v>
      </c>
      <c r="K827" t="n">
        <v>0</v>
      </c>
      <c r="L827" t="n">
        <v>0</v>
      </c>
      <c r="M827" t="n">
        <v>0</v>
      </c>
      <c r="N827" t="n">
        <v>0</v>
      </c>
      <c r="O827" t="n">
        <v>0</v>
      </c>
      <c r="P827" t="n">
        <v>0</v>
      </c>
      <c r="Q827" t="n">
        <v>0</v>
      </c>
      <c r="R827" s="2" t="inlineStr"/>
    </row>
    <row r="828" ht="15" customHeight="1">
      <c r="A828" t="inlineStr">
        <is>
          <t>A 55664-2023</t>
        </is>
      </c>
      <c r="B828" s="1" t="n">
        <v>45238.96748842593</v>
      </c>
      <c r="C828" s="1" t="n">
        <v>45939</v>
      </c>
      <c r="D828" t="inlineStr">
        <is>
          <t>VÄSTERNORRLANDS LÄN</t>
        </is>
      </c>
      <c r="E828" t="inlineStr">
        <is>
          <t>ÅNGE</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46681-2023</t>
        </is>
      </c>
      <c r="B829" s="1" t="n">
        <v>45198</v>
      </c>
      <c r="C829" s="1" t="n">
        <v>45939</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41586-2024</t>
        </is>
      </c>
      <c r="B830" s="1" t="n">
        <v>45560.56089120371</v>
      </c>
      <c r="C830" s="1" t="n">
        <v>45939</v>
      </c>
      <c r="D830" t="inlineStr">
        <is>
          <t>VÄSTERNORRLANDS LÄN</t>
        </is>
      </c>
      <c r="E830" t="inlineStr">
        <is>
          <t>ÅNGE</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18456-2024</t>
        </is>
      </c>
      <c r="B831" s="1" t="n">
        <v>45425.46831018518</v>
      </c>
      <c r="C831" s="1" t="n">
        <v>45939</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38703-2025</t>
        </is>
      </c>
      <c r="B832" s="1" t="n">
        <v>45885.34440972222</v>
      </c>
      <c r="C832" s="1" t="n">
        <v>45939</v>
      </c>
      <c r="D832" t="inlineStr">
        <is>
          <t>VÄSTERNORRLANDS LÄN</t>
        </is>
      </c>
      <c r="E832" t="inlineStr">
        <is>
          <t>ÅNGE</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48946-2024</t>
        </is>
      </c>
      <c r="B833" s="1" t="n">
        <v>45594.42736111111</v>
      </c>
      <c r="C833" s="1" t="n">
        <v>45939</v>
      </c>
      <c r="D833" t="inlineStr">
        <is>
          <t>VÄSTERNORRLANDS LÄN</t>
        </is>
      </c>
      <c r="E833" t="inlineStr">
        <is>
          <t>ÅNGE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58275-2022</t>
        </is>
      </c>
      <c r="B834" s="1" t="n">
        <v>44901.47865740741</v>
      </c>
      <c r="C834" s="1" t="n">
        <v>45939</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22988-2024</t>
        </is>
      </c>
      <c r="B835" s="1" t="n">
        <v>45449.94530092592</v>
      </c>
      <c r="C835" s="1" t="n">
        <v>45939</v>
      </c>
      <c r="D835" t="inlineStr">
        <is>
          <t>VÄSTERNORRLANDS LÄN</t>
        </is>
      </c>
      <c r="E835" t="inlineStr">
        <is>
          <t>ÅNGE</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3023-2023</t>
        </is>
      </c>
      <c r="B836" s="1" t="n">
        <v>44945</v>
      </c>
      <c r="C836" s="1" t="n">
        <v>45939</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3025-2023</t>
        </is>
      </c>
      <c r="B837" s="1" t="n">
        <v>44945</v>
      </c>
      <c r="C837" s="1" t="n">
        <v>45939</v>
      </c>
      <c r="D837" t="inlineStr">
        <is>
          <t>VÄSTERNORRLANDS LÄN</t>
        </is>
      </c>
      <c r="E837" t="inlineStr">
        <is>
          <t>ÅNGE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44180-2023</t>
        </is>
      </c>
      <c r="B838" s="1" t="n">
        <v>45183</v>
      </c>
      <c r="C838" s="1" t="n">
        <v>45939</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47377-2025</t>
        </is>
      </c>
      <c r="B839" s="1" t="n">
        <v>45930.59469907408</v>
      </c>
      <c r="C839" s="1" t="n">
        <v>45939</v>
      </c>
      <c r="D839" t="inlineStr">
        <is>
          <t>VÄSTERNORRLANDS LÄN</t>
        </is>
      </c>
      <c r="E839" t="inlineStr">
        <is>
          <t>ÅNGE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47440-2025</t>
        </is>
      </c>
      <c r="B840" s="1" t="n">
        <v>45930.63766203704</v>
      </c>
      <c r="C840" s="1" t="n">
        <v>45939</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47118-2025</t>
        </is>
      </c>
      <c r="B841" s="1" t="n">
        <v>45929.67770833334</v>
      </c>
      <c r="C841" s="1" t="n">
        <v>45939</v>
      </c>
      <c r="D841" t="inlineStr">
        <is>
          <t>VÄSTERNORRLANDS LÄN</t>
        </is>
      </c>
      <c r="E841" t="inlineStr">
        <is>
          <t>ÅNGE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32051-2025</t>
        </is>
      </c>
      <c r="B842" s="1" t="n">
        <v>45835.44185185185</v>
      </c>
      <c r="C842" s="1" t="n">
        <v>45939</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46829-2025</t>
        </is>
      </c>
      <c r="B843" s="1" t="n">
        <v>45927.34513888889</v>
      </c>
      <c r="C843" s="1" t="n">
        <v>45939</v>
      </c>
      <c r="D843" t="inlineStr">
        <is>
          <t>VÄSTERNORRLANDS LÄN</t>
        </is>
      </c>
      <c r="E843" t="inlineStr">
        <is>
          <t>ÅNGE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20716-2025</t>
        </is>
      </c>
      <c r="B844" s="1" t="n">
        <v>45776.49026620371</v>
      </c>
      <c r="C844" s="1" t="n">
        <v>45939</v>
      </c>
      <c r="D844" t="inlineStr">
        <is>
          <t>VÄSTERNORRLANDS LÄN</t>
        </is>
      </c>
      <c r="E844" t="inlineStr">
        <is>
          <t>ÅNGE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38002-2024</t>
        </is>
      </c>
      <c r="B845" s="1" t="n">
        <v>45544.61484953704</v>
      </c>
      <c r="C845" s="1" t="n">
        <v>45939</v>
      </c>
      <c r="D845" t="inlineStr">
        <is>
          <t>VÄSTERNORRLANDS LÄN</t>
        </is>
      </c>
      <c r="E845" t="inlineStr">
        <is>
          <t>ÅNGE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31568-2024</t>
        </is>
      </c>
      <c r="B846" s="1" t="n">
        <v>45505.96721064814</v>
      </c>
      <c r="C846" s="1" t="n">
        <v>45939</v>
      </c>
      <c r="D846" t="inlineStr">
        <is>
          <t>VÄSTERNORRLANDS LÄN</t>
        </is>
      </c>
      <c r="E846" t="inlineStr">
        <is>
          <t>ÅNGE</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47102-2025</t>
        </is>
      </c>
      <c r="B847" s="1" t="n">
        <v>45929</v>
      </c>
      <c r="C847" s="1" t="n">
        <v>45939</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44565-2024</t>
        </is>
      </c>
      <c r="B848" s="1" t="n">
        <v>45574.47518518518</v>
      </c>
      <c r="C848" s="1" t="n">
        <v>45939</v>
      </c>
      <c r="D848" t="inlineStr">
        <is>
          <t>VÄSTERNORRLANDS LÄN</t>
        </is>
      </c>
      <c r="E848" t="inlineStr">
        <is>
          <t>ÅNGE</t>
        </is>
      </c>
      <c r="G848" t="n">
        <v>1.8</v>
      </c>
      <c r="H848" t="n">
        <v>0</v>
      </c>
      <c r="I848" t="n">
        <v>0</v>
      </c>
      <c r="J848" t="n">
        <v>0</v>
      </c>
      <c r="K848" t="n">
        <v>0</v>
      </c>
      <c r="L848" t="n">
        <v>0</v>
      </c>
      <c r="M848" t="n">
        <v>0</v>
      </c>
      <c r="N848" t="n">
        <v>0</v>
      </c>
      <c r="O848" t="n">
        <v>0</v>
      </c>
      <c r="P848" t="n">
        <v>0</v>
      </c>
      <c r="Q848" t="n">
        <v>0</v>
      </c>
      <c r="R848" s="2" t="inlineStr"/>
    </row>
    <row r="849" ht="15" customHeight="1">
      <c r="A849" t="inlineStr">
        <is>
          <t>A 5197-2025</t>
        </is>
      </c>
      <c r="B849" s="1" t="n">
        <v>45691.65701388889</v>
      </c>
      <c r="C849" s="1" t="n">
        <v>45939</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19997-2023</t>
        </is>
      </c>
      <c r="B850" s="1" t="n">
        <v>45054</v>
      </c>
      <c r="C850" s="1" t="n">
        <v>45939</v>
      </c>
      <c r="D850" t="inlineStr">
        <is>
          <t>VÄSTERNORRLANDS LÄN</t>
        </is>
      </c>
      <c r="E850" t="inlineStr">
        <is>
          <t>ÅNGE</t>
        </is>
      </c>
      <c r="G850" t="n">
        <v>0.3</v>
      </c>
      <c r="H850" t="n">
        <v>0</v>
      </c>
      <c r="I850" t="n">
        <v>0</v>
      </c>
      <c r="J850" t="n">
        <v>0</v>
      </c>
      <c r="K850" t="n">
        <v>0</v>
      </c>
      <c r="L850" t="n">
        <v>0</v>
      </c>
      <c r="M850" t="n">
        <v>0</v>
      </c>
      <c r="N850" t="n">
        <v>0</v>
      </c>
      <c r="O850" t="n">
        <v>0</v>
      </c>
      <c r="P850" t="n">
        <v>0</v>
      </c>
      <c r="Q850" t="n">
        <v>0</v>
      </c>
      <c r="R850" s="2" t="inlineStr"/>
    </row>
    <row r="851" ht="15" customHeight="1">
      <c r="A851" t="inlineStr">
        <is>
          <t>A 5246-2025</t>
        </is>
      </c>
      <c r="B851" s="1" t="n">
        <v>45692.34427083333</v>
      </c>
      <c r="C851" s="1" t="n">
        <v>45939</v>
      </c>
      <c r="D851" t="inlineStr">
        <is>
          <t>VÄSTERNORRLANDS LÄN</t>
        </is>
      </c>
      <c r="E851" t="inlineStr">
        <is>
          <t>ÅNGE</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29063-2023</t>
        </is>
      </c>
      <c r="B852" s="1" t="n">
        <v>45104.94068287037</v>
      </c>
      <c r="C852" s="1" t="n">
        <v>45939</v>
      </c>
      <c r="D852" t="inlineStr">
        <is>
          <t>VÄSTERNORRLANDS LÄN</t>
        </is>
      </c>
      <c r="E852" t="inlineStr">
        <is>
          <t>ÅNGE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3352-2021</t>
        </is>
      </c>
      <c r="B853" s="1" t="n">
        <v>44217</v>
      </c>
      <c r="C853" s="1" t="n">
        <v>45939</v>
      </c>
      <c r="D853" t="inlineStr">
        <is>
          <t>VÄSTERNORRLANDS LÄN</t>
        </is>
      </c>
      <c r="E853" t="inlineStr">
        <is>
          <t>ÅNGE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41829-2021</t>
        </is>
      </c>
      <c r="B854" s="1" t="n">
        <v>44425.92202546296</v>
      </c>
      <c r="C854" s="1" t="n">
        <v>45939</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51609-2023</t>
        </is>
      </c>
      <c r="B855" s="1" t="n">
        <v>45215</v>
      </c>
      <c r="C855" s="1" t="n">
        <v>45939</v>
      </c>
      <c r="D855" t="inlineStr">
        <is>
          <t>VÄSTERNORRLANDS LÄN</t>
        </is>
      </c>
      <c r="E855" t="inlineStr">
        <is>
          <t>ÅNGE</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53970-2021</t>
        </is>
      </c>
      <c r="B856" s="1" t="n">
        <v>44469</v>
      </c>
      <c r="C856" s="1" t="n">
        <v>45939</v>
      </c>
      <c r="D856" t="inlineStr">
        <is>
          <t>VÄSTERNORRLANDS LÄN</t>
        </is>
      </c>
      <c r="E856" t="inlineStr">
        <is>
          <t>ÅNGE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2415-2024</t>
        </is>
      </c>
      <c r="B857" s="1" t="n">
        <v>45310</v>
      </c>
      <c r="C857" s="1" t="n">
        <v>45939</v>
      </c>
      <c r="D857" t="inlineStr">
        <is>
          <t>VÄSTERNORRLANDS LÄN</t>
        </is>
      </c>
      <c r="E857" t="inlineStr">
        <is>
          <t>ÅNGE</t>
        </is>
      </c>
      <c r="F857" t="inlineStr">
        <is>
          <t>Kyrkan</t>
        </is>
      </c>
      <c r="G857" t="n">
        <v>0.2</v>
      </c>
      <c r="H857" t="n">
        <v>0</v>
      </c>
      <c r="I857" t="n">
        <v>0</v>
      </c>
      <c r="J857" t="n">
        <v>0</v>
      </c>
      <c r="K857" t="n">
        <v>0</v>
      </c>
      <c r="L857" t="n">
        <v>0</v>
      </c>
      <c r="M857" t="n">
        <v>0</v>
      </c>
      <c r="N857" t="n">
        <v>0</v>
      </c>
      <c r="O857" t="n">
        <v>0</v>
      </c>
      <c r="P857" t="n">
        <v>0</v>
      </c>
      <c r="Q857" t="n">
        <v>0</v>
      </c>
      <c r="R857" s="2" t="inlineStr"/>
    </row>
    <row r="858" ht="15" customHeight="1">
      <c r="A858" t="inlineStr">
        <is>
          <t>A 38711-2025</t>
        </is>
      </c>
      <c r="B858" s="1" t="n">
        <v>45886.34450231482</v>
      </c>
      <c r="C858" s="1" t="n">
        <v>45939</v>
      </c>
      <c r="D858" t="inlineStr">
        <is>
          <t>VÄSTERNORRLANDS LÄN</t>
        </is>
      </c>
      <c r="E858" t="inlineStr">
        <is>
          <t>ÅNGE</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38715-2025</t>
        </is>
      </c>
      <c r="B859" s="1" t="n">
        <v>45886.34501157407</v>
      </c>
      <c r="C859" s="1" t="n">
        <v>45939</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34959-2023</t>
        </is>
      </c>
      <c r="B860" s="1" t="n">
        <v>45142</v>
      </c>
      <c r="C860" s="1" t="n">
        <v>45939</v>
      </c>
      <c r="D860" t="inlineStr">
        <is>
          <t>VÄSTERNORRLANDS LÄN</t>
        </is>
      </c>
      <c r="E860" t="inlineStr">
        <is>
          <t>ÅNGE</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6686-2024</t>
        </is>
      </c>
      <c r="B861" s="1" t="n">
        <v>45341</v>
      </c>
      <c r="C861" s="1" t="n">
        <v>45939</v>
      </c>
      <c r="D861" t="inlineStr">
        <is>
          <t>VÄSTERNORRLANDS LÄN</t>
        </is>
      </c>
      <c r="E861" t="inlineStr">
        <is>
          <t>ÅNGE</t>
        </is>
      </c>
      <c r="G861" t="n">
        <v>0.9</v>
      </c>
      <c r="H861" t="n">
        <v>0</v>
      </c>
      <c r="I861" t="n">
        <v>0</v>
      </c>
      <c r="J861" t="n">
        <v>0</v>
      </c>
      <c r="K861" t="n">
        <v>0</v>
      </c>
      <c r="L861" t="n">
        <v>0</v>
      </c>
      <c r="M861" t="n">
        <v>0</v>
      </c>
      <c r="N861" t="n">
        <v>0</v>
      </c>
      <c r="O861" t="n">
        <v>0</v>
      </c>
      <c r="P861" t="n">
        <v>0</v>
      </c>
      <c r="Q861" t="n">
        <v>0</v>
      </c>
      <c r="R861" s="2" t="inlineStr"/>
    </row>
    <row r="862" ht="15" customHeight="1">
      <c r="A862" t="inlineStr">
        <is>
          <t>A 30682-2024</t>
        </is>
      </c>
      <c r="B862" s="1" t="n">
        <v>45495.95109953704</v>
      </c>
      <c r="C862" s="1" t="n">
        <v>45939</v>
      </c>
      <c r="D862" t="inlineStr">
        <is>
          <t>VÄSTERNORRLANDS LÄN</t>
        </is>
      </c>
      <c r="E862" t="inlineStr">
        <is>
          <t>ÅNGE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54346-2023</t>
        </is>
      </c>
      <c r="B863" s="1" t="n">
        <v>45232.96087962963</v>
      </c>
      <c r="C863" s="1" t="n">
        <v>45939</v>
      </c>
      <c r="D863" t="inlineStr">
        <is>
          <t>VÄSTERNORRLANDS LÄN</t>
        </is>
      </c>
      <c r="E863" t="inlineStr">
        <is>
          <t>ÅNGE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30753-2024</t>
        </is>
      </c>
      <c r="B864" s="1" t="n">
        <v>45496</v>
      </c>
      <c r="C864" s="1" t="n">
        <v>45939</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30754-2024</t>
        </is>
      </c>
      <c r="B865" s="1" t="n">
        <v>45496</v>
      </c>
      <c r="C865" s="1" t="n">
        <v>45939</v>
      </c>
      <c r="D865" t="inlineStr">
        <is>
          <t>VÄSTERNORRLANDS LÄN</t>
        </is>
      </c>
      <c r="E865" t="inlineStr">
        <is>
          <t>ÅNGE</t>
        </is>
      </c>
      <c r="G865" t="n">
        <v>3.8</v>
      </c>
      <c r="H865" t="n">
        <v>0</v>
      </c>
      <c r="I865" t="n">
        <v>0</v>
      </c>
      <c r="J865" t="n">
        <v>0</v>
      </c>
      <c r="K865" t="n">
        <v>0</v>
      </c>
      <c r="L865" t="n">
        <v>0</v>
      </c>
      <c r="M865" t="n">
        <v>0</v>
      </c>
      <c r="N865" t="n">
        <v>0</v>
      </c>
      <c r="O865" t="n">
        <v>0</v>
      </c>
      <c r="P865" t="n">
        <v>0</v>
      </c>
      <c r="Q865" t="n">
        <v>0</v>
      </c>
      <c r="R865" s="2" t="inlineStr"/>
    </row>
    <row r="866" ht="15" customHeight="1">
      <c r="A866" t="inlineStr">
        <is>
          <t>A 38960-2021</t>
        </is>
      </c>
      <c r="B866" s="1" t="n">
        <v>44411</v>
      </c>
      <c r="C866" s="1" t="n">
        <v>45939</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50612-2024</t>
        </is>
      </c>
      <c r="B867" s="1" t="n">
        <v>45601</v>
      </c>
      <c r="C867" s="1" t="n">
        <v>45939</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35581-2024</t>
        </is>
      </c>
      <c r="B868" s="1" t="n">
        <v>45531</v>
      </c>
      <c r="C868" s="1" t="n">
        <v>45939</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65633-2021</t>
        </is>
      </c>
      <c r="B869" s="1" t="n">
        <v>44516.56181712963</v>
      </c>
      <c r="C869" s="1" t="n">
        <v>45939</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13491-2023</t>
        </is>
      </c>
      <c r="B870" s="1" t="n">
        <v>45005.93929398148</v>
      </c>
      <c r="C870" s="1" t="n">
        <v>45939</v>
      </c>
      <c r="D870" t="inlineStr">
        <is>
          <t>VÄSTERNORRLANDS LÄN</t>
        </is>
      </c>
      <c r="E870" t="inlineStr">
        <is>
          <t>ÅNGE</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55328-2023</t>
        </is>
      </c>
      <c r="B871" s="1" t="n">
        <v>45237</v>
      </c>
      <c r="C871" s="1" t="n">
        <v>45939</v>
      </c>
      <c r="D871" t="inlineStr">
        <is>
          <t>VÄSTERNORRLANDS LÄN</t>
        </is>
      </c>
      <c r="E871" t="inlineStr">
        <is>
          <t>ÅNGE</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46933-2025</t>
        </is>
      </c>
      <c r="B872" s="1" t="n">
        <v>45929.44645833333</v>
      </c>
      <c r="C872" s="1" t="n">
        <v>45939</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47243-2024</t>
        </is>
      </c>
      <c r="B873" s="1" t="n">
        <v>45586.6987962963</v>
      </c>
      <c r="C873" s="1" t="n">
        <v>45939</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37540-2024</t>
        </is>
      </c>
      <c r="B874" s="1" t="n">
        <v>45541.42111111111</v>
      </c>
      <c r="C874" s="1" t="n">
        <v>45939</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41507-2024</t>
        </is>
      </c>
      <c r="B875" s="1" t="n">
        <v>45560</v>
      </c>
      <c r="C875" s="1" t="n">
        <v>45939</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42948-2024</t>
        </is>
      </c>
      <c r="B876" s="1" t="n">
        <v>45567.36628472222</v>
      </c>
      <c r="C876" s="1" t="n">
        <v>45939</v>
      </c>
      <c r="D876" t="inlineStr">
        <is>
          <t>VÄSTERNORRLANDS LÄN</t>
        </is>
      </c>
      <c r="E876" t="inlineStr">
        <is>
          <t>ÅNGE</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47305-2025</t>
        </is>
      </c>
      <c r="B877" s="1" t="n">
        <v>45930</v>
      </c>
      <c r="C877" s="1" t="n">
        <v>45939</v>
      </c>
      <c r="D877" t="inlineStr">
        <is>
          <t>VÄSTERNORRLANDS LÄN</t>
        </is>
      </c>
      <c r="E877" t="inlineStr">
        <is>
          <t>ÅNGE</t>
        </is>
      </c>
      <c r="G877" t="n">
        <v>10.9</v>
      </c>
      <c r="H877" t="n">
        <v>0</v>
      </c>
      <c r="I877" t="n">
        <v>0</v>
      </c>
      <c r="J877" t="n">
        <v>0</v>
      </c>
      <c r="K877" t="n">
        <v>0</v>
      </c>
      <c r="L877" t="n">
        <v>0</v>
      </c>
      <c r="M877" t="n">
        <v>0</v>
      </c>
      <c r="N877" t="n">
        <v>0</v>
      </c>
      <c r="O877" t="n">
        <v>0</v>
      </c>
      <c r="P877" t="n">
        <v>0</v>
      </c>
      <c r="Q877" t="n">
        <v>0</v>
      </c>
      <c r="R877" s="2" t="inlineStr"/>
    </row>
    <row r="878" ht="15" customHeight="1">
      <c r="A878" t="inlineStr">
        <is>
          <t>A 11531-2023</t>
        </is>
      </c>
      <c r="B878" s="1" t="n">
        <v>44993.77038194444</v>
      </c>
      <c r="C878" s="1" t="n">
        <v>45939</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11532-2023</t>
        </is>
      </c>
      <c r="B879" s="1" t="n">
        <v>44993.77212962963</v>
      </c>
      <c r="C879" s="1" t="n">
        <v>45939</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41355-2024</t>
        </is>
      </c>
      <c r="B880" s="1" t="n">
        <v>45559.69833333333</v>
      </c>
      <c r="C880" s="1" t="n">
        <v>45939</v>
      </c>
      <c r="D880" t="inlineStr">
        <is>
          <t>VÄSTERNORRLANDS LÄN</t>
        </is>
      </c>
      <c r="E880" t="inlineStr">
        <is>
          <t>ÅNGE</t>
        </is>
      </c>
      <c r="F880" t="inlineStr">
        <is>
          <t>SCA</t>
        </is>
      </c>
      <c r="G880" t="n">
        <v>6.1</v>
      </c>
      <c r="H880" t="n">
        <v>0</v>
      </c>
      <c r="I880" t="n">
        <v>0</v>
      </c>
      <c r="J880" t="n">
        <v>0</v>
      </c>
      <c r="K880" t="n">
        <v>0</v>
      </c>
      <c r="L880" t="n">
        <v>0</v>
      </c>
      <c r="M880" t="n">
        <v>0</v>
      </c>
      <c r="N880" t="n">
        <v>0</v>
      </c>
      <c r="O880" t="n">
        <v>0</v>
      </c>
      <c r="P880" t="n">
        <v>0</v>
      </c>
      <c r="Q880" t="n">
        <v>0</v>
      </c>
      <c r="R880" s="2" t="inlineStr"/>
    </row>
    <row r="881" ht="15" customHeight="1">
      <c r="A881" t="inlineStr">
        <is>
          <t>A 6487-2021</t>
        </is>
      </c>
      <c r="B881" s="1" t="n">
        <v>44235</v>
      </c>
      <c r="C881" s="1" t="n">
        <v>45939</v>
      </c>
      <c r="D881" t="inlineStr">
        <is>
          <t>VÄSTERNORRLANDS LÄN</t>
        </is>
      </c>
      <c r="E881" t="inlineStr">
        <is>
          <t>ÅNGE</t>
        </is>
      </c>
      <c r="G881" t="n">
        <v>2.1</v>
      </c>
      <c r="H881" t="n">
        <v>0</v>
      </c>
      <c r="I881" t="n">
        <v>0</v>
      </c>
      <c r="J881" t="n">
        <v>0</v>
      </c>
      <c r="K881" t="n">
        <v>0</v>
      </c>
      <c r="L881" t="n">
        <v>0</v>
      </c>
      <c r="M881" t="n">
        <v>0</v>
      </c>
      <c r="N881" t="n">
        <v>0</v>
      </c>
      <c r="O881" t="n">
        <v>0</v>
      </c>
      <c r="P881" t="n">
        <v>0</v>
      </c>
      <c r="Q881" t="n">
        <v>0</v>
      </c>
      <c r="R881" s="2" t="inlineStr"/>
    </row>
    <row r="882" ht="15" customHeight="1">
      <c r="A882" t="inlineStr">
        <is>
          <t>A 17749-2025</t>
        </is>
      </c>
      <c r="B882" s="1" t="n">
        <v>45758.48380787037</v>
      </c>
      <c r="C882" s="1" t="n">
        <v>45939</v>
      </c>
      <c r="D882" t="inlineStr">
        <is>
          <t>VÄSTERNORRLANDS LÄN</t>
        </is>
      </c>
      <c r="E882" t="inlineStr">
        <is>
          <t>ÅNGE</t>
        </is>
      </c>
      <c r="G882" t="n">
        <v>7.3</v>
      </c>
      <c r="H882" t="n">
        <v>0</v>
      </c>
      <c r="I882" t="n">
        <v>0</v>
      </c>
      <c r="J882" t="n">
        <v>0</v>
      </c>
      <c r="K882" t="n">
        <v>0</v>
      </c>
      <c r="L882" t="n">
        <v>0</v>
      </c>
      <c r="M882" t="n">
        <v>0</v>
      </c>
      <c r="N882" t="n">
        <v>0</v>
      </c>
      <c r="O882" t="n">
        <v>0</v>
      </c>
      <c r="P882" t="n">
        <v>0</v>
      </c>
      <c r="Q882" t="n">
        <v>0</v>
      </c>
      <c r="R882" s="2" t="inlineStr"/>
    </row>
    <row r="883" ht="15" customHeight="1">
      <c r="A883" t="inlineStr">
        <is>
          <t>A 42044-2024</t>
        </is>
      </c>
      <c r="B883" s="1" t="n">
        <v>45561</v>
      </c>
      <c r="C883" s="1" t="n">
        <v>45939</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54585-2024</t>
        </is>
      </c>
      <c r="B884" s="1" t="n">
        <v>45617.65762731482</v>
      </c>
      <c r="C884" s="1" t="n">
        <v>45939</v>
      </c>
      <c r="D884" t="inlineStr">
        <is>
          <t>VÄSTERNORRLANDS LÄN</t>
        </is>
      </c>
      <c r="E884" t="inlineStr">
        <is>
          <t>ÅNGE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15404-2025</t>
        </is>
      </c>
      <c r="B885" s="1" t="n">
        <v>45747.44665509259</v>
      </c>
      <c r="C885" s="1" t="n">
        <v>45939</v>
      </c>
      <c r="D885" t="inlineStr">
        <is>
          <t>VÄSTERNORRLANDS LÄN</t>
        </is>
      </c>
      <c r="E885" t="inlineStr">
        <is>
          <t>ÅNGE</t>
        </is>
      </c>
      <c r="G885" t="n">
        <v>11.8</v>
      </c>
      <c r="H885" t="n">
        <v>0</v>
      </c>
      <c r="I885" t="n">
        <v>0</v>
      </c>
      <c r="J885" t="n">
        <v>0</v>
      </c>
      <c r="K885" t="n">
        <v>0</v>
      </c>
      <c r="L885" t="n">
        <v>0</v>
      </c>
      <c r="M885" t="n">
        <v>0</v>
      </c>
      <c r="N885" t="n">
        <v>0</v>
      </c>
      <c r="O885" t="n">
        <v>0</v>
      </c>
      <c r="P885" t="n">
        <v>0</v>
      </c>
      <c r="Q885" t="n">
        <v>0</v>
      </c>
      <c r="R885" s="2" t="inlineStr"/>
    </row>
    <row r="886" ht="15" customHeight="1">
      <c r="A886" t="inlineStr">
        <is>
          <t>A 3256-2024</t>
        </is>
      </c>
      <c r="B886" s="1" t="n">
        <v>45316</v>
      </c>
      <c r="C886" s="1" t="n">
        <v>45939</v>
      </c>
      <c r="D886" t="inlineStr">
        <is>
          <t>VÄSTERNORRLANDS LÄN</t>
        </is>
      </c>
      <c r="E886" t="inlineStr">
        <is>
          <t>ÅNGE</t>
        </is>
      </c>
      <c r="G886" t="n">
        <v>3.7</v>
      </c>
      <c r="H886" t="n">
        <v>0</v>
      </c>
      <c r="I886" t="n">
        <v>0</v>
      </c>
      <c r="J886" t="n">
        <v>0</v>
      </c>
      <c r="K886" t="n">
        <v>0</v>
      </c>
      <c r="L886" t="n">
        <v>0</v>
      </c>
      <c r="M886" t="n">
        <v>0</v>
      </c>
      <c r="N886" t="n">
        <v>0</v>
      </c>
      <c r="O886" t="n">
        <v>0</v>
      </c>
      <c r="P886" t="n">
        <v>0</v>
      </c>
      <c r="Q886" t="n">
        <v>0</v>
      </c>
      <c r="R886" s="2" t="inlineStr"/>
    </row>
    <row r="887" ht="15" customHeight="1">
      <c r="A887" t="inlineStr">
        <is>
          <t>A 16450-2025</t>
        </is>
      </c>
      <c r="B887" s="1" t="n">
        <v>45751.51081018519</v>
      </c>
      <c r="C887" s="1" t="n">
        <v>45939</v>
      </c>
      <c r="D887" t="inlineStr">
        <is>
          <t>VÄSTERNORRLANDS LÄN</t>
        </is>
      </c>
      <c r="E887" t="inlineStr">
        <is>
          <t>ÅNGE</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17703-2025</t>
        </is>
      </c>
      <c r="B888" s="1" t="n">
        <v>45758.4275462963</v>
      </c>
      <c r="C888" s="1" t="n">
        <v>45939</v>
      </c>
      <c r="D888" t="inlineStr">
        <is>
          <t>VÄSTERNORRLANDS LÄN</t>
        </is>
      </c>
      <c r="E888" t="inlineStr">
        <is>
          <t>ÅNGE</t>
        </is>
      </c>
      <c r="G888" t="n">
        <v>2.5</v>
      </c>
      <c r="H888" t="n">
        <v>0</v>
      </c>
      <c r="I888" t="n">
        <v>0</v>
      </c>
      <c r="J888" t="n">
        <v>0</v>
      </c>
      <c r="K888" t="n">
        <v>0</v>
      </c>
      <c r="L888" t="n">
        <v>0</v>
      </c>
      <c r="M888" t="n">
        <v>0</v>
      </c>
      <c r="N888" t="n">
        <v>0</v>
      </c>
      <c r="O888" t="n">
        <v>0</v>
      </c>
      <c r="P888" t="n">
        <v>0</v>
      </c>
      <c r="Q888" t="n">
        <v>0</v>
      </c>
      <c r="R888" s="2" t="inlineStr"/>
    </row>
    <row r="889" ht="15" customHeight="1">
      <c r="A889" t="inlineStr">
        <is>
          <t>A 42529-2024</t>
        </is>
      </c>
      <c r="B889" s="1" t="n">
        <v>45565.57324074074</v>
      </c>
      <c r="C889" s="1" t="n">
        <v>45939</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2451-2024</t>
        </is>
      </c>
      <c r="B890" s="1" t="n">
        <v>45312.58627314815</v>
      </c>
      <c r="C890" s="1" t="n">
        <v>45939</v>
      </c>
      <c r="D890" t="inlineStr">
        <is>
          <t>VÄSTERNORRLANDS LÄN</t>
        </is>
      </c>
      <c r="E890" t="inlineStr">
        <is>
          <t>ÅNGE</t>
        </is>
      </c>
      <c r="G890" t="n">
        <v>3.5</v>
      </c>
      <c r="H890" t="n">
        <v>0</v>
      </c>
      <c r="I890" t="n">
        <v>0</v>
      </c>
      <c r="J890" t="n">
        <v>0</v>
      </c>
      <c r="K890" t="n">
        <v>0</v>
      </c>
      <c r="L890" t="n">
        <v>0</v>
      </c>
      <c r="M890" t="n">
        <v>0</v>
      </c>
      <c r="N890" t="n">
        <v>0</v>
      </c>
      <c r="O890" t="n">
        <v>0</v>
      </c>
      <c r="P890" t="n">
        <v>0</v>
      </c>
      <c r="Q890" t="n">
        <v>0</v>
      </c>
      <c r="R890" s="2" t="inlineStr"/>
    </row>
    <row r="891" ht="15" customHeight="1">
      <c r="A891" t="inlineStr">
        <is>
          <t>A 51054-2024</t>
        </is>
      </c>
      <c r="B891" s="1" t="n">
        <v>45603</v>
      </c>
      <c r="C891" s="1" t="n">
        <v>45939</v>
      </c>
      <c r="D891" t="inlineStr">
        <is>
          <t>VÄSTERNORRLANDS LÄN</t>
        </is>
      </c>
      <c r="E891" t="inlineStr">
        <is>
          <t>ÅNGE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39444-2025</t>
        </is>
      </c>
      <c r="B892" s="1" t="n">
        <v>45889.69826388889</v>
      </c>
      <c r="C892" s="1" t="n">
        <v>45939</v>
      </c>
      <c r="D892" t="inlineStr">
        <is>
          <t>VÄSTERNORRLANDS LÄN</t>
        </is>
      </c>
      <c r="E892" t="inlineStr">
        <is>
          <t>ÅNGE</t>
        </is>
      </c>
      <c r="F892" t="inlineStr">
        <is>
          <t>SCA</t>
        </is>
      </c>
      <c r="G892" t="n">
        <v>7.9</v>
      </c>
      <c r="H892" t="n">
        <v>0</v>
      </c>
      <c r="I892" t="n">
        <v>0</v>
      </c>
      <c r="J892" t="n">
        <v>0</v>
      </c>
      <c r="K892" t="n">
        <v>0</v>
      </c>
      <c r="L892" t="n">
        <v>0</v>
      </c>
      <c r="M892" t="n">
        <v>0</v>
      </c>
      <c r="N892" t="n">
        <v>0</v>
      </c>
      <c r="O892" t="n">
        <v>0</v>
      </c>
      <c r="P892" t="n">
        <v>0</v>
      </c>
      <c r="Q892" t="n">
        <v>0</v>
      </c>
      <c r="R892" s="2" t="inlineStr"/>
    </row>
    <row r="893" ht="15" customHeight="1">
      <c r="A893" t="inlineStr">
        <is>
          <t>A 3966-2025</t>
        </is>
      </c>
      <c r="B893" s="1" t="n">
        <v>45684.51072916666</v>
      </c>
      <c r="C893" s="1" t="n">
        <v>45939</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47752-2025</t>
        </is>
      </c>
      <c r="B894" s="1" t="n">
        <v>45931.66358796296</v>
      </c>
      <c r="C894" s="1" t="n">
        <v>45939</v>
      </c>
      <c r="D894" t="inlineStr">
        <is>
          <t>VÄSTERNORRLANDS LÄN</t>
        </is>
      </c>
      <c r="E894" t="inlineStr">
        <is>
          <t>ÅNGE</t>
        </is>
      </c>
      <c r="G894" t="n">
        <v>3.9</v>
      </c>
      <c r="H894" t="n">
        <v>0</v>
      </c>
      <c r="I894" t="n">
        <v>0</v>
      </c>
      <c r="J894" t="n">
        <v>0</v>
      </c>
      <c r="K894" t="n">
        <v>0</v>
      </c>
      <c r="L894" t="n">
        <v>0</v>
      </c>
      <c r="M894" t="n">
        <v>0</v>
      </c>
      <c r="N894" t="n">
        <v>0</v>
      </c>
      <c r="O894" t="n">
        <v>0</v>
      </c>
      <c r="P894" t="n">
        <v>0</v>
      </c>
      <c r="Q894" t="n">
        <v>0</v>
      </c>
      <c r="R894" s="2" t="inlineStr"/>
    </row>
    <row r="895" ht="15" customHeight="1">
      <c r="A895" t="inlineStr">
        <is>
          <t>A 14751-2025</t>
        </is>
      </c>
      <c r="B895" s="1" t="n">
        <v>45742.65863425926</v>
      </c>
      <c r="C895" s="1" t="n">
        <v>45939</v>
      </c>
      <c r="D895" t="inlineStr">
        <is>
          <t>VÄSTERNORRLANDS LÄN</t>
        </is>
      </c>
      <c r="E895" t="inlineStr">
        <is>
          <t>ÅNGE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10339-2025</t>
        </is>
      </c>
      <c r="B896" s="1" t="n">
        <v>45720</v>
      </c>
      <c r="C896" s="1" t="n">
        <v>45939</v>
      </c>
      <c r="D896" t="inlineStr">
        <is>
          <t>VÄSTERNORRLANDS LÄN</t>
        </is>
      </c>
      <c r="E896" t="inlineStr">
        <is>
          <t>ÅNGE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41083-2024</t>
        </is>
      </c>
      <c r="B897" s="1" t="n">
        <v>45559.40684027778</v>
      </c>
      <c r="C897" s="1" t="n">
        <v>45939</v>
      </c>
      <c r="D897" t="inlineStr">
        <is>
          <t>VÄSTERNORRLANDS LÄN</t>
        </is>
      </c>
      <c r="E897" t="inlineStr">
        <is>
          <t>ÅNGE</t>
        </is>
      </c>
      <c r="F897" t="inlineStr">
        <is>
          <t>SCA</t>
        </is>
      </c>
      <c r="G897" t="n">
        <v>8.4</v>
      </c>
      <c r="H897" t="n">
        <v>0</v>
      </c>
      <c r="I897" t="n">
        <v>0</v>
      </c>
      <c r="J897" t="n">
        <v>0</v>
      </c>
      <c r="K897" t="n">
        <v>0</v>
      </c>
      <c r="L897" t="n">
        <v>0</v>
      </c>
      <c r="M897" t="n">
        <v>0</v>
      </c>
      <c r="N897" t="n">
        <v>0</v>
      </c>
      <c r="O897" t="n">
        <v>0</v>
      </c>
      <c r="P897" t="n">
        <v>0</v>
      </c>
      <c r="Q897" t="n">
        <v>0</v>
      </c>
      <c r="R897" s="2" t="inlineStr"/>
    </row>
    <row r="898" ht="15" customHeight="1">
      <c r="A898" t="inlineStr">
        <is>
          <t>A 41766-2024</t>
        </is>
      </c>
      <c r="B898" s="1" t="n">
        <v>45561.34594907407</v>
      </c>
      <c r="C898" s="1" t="n">
        <v>45939</v>
      </c>
      <c r="D898" t="inlineStr">
        <is>
          <t>VÄSTERNORRLANDS LÄN</t>
        </is>
      </c>
      <c r="E898" t="inlineStr">
        <is>
          <t>ÅNGE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48069-2025</t>
        </is>
      </c>
      <c r="B899" s="1" t="n">
        <v>45932.69865740741</v>
      </c>
      <c r="C899" s="1" t="n">
        <v>45939</v>
      </c>
      <c r="D899" t="inlineStr">
        <is>
          <t>VÄSTERNORRLANDS LÄN</t>
        </is>
      </c>
      <c r="E899" t="inlineStr">
        <is>
          <t>ÅNGE</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18067-2025</t>
        </is>
      </c>
      <c r="B900" s="1" t="n">
        <v>45761.49016203704</v>
      </c>
      <c r="C900" s="1" t="n">
        <v>45939</v>
      </c>
      <c r="D900" t="inlineStr">
        <is>
          <t>VÄSTERNORRLANDS LÄN</t>
        </is>
      </c>
      <c r="E900" t="inlineStr">
        <is>
          <t>ÅNGE</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54316-2024</t>
        </is>
      </c>
      <c r="B901" s="1" t="n">
        <v>45617.34443287037</v>
      </c>
      <c r="C901" s="1" t="n">
        <v>45939</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51024-2024</t>
        </is>
      </c>
      <c r="B902" s="1" t="n">
        <v>45603.4141087963</v>
      </c>
      <c r="C902" s="1" t="n">
        <v>45939</v>
      </c>
      <c r="D902" t="inlineStr">
        <is>
          <t>VÄSTERNORRLANDS LÄN</t>
        </is>
      </c>
      <c r="E902" t="inlineStr">
        <is>
          <t>ÅNGE</t>
        </is>
      </c>
      <c r="G902" t="n">
        <v>8.9</v>
      </c>
      <c r="H902" t="n">
        <v>0</v>
      </c>
      <c r="I902" t="n">
        <v>0</v>
      </c>
      <c r="J902" t="n">
        <v>0</v>
      </c>
      <c r="K902" t="n">
        <v>0</v>
      </c>
      <c r="L902" t="n">
        <v>0</v>
      </c>
      <c r="M902" t="n">
        <v>0</v>
      </c>
      <c r="N902" t="n">
        <v>0</v>
      </c>
      <c r="O902" t="n">
        <v>0</v>
      </c>
      <c r="P902" t="n">
        <v>0</v>
      </c>
      <c r="Q902" t="n">
        <v>0</v>
      </c>
      <c r="R902" s="2" t="inlineStr"/>
    </row>
    <row r="903" ht="15" customHeight="1">
      <c r="A903" t="inlineStr">
        <is>
          <t>A 4186-2025</t>
        </is>
      </c>
      <c r="B903" s="1" t="n">
        <v>45685.44827546296</v>
      </c>
      <c r="C903" s="1" t="n">
        <v>45939</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51059-2024</t>
        </is>
      </c>
      <c r="B904" s="1" t="n">
        <v>45603</v>
      </c>
      <c r="C904" s="1" t="n">
        <v>45939</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1095-2023</t>
        </is>
      </c>
      <c r="B905" s="1" t="n">
        <v>44929</v>
      </c>
      <c r="C905" s="1" t="n">
        <v>45939</v>
      </c>
      <c r="D905" t="inlineStr">
        <is>
          <t>VÄSTERNORRLANDS LÄN</t>
        </is>
      </c>
      <c r="E905" t="inlineStr">
        <is>
          <t>ÅNGE</t>
        </is>
      </c>
      <c r="G905" t="n">
        <v>3.2</v>
      </c>
      <c r="H905" t="n">
        <v>0</v>
      </c>
      <c r="I905" t="n">
        <v>0</v>
      </c>
      <c r="J905" t="n">
        <v>0</v>
      </c>
      <c r="K905" t="n">
        <v>0</v>
      </c>
      <c r="L905" t="n">
        <v>0</v>
      </c>
      <c r="M905" t="n">
        <v>0</v>
      </c>
      <c r="N905" t="n">
        <v>0</v>
      </c>
      <c r="O905" t="n">
        <v>0</v>
      </c>
      <c r="P905" t="n">
        <v>0</v>
      </c>
      <c r="Q905" t="n">
        <v>0</v>
      </c>
      <c r="R905" s="2" t="inlineStr"/>
    </row>
    <row r="906" ht="15" customHeight="1">
      <c r="A906" t="inlineStr">
        <is>
          <t>A 64121-2021</t>
        </is>
      </c>
      <c r="B906" s="1" t="n">
        <v>44510.4730787037</v>
      </c>
      <c r="C906" s="1" t="n">
        <v>45939</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48234-2025</t>
        </is>
      </c>
      <c r="B907" s="1" t="n">
        <v>45933.53211805555</v>
      </c>
      <c r="C907" s="1" t="n">
        <v>45939</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53209-2024</t>
        </is>
      </c>
      <c r="B908" s="1" t="n">
        <v>45612.51079861111</v>
      </c>
      <c r="C908" s="1" t="n">
        <v>45939</v>
      </c>
      <c r="D908" t="inlineStr">
        <is>
          <t>VÄSTERNORRLANDS LÄN</t>
        </is>
      </c>
      <c r="E908" t="inlineStr">
        <is>
          <t>ÅNGE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42881-2024</t>
        </is>
      </c>
      <c r="B909" s="1" t="n">
        <v>45566.70916666667</v>
      </c>
      <c r="C909" s="1" t="n">
        <v>45939</v>
      </c>
      <c r="D909" t="inlineStr">
        <is>
          <t>VÄSTERNORRLANDS LÄN</t>
        </is>
      </c>
      <c r="E909" t="inlineStr">
        <is>
          <t>ÅNGE</t>
        </is>
      </c>
      <c r="G909" t="n">
        <v>1.9</v>
      </c>
      <c r="H909" t="n">
        <v>0</v>
      </c>
      <c r="I909" t="n">
        <v>0</v>
      </c>
      <c r="J909" t="n">
        <v>0</v>
      </c>
      <c r="K909" t="n">
        <v>0</v>
      </c>
      <c r="L909" t="n">
        <v>0</v>
      </c>
      <c r="M909" t="n">
        <v>0</v>
      </c>
      <c r="N909" t="n">
        <v>0</v>
      </c>
      <c r="O909" t="n">
        <v>0</v>
      </c>
      <c r="P909" t="n">
        <v>0</v>
      </c>
      <c r="Q909" t="n">
        <v>0</v>
      </c>
      <c r="R909" s="2" t="inlineStr"/>
    </row>
    <row r="910" ht="15" customHeight="1">
      <c r="A910" t="inlineStr">
        <is>
          <t>A 48679-2025</t>
        </is>
      </c>
      <c r="B910" s="1" t="n">
        <v>45936.59196759259</v>
      </c>
      <c r="C910" s="1" t="n">
        <v>45939</v>
      </c>
      <c r="D910" t="inlineStr">
        <is>
          <t>VÄSTERNORRLANDS LÄN</t>
        </is>
      </c>
      <c r="E910" t="inlineStr">
        <is>
          <t>ÅNGE</t>
        </is>
      </c>
      <c r="G910" t="n">
        <v>2.1</v>
      </c>
      <c r="H910" t="n">
        <v>0</v>
      </c>
      <c r="I910" t="n">
        <v>0</v>
      </c>
      <c r="J910" t="n">
        <v>0</v>
      </c>
      <c r="K910" t="n">
        <v>0</v>
      </c>
      <c r="L910" t="n">
        <v>0</v>
      </c>
      <c r="M910" t="n">
        <v>0</v>
      </c>
      <c r="N910" t="n">
        <v>0</v>
      </c>
      <c r="O910" t="n">
        <v>0</v>
      </c>
      <c r="P910" t="n">
        <v>0</v>
      </c>
      <c r="Q910" t="n">
        <v>0</v>
      </c>
      <c r="R910" s="2" t="inlineStr"/>
    </row>
    <row r="911" ht="15" customHeight="1">
      <c r="A911" t="inlineStr">
        <is>
          <t>A 15778-2025</t>
        </is>
      </c>
      <c r="B911" s="1" t="n">
        <v>45748.60030092593</v>
      </c>
      <c r="C911" s="1" t="n">
        <v>45939</v>
      </c>
      <c r="D911" t="inlineStr">
        <is>
          <t>VÄSTERNORRLANDS LÄN</t>
        </is>
      </c>
      <c r="E911" t="inlineStr">
        <is>
          <t>ÅNGE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17718-2025</t>
        </is>
      </c>
      <c r="B912" s="1" t="n">
        <v>45758.44815972223</v>
      </c>
      <c r="C912" s="1" t="n">
        <v>45939</v>
      </c>
      <c r="D912" t="inlineStr">
        <is>
          <t>VÄSTERNORRLANDS LÄN</t>
        </is>
      </c>
      <c r="E912" t="inlineStr">
        <is>
          <t>ÅNGE</t>
        </is>
      </c>
      <c r="G912" t="n">
        <v>5.1</v>
      </c>
      <c r="H912" t="n">
        <v>0</v>
      </c>
      <c r="I912" t="n">
        <v>0</v>
      </c>
      <c r="J912" t="n">
        <v>0</v>
      </c>
      <c r="K912" t="n">
        <v>0</v>
      </c>
      <c r="L912" t="n">
        <v>0</v>
      </c>
      <c r="M912" t="n">
        <v>0</v>
      </c>
      <c r="N912" t="n">
        <v>0</v>
      </c>
      <c r="O912" t="n">
        <v>0</v>
      </c>
      <c r="P912" t="n">
        <v>0</v>
      </c>
      <c r="Q912" t="n">
        <v>0</v>
      </c>
      <c r="R912" s="2" t="inlineStr"/>
    </row>
    <row r="913" ht="15" customHeight="1">
      <c r="A913" t="inlineStr">
        <is>
          <t>A 50651-2021</t>
        </is>
      </c>
      <c r="B913" s="1" t="n">
        <v>44459</v>
      </c>
      <c r="C913" s="1" t="n">
        <v>45939</v>
      </c>
      <c r="D913" t="inlineStr">
        <is>
          <t>VÄSTERNORRLANDS LÄN</t>
        </is>
      </c>
      <c r="E913" t="inlineStr">
        <is>
          <t>ÅNGE</t>
        </is>
      </c>
      <c r="G913" t="n">
        <v>20.6</v>
      </c>
      <c r="H913" t="n">
        <v>0</v>
      </c>
      <c r="I913" t="n">
        <v>0</v>
      </c>
      <c r="J913" t="n">
        <v>0</v>
      </c>
      <c r="K913" t="n">
        <v>0</v>
      </c>
      <c r="L913" t="n">
        <v>0</v>
      </c>
      <c r="M913" t="n">
        <v>0</v>
      </c>
      <c r="N913" t="n">
        <v>0</v>
      </c>
      <c r="O913" t="n">
        <v>0</v>
      </c>
      <c r="P913" t="n">
        <v>0</v>
      </c>
      <c r="Q913" t="n">
        <v>0</v>
      </c>
      <c r="R913" s="2" t="inlineStr"/>
    </row>
    <row r="914" ht="15" customHeight="1">
      <c r="A914" t="inlineStr">
        <is>
          <t>A 22752-2023</t>
        </is>
      </c>
      <c r="B914" s="1" t="n">
        <v>45071.94104166667</v>
      </c>
      <c r="C914" s="1" t="n">
        <v>45939</v>
      </c>
      <c r="D914" t="inlineStr">
        <is>
          <t>VÄSTERNORRLANDS LÄN</t>
        </is>
      </c>
      <c r="E914" t="inlineStr">
        <is>
          <t>ÅNGE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49156-2025</t>
        </is>
      </c>
      <c r="B915" s="1" t="n">
        <v>45938.3458912037</v>
      </c>
      <c r="C915" s="1" t="n">
        <v>45939</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40665-2025</t>
        </is>
      </c>
      <c r="B916" s="1" t="n">
        <v>45896.65663194445</v>
      </c>
      <c r="C916" s="1" t="n">
        <v>45939</v>
      </c>
      <c r="D916" t="inlineStr">
        <is>
          <t>VÄSTERNORRLANDS LÄN</t>
        </is>
      </c>
      <c r="E916" t="inlineStr">
        <is>
          <t>ÅNGE</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60779-2024</t>
        </is>
      </c>
      <c r="B917" s="1" t="n">
        <v>45644</v>
      </c>
      <c r="C917" s="1" t="n">
        <v>45939</v>
      </c>
      <c r="D917" t="inlineStr">
        <is>
          <t>VÄSTERNORRLANDS LÄN</t>
        </is>
      </c>
      <c r="E917" t="inlineStr">
        <is>
          <t>ÅNGE</t>
        </is>
      </c>
      <c r="G917" t="n">
        <v>3.1</v>
      </c>
      <c r="H917" t="n">
        <v>0</v>
      </c>
      <c r="I917" t="n">
        <v>0</v>
      </c>
      <c r="J917" t="n">
        <v>0</v>
      </c>
      <c r="K917" t="n">
        <v>0</v>
      </c>
      <c r="L917" t="n">
        <v>0</v>
      </c>
      <c r="M917" t="n">
        <v>0</v>
      </c>
      <c r="N917" t="n">
        <v>0</v>
      </c>
      <c r="O917" t="n">
        <v>0</v>
      </c>
      <c r="P917" t="n">
        <v>0</v>
      </c>
      <c r="Q917" t="n">
        <v>0</v>
      </c>
      <c r="R917" s="2" t="inlineStr"/>
    </row>
    <row r="918" ht="15" customHeight="1">
      <c r="A918" t="inlineStr">
        <is>
          <t>A 53856-2024</t>
        </is>
      </c>
      <c r="B918" s="1" t="n">
        <v>45615</v>
      </c>
      <c r="C918" s="1" t="n">
        <v>45939</v>
      </c>
      <c r="D918" t="inlineStr">
        <is>
          <t>VÄSTERNORRLANDS LÄN</t>
        </is>
      </c>
      <c r="E918" t="inlineStr">
        <is>
          <t>ÅNGE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49381-2025</t>
        </is>
      </c>
      <c r="B919" s="1" t="n">
        <v>45938.63694444444</v>
      </c>
      <c r="C919" s="1" t="n">
        <v>45939</v>
      </c>
      <c r="D919" t="inlineStr">
        <is>
          <t>VÄSTERNORRLANDS LÄN</t>
        </is>
      </c>
      <c r="E919" t="inlineStr">
        <is>
          <t>ÅNGE</t>
        </is>
      </c>
      <c r="F919" t="inlineStr">
        <is>
          <t>SCA</t>
        </is>
      </c>
      <c r="G919" t="n">
        <v>20.6</v>
      </c>
      <c r="H919" t="n">
        <v>0</v>
      </c>
      <c r="I919" t="n">
        <v>0</v>
      </c>
      <c r="J919" t="n">
        <v>0</v>
      </c>
      <c r="K919" t="n">
        <v>0</v>
      </c>
      <c r="L919" t="n">
        <v>0</v>
      </c>
      <c r="M919" t="n">
        <v>0</v>
      </c>
      <c r="N919" t="n">
        <v>0</v>
      </c>
      <c r="O919" t="n">
        <v>0</v>
      </c>
      <c r="P919" t="n">
        <v>0</v>
      </c>
      <c r="Q919" t="n">
        <v>0</v>
      </c>
      <c r="R919" s="2" t="inlineStr"/>
    </row>
    <row r="920" ht="15" customHeight="1">
      <c r="A920" t="inlineStr">
        <is>
          <t>A 39434-2025</t>
        </is>
      </c>
      <c r="B920" s="1" t="n">
        <v>45889.67811342593</v>
      </c>
      <c r="C920" s="1" t="n">
        <v>45939</v>
      </c>
      <c r="D920" t="inlineStr">
        <is>
          <t>VÄSTERNORRLANDS LÄN</t>
        </is>
      </c>
      <c r="E920" t="inlineStr">
        <is>
          <t>ÅNGE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38246-2024</t>
        </is>
      </c>
      <c r="B921" s="1" t="n">
        <v>45545.57327546296</v>
      </c>
      <c r="C921" s="1" t="n">
        <v>45939</v>
      </c>
      <c r="D921" t="inlineStr">
        <is>
          <t>VÄSTERNORRLANDS LÄN</t>
        </is>
      </c>
      <c r="E921" t="inlineStr">
        <is>
          <t>ÅNGE</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53858-2024</t>
        </is>
      </c>
      <c r="B922" s="1" t="n">
        <v>45615</v>
      </c>
      <c r="C922" s="1" t="n">
        <v>45939</v>
      </c>
      <c r="D922" t="inlineStr">
        <is>
          <t>VÄSTERNORRLANDS LÄN</t>
        </is>
      </c>
      <c r="E922" t="inlineStr">
        <is>
          <t>ÅNGE</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28428-2023</t>
        </is>
      </c>
      <c r="B923" s="1" t="n">
        <v>45102</v>
      </c>
      <c r="C923" s="1" t="n">
        <v>45939</v>
      </c>
      <c r="D923" t="inlineStr">
        <is>
          <t>VÄSTERNORRLANDS LÄN</t>
        </is>
      </c>
      <c r="E923" t="inlineStr">
        <is>
          <t>ÅNGE</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43366-2024</t>
        </is>
      </c>
      <c r="B924" s="1" t="n">
        <v>45568</v>
      </c>
      <c r="C924" s="1" t="n">
        <v>45939</v>
      </c>
      <c r="D924" t="inlineStr">
        <is>
          <t>VÄSTERNORRLANDS LÄN</t>
        </is>
      </c>
      <c r="E924" t="inlineStr">
        <is>
          <t>ÅNGE</t>
        </is>
      </c>
      <c r="G924" t="n">
        <v>1.6</v>
      </c>
      <c r="H924" t="n">
        <v>0</v>
      </c>
      <c r="I924" t="n">
        <v>0</v>
      </c>
      <c r="J924" t="n">
        <v>0</v>
      </c>
      <c r="K924" t="n">
        <v>0</v>
      </c>
      <c r="L924" t="n">
        <v>0</v>
      </c>
      <c r="M924" t="n">
        <v>0</v>
      </c>
      <c r="N924" t="n">
        <v>0</v>
      </c>
      <c r="O924" t="n">
        <v>0</v>
      </c>
      <c r="P924" t="n">
        <v>0</v>
      </c>
      <c r="Q924" t="n">
        <v>0</v>
      </c>
      <c r="R924" s="2" t="inlineStr"/>
    </row>
    <row r="925" ht="15" customHeight="1">
      <c r="A925" t="inlineStr">
        <is>
          <t>A 26943-2024</t>
        </is>
      </c>
      <c r="B925" s="1" t="n">
        <v>45470</v>
      </c>
      <c r="C925" s="1" t="n">
        <v>45939</v>
      </c>
      <c r="D925" t="inlineStr">
        <is>
          <t>VÄSTERNORRLANDS LÄN</t>
        </is>
      </c>
      <c r="E925" t="inlineStr">
        <is>
          <t>ÅNGE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53512-2023</t>
        </is>
      </c>
      <c r="B926" s="1" t="n">
        <v>45230</v>
      </c>
      <c r="C926" s="1" t="n">
        <v>45939</v>
      </c>
      <c r="D926" t="inlineStr">
        <is>
          <t>VÄSTERNORRLANDS LÄN</t>
        </is>
      </c>
      <c r="E926" t="inlineStr">
        <is>
          <t>ÅNGE</t>
        </is>
      </c>
      <c r="F926" t="inlineStr">
        <is>
          <t>Holmen skog AB</t>
        </is>
      </c>
      <c r="G926" t="n">
        <v>3</v>
      </c>
      <c r="H926" t="n">
        <v>0</v>
      </c>
      <c r="I926" t="n">
        <v>0</v>
      </c>
      <c r="J926" t="n">
        <v>0</v>
      </c>
      <c r="K926" t="n">
        <v>0</v>
      </c>
      <c r="L926" t="n">
        <v>0</v>
      </c>
      <c r="M926" t="n">
        <v>0</v>
      </c>
      <c r="N926" t="n">
        <v>0</v>
      </c>
      <c r="O926" t="n">
        <v>0</v>
      </c>
      <c r="P926" t="n">
        <v>0</v>
      </c>
      <c r="Q926" t="n">
        <v>0</v>
      </c>
      <c r="R926" s="2" t="inlineStr"/>
    </row>
    <row r="927" ht="15" customHeight="1">
      <c r="A927" t="inlineStr">
        <is>
          <t>A 48055-2025</t>
        </is>
      </c>
      <c r="B927" s="1" t="n">
        <v>45932.67922453704</v>
      </c>
      <c r="C927" s="1" t="n">
        <v>45939</v>
      </c>
      <c r="D927" t="inlineStr">
        <is>
          <t>VÄSTERNORRLANDS LÄN</t>
        </is>
      </c>
      <c r="E927" t="inlineStr">
        <is>
          <t>ÅNGE</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41173-2025</t>
        </is>
      </c>
      <c r="B928" s="1" t="n">
        <v>45898</v>
      </c>
      <c r="C928" s="1" t="n">
        <v>45939</v>
      </c>
      <c r="D928" t="inlineStr">
        <is>
          <t>VÄSTERNORRLANDS LÄN</t>
        </is>
      </c>
      <c r="E928" t="inlineStr">
        <is>
          <t>ÅNGE</t>
        </is>
      </c>
      <c r="G928" t="n">
        <v>3.6</v>
      </c>
      <c r="H928" t="n">
        <v>0</v>
      </c>
      <c r="I928" t="n">
        <v>0</v>
      </c>
      <c r="J928" t="n">
        <v>0</v>
      </c>
      <c r="K928" t="n">
        <v>0</v>
      </c>
      <c r="L928" t="n">
        <v>0</v>
      </c>
      <c r="M928" t="n">
        <v>0</v>
      </c>
      <c r="N928" t="n">
        <v>0</v>
      </c>
      <c r="O928" t="n">
        <v>0</v>
      </c>
      <c r="P928" t="n">
        <v>0</v>
      </c>
      <c r="Q928" t="n">
        <v>0</v>
      </c>
      <c r="R928" s="2" t="inlineStr"/>
    </row>
    <row r="929" ht="15" customHeight="1">
      <c r="A929" t="inlineStr">
        <is>
          <t>A 34491-2023</t>
        </is>
      </c>
      <c r="B929" s="1" t="n">
        <v>45139.94775462963</v>
      </c>
      <c r="C929" s="1" t="n">
        <v>45939</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35578-2025</t>
        </is>
      </c>
      <c r="B930" s="1" t="n">
        <v>45856.67797453704</v>
      </c>
      <c r="C930" s="1" t="n">
        <v>45939</v>
      </c>
      <c r="D930" t="inlineStr">
        <is>
          <t>VÄSTERNORRLANDS LÄN</t>
        </is>
      </c>
      <c r="E930" t="inlineStr">
        <is>
          <t>ÅNGE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10089-2023</t>
        </is>
      </c>
      <c r="B931" s="1" t="n">
        <v>44985</v>
      </c>
      <c r="C931" s="1" t="n">
        <v>45939</v>
      </c>
      <c r="D931" t="inlineStr">
        <is>
          <t>VÄSTERNORRLANDS LÄN</t>
        </is>
      </c>
      <c r="E931" t="inlineStr">
        <is>
          <t>ÅNGE</t>
        </is>
      </c>
      <c r="F931" t="inlineStr">
        <is>
          <t>SCA</t>
        </is>
      </c>
      <c r="G931" t="n">
        <v>6.7</v>
      </c>
      <c r="H931" t="n">
        <v>0</v>
      </c>
      <c r="I931" t="n">
        <v>0</v>
      </c>
      <c r="J931" t="n">
        <v>0</v>
      </c>
      <c r="K931" t="n">
        <v>0</v>
      </c>
      <c r="L931" t="n">
        <v>0</v>
      </c>
      <c r="M931" t="n">
        <v>0</v>
      </c>
      <c r="N931" t="n">
        <v>0</v>
      </c>
      <c r="O931" t="n">
        <v>0</v>
      </c>
      <c r="P931" t="n">
        <v>0</v>
      </c>
      <c r="Q931" t="n">
        <v>0</v>
      </c>
      <c r="R931" s="2" t="inlineStr"/>
    </row>
    <row r="932" ht="15" customHeight="1">
      <c r="A932" t="inlineStr">
        <is>
          <t>A 10090-2023</t>
        </is>
      </c>
      <c r="B932" s="1" t="n">
        <v>44985.94511574074</v>
      </c>
      <c r="C932" s="1" t="n">
        <v>45939</v>
      </c>
      <c r="D932" t="inlineStr">
        <is>
          <t>VÄSTERNORRLANDS LÄN</t>
        </is>
      </c>
      <c r="E932" t="inlineStr">
        <is>
          <t>ÅNGE</t>
        </is>
      </c>
      <c r="F932" t="inlineStr">
        <is>
          <t>SCA</t>
        </is>
      </c>
      <c r="G932" t="n">
        <v>8.4</v>
      </c>
      <c r="H932" t="n">
        <v>0</v>
      </c>
      <c r="I932" t="n">
        <v>0</v>
      </c>
      <c r="J932" t="n">
        <v>0</v>
      </c>
      <c r="K932" t="n">
        <v>0</v>
      </c>
      <c r="L932" t="n">
        <v>0</v>
      </c>
      <c r="M932" t="n">
        <v>0</v>
      </c>
      <c r="N932" t="n">
        <v>0</v>
      </c>
      <c r="O932" t="n">
        <v>0</v>
      </c>
      <c r="P932" t="n">
        <v>0</v>
      </c>
      <c r="Q932" t="n">
        <v>0</v>
      </c>
      <c r="R932" s="2" t="inlineStr"/>
    </row>
    <row r="933" ht="15" customHeight="1">
      <c r="A933" t="inlineStr">
        <is>
          <t>A 39005-2024</t>
        </is>
      </c>
      <c r="B933" s="1" t="n">
        <v>45548.42743055556</v>
      </c>
      <c r="C933" s="1" t="n">
        <v>45939</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48235-2025</t>
        </is>
      </c>
      <c r="B934" s="1" t="n">
        <v>45933.5321412037</v>
      </c>
      <c r="C934" s="1" t="n">
        <v>45939</v>
      </c>
      <c r="D934" t="inlineStr">
        <is>
          <t>VÄSTERNORRLANDS LÄN</t>
        </is>
      </c>
      <c r="E934" t="inlineStr">
        <is>
          <t>ÅNGE</t>
        </is>
      </c>
      <c r="G934" t="n">
        <v>3.1</v>
      </c>
      <c r="H934" t="n">
        <v>0</v>
      </c>
      <c r="I934" t="n">
        <v>0</v>
      </c>
      <c r="J934" t="n">
        <v>0</v>
      </c>
      <c r="K934" t="n">
        <v>0</v>
      </c>
      <c r="L934" t="n">
        <v>0</v>
      </c>
      <c r="M934" t="n">
        <v>0</v>
      </c>
      <c r="N934" t="n">
        <v>0</v>
      </c>
      <c r="O934" t="n">
        <v>0</v>
      </c>
      <c r="P934" t="n">
        <v>0</v>
      </c>
      <c r="Q934" t="n">
        <v>0</v>
      </c>
      <c r="R934" s="2" t="inlineStr"/>
    </row>
    <row r="935" ht="15" customHeight="1">
      <c r="A935" t="inlineStr">
        <is>
          <t>A 57593-2022</t>
        </is>
      </c>
      <c r="B935" s="1" t="n">
        <v>44896.97847222222</v>
      </c>
      <c r="C935" s="1" t="n">
        <v>45939</v>
      </c>
      <c r="D935" t="inlineStr">
        <is>
          <t>VÄSTERNORRLANDS LÄN</t>
        </is>
      </c>
      <c r="E935" t="inlineStr">
        <is>
          <t>ÅNGE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57596-2022</t>
        </is>
      </c>
      <c r="B936" s="1" t="n">
        <v>44896.97871527778</v>
      </c>
      <c r="C936" s="1" t="n">
        <v>45939</v>
      </c>
      <c r="D936" t="inlineStr">
        <is>
          <t>VÄSTERNORRLANDS LÄN</t>
        </is>
      </c>
      <c r="E936" t="inlineStr">
        <is>
          <t>ÅNGE</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39768-2025</t>
        </is>
      </c>
      <c r="B937" s="1" t="n">
        <v>45891.44842592593</v>
      </c>
      <c r="C937" s="1" t="n">
        <v>45939</v>
      </c>
      <c r="D937" t="inlineStr">
        <is>
          <t>VÄSTERNORRLANDS LÄN</t>
        </is>
      </c>
      <c r="E937" t="inlineStr">
        <is>
          <t>ÅNGE</t>
        </is>
      </c>
      <c r="G937" t="n">
        <v>10.4</v>
      </c>
      <c r="H937" t="n">
        <v>0</v>
      </c>
      <c r="I937" t="n">
        <v>0</v>
      </c>
      <c r="J937" t="n">
        <v>0</v>
      </c>
      <c r="K937" t="n">
        <v>0</v>
      </c>
      <c r="L937" t="n">
        <v>0</v>
      </c>
      <c r="M937" t="n">
        <v>0</v>
      </c>
      <c r="N937" t="n">
        <v>0</v>
      </c>
      <c r="O937" t="n">
        <v>0</v>
      </c>
      <c r="P937" t="n">
        <v>0</v>
      </c>
      <c r="Q937" t="n">
        <v>0</v>
      </c>
      <c r="R937" s="2" t="inlineStr"/>
    </row>
    <row r="938" ht="15" customHeight="1">
      <c r="A938" t="inlineStr">
        <is>
          <t>A 33720-2025</t>
        </is>
      </c>
      <c r="B938" s="1" t="n">
        <v>45841.90605324074</v>
      </c>
      <c r="C938" s="1" t="n">
        <v>45939</v>
      </c>
      <c r="D938" t="inlineStr">
        <is>
          <t>VÄSTERNORRLANDS LÄN</t>
        </is>
      </c>
      <c r="E938" t="inlineStr">
        <is>
          <t>ÅNGE</t>
        </is>
      </c>
      <c r="G938" t="n">
        <v>6.4</v>
      </c>
      <c r="H938" t="n">
        <v>0</v>
      </c>
      <c r="I938" t="n">
        <v>0</v>
      </c>
      <c r="J938" t="n">
        <v>0</v>
      </c>
      <c r="K938" t="n">
        <v>0</v>
      </c>
      <c r="L938" t="n">
        <v>0</v>
      </c>
      <c r="M938" t="n">
        <v>0</v>
      </c>
      <c r="N938" t="n">
        <v>0</v>
      </c>
      <c r="O938" t="n">
        <v>0</v>
      </c>
      <c r="P938" t="n">
        <v>0</v>
      </c>
      <c r="Q938" t="n">
        <v>0</v>
      </c>
      <c r="R938" s="2" t="inlineStr"/>
    </row>
    <row r="939" ht="15" customHeight="1">
      <c r="A939" t="inlineStr">
        <is>
          <t>A 41222-2024</t>
        </is>
      </c>
      <c r="B939" s="1" t="n">
        <v>45559.55306712963</v>
      </c>
      <c r="C939" s="1" t="n">
        <v>45939</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13091-2024</t>
        </is>
      </c>
      <c r="B940" s="1" t="n">
        <v>45385</v>
      </c>
      <c r="C940" s="1" t="n">
        <v>45939</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20776-2025</t>
        </is>
      </c>
      <c r="B941" s="1" t="n">
        <v>45776.59410879629</v>
      </c>
      <c r="C941" s="1" t="n">
        <v>45939</v>
      </c>
      <c r="D941" t="inlineStr">
        <is>
          <t>VÄSTERNORRLANDS LÄN</t>
        </is>
      </c>
      <c r="E941" t="inlineStr">
        <is>
          <t>ÅNGE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3624-2024</t>
        </is>
      </c>
      <c r="B942" s="1" t="n">
        <v>45320.95305555555</v>
      </c>
      <c r="C942" s="1" t="n">
        <v>45939</v>
      </c>
      <c r="D942" t="inlineStr">
        <is>
          <t>VÄSTERNORRLANDS LÄN</t>
        </is>
      </c>
      <c r="E942" t="inlineStr">
        <is>
          <t>ÅNGE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20718-2025</t>
        </is>
      </c>
      <c r="B943" s="1" t="n">
        <v>45776.49047453704</v>
      </c>
      <c r="C943" s="1" t="n">
        <v>45939</v>
      </c>
      <c r="D943" t="inlineStr">
        <is>
          <t>VÄSTERNORRLANDS LÄN</t>
        </is>
      </c>
      <c r="E943" t="inlineStr">
        <is>
          <t>ÅNGE</t>
        </is>
      </c>
      <c r="G943" t="n">
        <v>4.7</v>
      </c>
      <c r="H943" t="n">
        <v>0</v>
      </c>
      <c r="I943" t="n">
        <v>0</v>
      </c>
      <c r="J943" t="n">
        <v>0</v>
      </c>
      <c r="K943" t="n">
        <v>0</v>
      </c>
      <c r="L943" t="n">
        <v>0</v>
      </c>
      <c r="M943" t="n">
        <v>0</v>
      </c>
      <c r="N943" t="n">
        <v>0</v>
      </c>
      <c r="O943" t="n">
        <v>0</v>
      </c>
      <c r="P943" t="n">
        <v>0</v>
      </c>
      <c r="Q943" t="n">
        <v>0</v>
      </c>
      <c r="R943" s="2" t="inlineStr"/>
    </row>
    <row r="944" ht="15" customHeight="1">
      <c r="A944" t="inlineStr">
        <is>
          <t>A 1127-2023</t>
        </is>
      </c>
      <c r="B944" s="1" t="n">
        <v>44929</v>
      </c>
      <c r="C944" s="1" t="n">
        <v>45939</v>
      </c>
      <c r="D944" t="inlineStr">
        <is>
          <t>VÄSTERNORRLANDS LÄN</t>
        </is>
      </c>
      <c r="E944" t="inlineStr">
        <is>
          <t>ÅNGE</t>
        </is>
      </c>
      <c r="G944" t="n">
        <v>10.5</v>
      </c>
      <c r="H944" t="n">
        <v>0</v>
      </c>
      <c r="I944" t="n">
        <v>0</v>
      </c>
      <c r="J944" t="n">
        <v>0</v>
      </c>
      <c r="K944" t="n">
        <v>0</v>
      </c>
      <c r="L944" t="n">
        <v>0</v>
      </c>
      <c r="M944" t="n">
        <v>0</v>
      </c>
      <c r="N944" t="n">
        <v>0</v>
      </c>
      <c r="O944" t="n">
        <v>0</v>
      </c>
      <c r="P944" t="n">
        <v>0</v>
      </c>
      <c r="Q944" t="n">
        <v>0</v>
      </c>
      <c r="R944" s="2" t="inlineStr"/>
    </row>
    <row r="945" ht="15" customHeight="1">
      <c r="A945" t="inlineStr">
        <is>
          <t>A 39729-2025</t>
        </is>
      </c>
      <c r="B945" s="1" t="n">
        <v>45891</v>
      </c>
      <c r="C945" s="1" t="n">
        <v>45939</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49179-2025</t>
        </is>
      </c>
      <c r="B946" s="1" t="n">
        <v>45938.38579861111</v>
      </c>
      <c r="C946" s="1" t="n">
        <v>45939</v>
      </c>
      <c r="D946" t="inlineStr">
        <is>
          <t>VÄSTERNORRLANDS LÄN</t>
        </is>
      </c>
      <c r="E946" t="inlineStr">
        <is>
          <t>ÅNGE</t>
        </is>
      </c>
      <c r="G946" t="n">
        <v>2.3</v>
      </c>
      <c r="H946" t="n">
        <v>0</v>
      </c>
      <c r="I946" t="n">
        <v>0</v>
      </c>
      <c r="J946" t="n">
        <v>0</v>
      </c>
      <c r="K946" t="n">
        <v>0</v>
      </c>
      <c r="L946" t="n">
        <v>0</v>
      </c>
      <c r="M946" t="n">
        <v>0</v>
      </c>
      <c r="N946" t="n">
        <v>0</v>
      </c>
      <c r="O946" t="n">
        <v>0</v>
      </c>
      <c r="P946" t="n">
        <v>0</v>
      </c>
      <c r="Q946" t="n">
        <v>0</v>
      </c>
      <c r="R946" s="2" t="inlineStr"/>
    </row>
    <row r="947" ht="15" customHeight="1">
      <c r="A947" t="inlineStr">
        <is>
          <t>A 20864-2025</t>
        </is>
      </c>
      <c r="B947" s="1" t="n">
        <v>45777.34417824074</v>
      </c>
      <c r="C947" s="1" t="n">
        <v>45939</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41781-2024</t>
        </is>
      </c>
      <c r="B948" s="1" t="n">
        <v>45561.34938657407</v>
      </c>
      <c r="C948" s="1" t="n">
        <v>45939</v>
      </c>
      <c r="D948" t="inlineStr">
        <is>
          <t>VÄSTERNORRLANDS LÄN</t>
        </is>
      </c>
      <c r="E948" t="inlineStr">
        <is>
          <t>ÅNGE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58469-2023</t>
        </is>
      </c>
      <c r="B949" s="1" t="n">
        <v>45250</v>
      </c>
      <c r="C949" s="1" t="n">
        <v>45939</v>
      </c>
      <c r="D949" t="inlineStr">
        <is>
          <t>VÄSTERNORRLANDS LÄN</t>
        </is>
      </c>
      <c r="E949" t="inlineStr">
        <is>
          <t>ÅNGE</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49377-2025</t>
        </is>
      </c>
      <c r="B950" s="1" t="n">
        <v>45938.63626157407</v>
      </c>
      <c r="C950" s="1" t="n">
        <v>45939</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21068-2025</t>
        </is>
      </c>
      <c r="B951" s="1" t="n">
        <v>45777.59413194445</v>
      </c>
      <c r="C951" s="1" t="n">
        <v>45939</v>
      </c>
      <c r="D951" t="inlineStr">
        <is>
          <t>VÄSTERNORRLANDS LÄN</t>
        </is>
      </c>
      <c r="E951" t="inlineStr">
        <is>
          <t>ÅNGE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20868-2025</t>
        </is>
      </c>
      <c r="B952" s="1" t="n">
        <v>45777.34483796296</v>
      </c>
      <c r="C952" s="1" t="n">
        <v>45939</v>
      </c>
      <c r="D952" t="inlineStr">
        <is>
          <t>VÄSTERNORRLANDS LÄN</t>
        </is>
      </c>
      <c r="E952" t="inlineStr">
        <is>
          <t>ÅNGE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42090-2024</t>
        </is>
      </c>
      <c r="B953" s="1" t="n">
        <v>45562</v>
      </c>
      <c r="C953" s="1" t="n">
        <v>45939</v>
      </c>
      <c r="D953" t="inlineStr">
        <is>
          <t>VÄSTERNORRLANDS LÄN</t>
        </is>
      </c>
      <c r="E953" t="inlineStr">
        <is>
          <t>ÅNGE</t>
        </is>
      </c>
      <c r="F953" t="inlineStr">
        <is>
          <t>SCA</t>
        </is>
      </c>
      <c r="G953" t="n">
        <v>20.2</v>
      </c>
      <c r="H953" t="n">
        <v>0</v>
      </c>
      <c r="I953" t="n">
        <v>0</v>
      </c>
      <c r="J953" t="n">
        <v>0</v>
      </c>
      <c r="K953" t="n">
        <v>0</v>
      </c>
      <c r="L953" t="n">
        <v>0</v>
      </c>
      <c r="M953" t="n">
        <v>0</v>
      </c>
      <c r="N953" t="n">
        <v>0</v>
      </c>
      <c r="O953" t="n">
        <v>0</v>
      </c>
      <c r="P953" t="n">
        <v>0</v>
      </c>
      <c r="Q953" t="n">
        <v>0</v>
      </c>
      <c r="R953" s="2" t="inlineStr"/>
    </row>
    <row r="954" ht="15" customHeight="1">
      <c r="A954" t="inlineStr">
        <is>
          <t>A 42098-2024</t>
        </is>
      </c>
      <c r="B954" s="1" t="n">
        <v>45562.34532407407</v>
      </c>
      <c r="C954" s="1" t="n">
        <v>45939</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21176-2025</t>
        </is>
      </c>
      <c r="B955" s="1" t="n">
        <v>45779.42798611111</v>
      </c>
      <c r="C955" s="1" t="n">
        <v>45939</v>
      </c>
      <c r="D955" t="inlineStr">
        <is>
          <t>VÄSTERNORRLANDS LÄN</t>
        </is>
      </c>
      <c r="E955" t="inlineStr">
        <is>
          <t>ÅNGE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21454-2025</t>
        </is>
      </c>
      <c r="B956" s="1" t="n">
        <v>45782.55322916667</v>
      </c>
      <c r="C956" s="1" t="n">
        <v>45939</v>
      </c>
      <c r="D956" t="inlineStr">
        <is>
          <t>VÄSTERNORRLANDS LÄN</t>
        </is>
      </c>
      <c r="E956" t="inlineStr">
        <is>
          <t>ÅNGE</t>
        </is>
      </c>
      <c r="F956" t="inlineStr">
        <is>
          <t>SCA</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55324-2023</t>
        </is>
      </c>
      <c r="B957" s="1" t="n">
        <v>45237.9734837963</v>
      </c>
      <c r="C957" s="1" t="n">
        <v>45939</v>
      </c>
      <c r="D957" t="inlineStr">
        <is>
          <t>VÄSTERNORRLANDS LÄN</t>
        </is>
      </c>
      <c r="E957" t="inlineStr">
        <is>
          <t>ÅNGE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21456-2025</t>
        </is>
      </c>
      <c r="B958" s="1" t="n">
        <v>45782.55342592593</v>
      </c>
      <c r="C958" s="1" t="n">
        <v>45939</v>
      </c>
      <c r="D958" t="inlineStr">
        <is>
          <t>VÄSTERNORRLANDS LÄN</t>
        </is>
      </c>
      <c r="E958" t="inlineStr">
        <is>
          <t>ÅNGE</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4361-2024</t>
        </is>
      </c>
      <c r="B959" s="1" t="n">
        <v>45325.65047453704</v>
      </c>
      <c r="C959" s="1" t="n">
        <v>45939</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21197-2025</t>
        </is>
      </c>
      <c r="B960" s="1" t="n">
        <v>45779.46949074074</v>
      </c>
      <c r="C960" s="1" t="n">
        <v>45939</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65229-2021</t>
        </is>
      </c>
      <c r="B961" s="1" t="n">
        <v>44515</v>
      </c>
      <c r="C961" s="1" t="n">
        <v>45939</v>
      </c>
      <c r="D961" t="inlineStr">
        <is>
          <t>VÄSTERNORRLANDS LÄN</t>
        </is>
      </c>
      <c r="E961" t="inlineStr">
        <is>
          <t>ÅNGE</t>
        </is>
      </c>
      <c r="G961" t="n">
        <v>12.1</v>
      </c>
      <c r="H961" t="n">
        <v>0</v>
      </c>
      <c r="I961" t="n">
        <v>0</v>
      </c>
      <c r="J961" t="n">
        <v>0</v>
      </c>
      <c r="K961" t="n">
        <v>0</v>
      </c>
      <c r="L961" t="n">
        <v>0</v>
      </c>
      <c r="M961" t="n">
        <v>0</v>
      </c>
      <c r="N961" t="n">
        <v>0</v>
      </c>
      <c r="O961" t="n">
        <v>0</v>
      </c>
      <c r="P961" t="n">
        <v>0</v>
      </c>
      <c r="Q961" t="n">
        <v>0</v>
      </c>
      <c r="R961" s="2" t="inlineStr"/>
    </row>
    <row r="962" ht="15" customHeight="1">
      <c r="A962" t="inlineStr">
        <is>
          <t>A 21563-2025</t>
        </is>
      </c>
      <c r="B962" s="1" t="n">
        <v>45782.69822916666</v>
      </c>
      <c r="C962" s="1" t="n">
        <v>45939</v>
      </c>
      <c r="D962" t="inlineStr">
        <is>
          <t>VÄSTERNORRLANDS LÄN</t>
        </is>
      </c>
      <c r="E962" t="inlineStr">
        <is>
          <t>ÅNGE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32069-2023</t>
        </is>
      </c>
      <c r="B963" s="1" t="n">
        <v>45107</v>
      </c>
      <c r="C963" s="1" t="n">
        <v>45939</v>
      </c>
      <c r="D963" t="inlineStr">
        <is>
          <t>VÄSTERNORRLANDS LÄN</t>
        </is>
      </c>
      <c r="E963" t="inlineStr">
        <is>
          <t>ÅNGE</t>
        </is>
      </c>
      <c r="G963" t="n">
        <v>4.4</v>
      </c>
      <c r="H963" t="n">
        <v>0</v>
      </c>
      <c r="I963" t="n">
        <v>0</v>
      </c>
      <c r="J963" t="n">
        <v>0</v>
      </c>
      <c r="K963" t="n">
        <v>0</v>
      </c>
      <c r="L963" t="n">
        <v>0</v>
      </c>
      <c r="M963" t="n">
        <v>0</v>
      </c>
      <c r="N963" t="n">
        <v>0</v>
      </c>
      <c r="O963" t="n">
        <v>0</v>
      </c>
      <c r="P963" t="n">
        <v>0</v>
      </c>
      <c r="Q963" t="n">
        <v>0</v>
      </c>
      <c r="R963" s="2" t="inlineStr"/>
    </row>
    <row r="964" ht="15" customHeight="1">
      <c r="A964" t="inlineStr">
        <is>
          <t>A 45030-2024</t>
        </is>
      </c>
      <c r="B964" s="1" t="n">
        <v>45575.52089120371</v>
      </c>
      <c r="C964" s="1" t="n">
        <v>45939</v>
      </c>
      <c r="D964" t="inlineStr">
        <is>
          <t>VÄSTERNORRLANDS LÄN</t>
        </is>
      </c>
      <c r="E964" t="inlineStr">
        <is>
          <t>ÅNGE</t>
        </is>
      </c>
      <c r="G964" t="n">
        <v>1.7</v>
      </c>
      <c r="H964" t="n">
        <v>0</v>
      </c>
      <c r="I964" t="n">
        <v>0</v>
      </c>
      <c r="J964" t="n">
        <v>0</v>
      </c>
      <c r="K964" t="n">
        <v>0</v>
      </c>
      <c r="L964" t="n">
        <v>0</v>
      </c>
      <c r="M964" t="n">
        <v>0</v>
      </c>
      <c r="N964" t="n">
        <v>0</v>
      </c>
      <c r="O964" t="n">
        <v>0</v>
      </c>
      <c r="P964" t="n">
        <v>0</v>
      </c>
      <c r="Q964" t="n">
        <v>0</v>
      </c>
      <c r="R964" s="2" t="inlineStr"/>
    </row>
    <row r="965" ht="15" customHeight="1">
      <c r="A965" t="inlineStr">
        <is>
          <t>A 19829-2025</t>
        </is>
      </c>
      <c r="B965" s="1" t="n">
        <v>45771.46944444445</v>
      </c>
      <c r="C965" s="1" t="n">
        <v>45939</v>
      </c>
      <c r="D965" t="inlineStr">
        <is>
          <t>VÄSTERNORRLANDS LÄN</t>
        </is>
      </c>
      <c r="E965" t="inlineStr">
        <is>
          <t>ÅNGE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21263-2025</t>
        </is>
      </c>
      <c r="B966" s="1" t="n">
        <v>45779.61233796296</v>
      </c>
      <c r="C966" s="1" t="n">
        <v>45939</v>
      </c>
      <c r="D966" t="inlineStr">
        <is>
          <t>VÄSTERNORRLANDS LÄN</t>
        </is>
      </c>
      <c r="E966" t="inlineStr">
        <is>
          <t>ÅNGE</t>
        </is>
      </c>
      <c r="F966" t="inlineStr">
        <is>
          <t>Sveaskog</t>
        </is>
      </c>
      <c r="G966" t="n">
        <v>14.9</v>
      </c>
      <c r="H966" t="n">
        <v>0</v>
      </c>
      <c r="I966" t="n">
        <v>0</v>
      </c>
      <c r="J966" t="n">
        <v>0</v>
      </c>
      <c r="K966" t="n">
        <v>0</v>
      </c>
      <c r="L966" t="n">
        <v>0</v>
      </c>
      <c r="M966" t="n">
        <v>0</v>
      </c>
      <c r="N966" t="n">
        <v>0</v>
      </c>
      <c r="O966" t="n">
        <v>0</v>
      </c>
      <c r="P966" t="n">
        <v>0</v>
      </c>
      <c r="Q966" t="n">
        <v>0</v>
      </c>
      <c r="R966" s="2" t="inlineStr"/>
    </row>
    <row r="967" ht="15" customHeight="1">
      <c r="A967" t="inlineStr">
        <is>
          <t>A 21174-2025</t>
        </is>
      </c>
      <c r="B967" s="1" t="n">
        <v>45779.42746527777</v>
      </c>
      <c r="C967" s="1" t="n">
        <v>45939</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21251-2025</t>
        </is>
      </c>
      <c r="B968" s="1" t="n">
        <v>45779.57417824074</v>
      </c>
      <c r="C968" s="1" t="n">
        <v>45939</v>
      </c>
      <c r="D968" t="inlineStr">
        <is>
          <t>VÄSTERNORRLANDS LÄN</t>
        </is>
      </c>
      <c r="E968" t="inlineStr">
        <is>
          <t>ÅNGE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46015-2024</t>
        </is>
      </c>
      <c r="B969" s="1" t="n">
        <v>45580.67760416667</v>
      </c>
      <c r="C969" s="1" t="n">
        <v>45939</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21712-2025</t>
        </is>
      </c>
      <c r="B970" s="1" t="n">
        <v>45783.53210648148</v>
      </c>
      <c r="C970" s="1" t="n">
        <v>45939</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41302-2024</t>
        </is>
      </c>
      <c r="B971" s="1" t="n">
        <v>45559.62077546296</v>
      </c>
      <c r="C971" s="1" t="n">
        <v>45939</v>
      </c>
      <c r="D971" t="inlineStr">
        <is>
          <t>VÄSTERNORRLANDS LÄN</t>
        </is>
      </c>
      <c r="E971" t="inlineStr">
        <is>
          <t>ÅNGE</t>
        </is>
      </c>
      <c r="F971" t="inlineStr">
        <is>
          <t>Holmen skog AB</t>
        </is>
      </c>
      <c r="G971" t="n">
        <v>2</v>
      </c>
      <c r="H971" t="n">
        <v>0</v>
      </c>
      <c r="I971" t="n">
        <v>0</v>
      </c>
      <c r="J971" t="n">
        <v>0</v>
      </c>
      <c r="K971" t="n">
        <v>0</v>
      </c>
      <c r="L971" t="n">
        <v>0</v>
      </c>
      <c r="M971" t="n">
        <v>0</v>
      </c>
      <c r="N971" t="n">
        <v>0</v>
      </c>
      <c r="O971" t="n">
        <v>0</v>
      </c>
      <c r="P971" t="n">
        <v>0</v>
      </c>
      <c r="Q971" t="n">
        <v>0</v>
      </c>
      <c r="R971" s="2" t="inlineStr"/>
    </row>
    <row r="972" ht="15" customHeight="1">
      <c r="A972" t="inlineStr">
        <is>
          <t>A 16576-2023</t>
        </is>
      </c>
      <c r="B972" s="1" t="n">
        <v>45029.94251157407</v>
      </c>
      <c r="C972" s="1" t="n">
        <v>45939</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2539-2025</t>
        </is>
      </c>
      <c r="B973" s="1" t="n">
        <v>45674.61581018518</v>
      </c>
      <c r="C973" s="1" t="n">
        <v>45939</v>
      </c>
      <c r="D973" t="inlineStr">
        <is>
          <t>VÄSTERNORRLANDS LÄN</t>
        </is>
      </c>
      <c r="E973" t="inlineStr">
        <is>
          <t>ÅNGE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22187-2024</t>
        </is>
      </c>
      <c r="B974" s="1" t="n">
        <v>45446.35222222222</v>
      </c>
      <c r="C974" s="1" t="n">
        <v>45939</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21883-2025</t>
        </is>
      </c>
      <c r="B975" s="1" t="n">
        <v>45784.41361111111</v>
      </c>
      <c r="C975" s="1" t="n">
        <v>45939</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21597-2025</t>
        </is>
      </c>
      <c r="B976" s="1" t="n">
        <v>45783.34493055556</v>
      </c>
      <c r="C976" s="1" t="n">
        <v>45939</v>
      </c>
      <c r="D976" t="inlineStr">
        <is>
          <t>VÄSTERNORRLANDS LÄN</t>
        </is>
      </c>
      <c r="E976" t="inlineStr">
        <is>
          <t>ÅNGE</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25867-2024</t>
        </is>
      </c>
      <c r="B977" s="1" t="n">
        <v>45463</v>
      </c>
      <c r="C977" s="1" t="n">
        <v>45939</v>
      </c>
      <c r="D977" t="inlineStr">
        <is>
          <t>VÄSTERNORRLANDS LÄN</t>
        </is>
      </c>
      <c r="E977" t="inlineStr">
        <is>
          <t>ÅNGE</t>
        </is>
      </c>
      <c r="G977" t="n">
        <v>2.7</v>
      </c>
      <c r="H977" t="n">
        <v>0</v>
      </c>
      <c r="I977" t="n">
        <v>0</v>
      </c>
      <c r="J977" t="n">
        <v>0</v>
      </c>
      <c r="K977" t="n">
        <v>0</v>
      </c>
      <c r="L977" t="n">
        <v>0</v>
      </c>
      <c r="M977" t="n">
        <v>0</v>
      </c>
      <c r="N977" t="n">
        <v>0</v>
      </c>
      <c r="O977" t="n">
        <v>0</v>
      </c>
      <c r="P977" t="n">
        <v>0</v>
      </c>
      <c r="Q977" t="n">
        <v>0</v>
      </c>
      <c r="R977" s="2" t="inlineStr"/>
    </row>
    <row r="978" ht="15" customHeight="1">
      <c r="A978" t="inlineStr">
        <is>
          <t>A 17669-2023</t>
        </is>
      </c>
      <c r="B978" s="1" t="n">
        <v>45036.94457175926</v>
      </c>
      <c r="C978" s="1" t="n">
        <v>45939</v>
      </c>
      <c r="D978" t="inlineStr">
        <is>
          <t>VÄSTERNORRLANDS LÄN</t>
        </is>
      </c>
      <c r="E978" t="inlineStr">
        <is>
          <t>ÅNGE</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29395-2023</t>
        </is>
      </c>
      <c r="B979" s="1" t="n">
        <v>45106.4359837963</v>
      </c>
      <c r="C979" s="1" t="n">
        <v>45939</v>
      </c>
      <c r="D979" t="inlineStr">
        <is>
          <t>VÄSTERNORRLANDS LÄN</t>
        </is>
      </c>
      <c r="E979" t="inlineStr">
        <is>
          <t>ÅNGE</t>
        </is>
      </c>
      <c r="G979" t="n">
        <v>3.5</v>
      </c>
      <c r="H979" t="n">
        <v>0</v>
      </c>
      <c r="I979" t="n">
        <v>0</v>
      </c>
      <c r="J979" t="n">
        <v>0</v>
      </c>
      <c r="K979" t="n">
        <v>0</v>
      </c>
      <c r="L979" t="n">
        <v>0</v>
      </c>
      <c r="M979" t="n">
        <v>0</v>
      </c>
      <c r="N979" t="n">
        <v>0</v>
      </c>
      <c r="O979" t="n">
        <v>0</v>
      </c>
      <c r="P979" t="n">
        <v>0</v>
      </c>
      <c r="Q979" t="n">
        <v>0</v>
      </c>
      <c r="R979" s="2" t="inlineStr"/>
    </row>
    <row r="980" ht="15" customHeight="1">
      <c r="A980" t="inlineStr">
        <is>
          <t>A 21862-2025</t>
        </is>
      </c>
      <c r="B980" s="1" t="n">
        <v>45784.36519675926</v>
      </c>
      <c r="C980" s="1" t="n">
        <v>45939</v>
      </c>
      <c r="D980" t="inlineStr">
        <is>
          <t>VÄSTERNORRLANDS LÄN</t>
        </is>
      </c>
      <c r="E980" t="inlineStr">
        <is>
          <t>ÅNGE</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37503-2023</t>
        </is>
      </c>
      <c r="B981" s="1" t="n">
        <v>45157.5796875</v>
      </c>
      <c r="C981" s="1" t="n">
        <v>45939</v>
      </c>
      <c r="D981" t="inlineStr">
        <is>
          <t>VÄSTERNORRLANDS LÄN</t>
        </is>
      </c>
      <c r="E981" t="inlineStr">
        <is>
          <t>ÅNGE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21982-2025</t>
        </is>
      </c>
      <c r="B982" s="1" t="n">
        <v>45784.65660879629</v>
      </c>
      <c r="C982" s="1" t="n">
        <v>45939</v>
      </c>
      <c r="D982" t="inlineStr">
        <is>
          <t>VÄSTERNORRLANDS LÄN</t>
        </is>
      </c>
      <c r="E982" t="inlineStr">
        <is>
          <t>ÅNGE</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3323-2023</t>
        </is>
      </c>
      <c r="B983" s="1" t="n">
        <v>44945</v>
      </c>
      <c r="C983" s="1" t="n">
        <v>45939</v>
      </c>
      <c r="D983" t="inlineStr">
        <is>
          <t>VÄSTERNORRLANDS LÄN</t>
        </is>
      </c>
      <c r="E983" t="inlineStr">
        <is>
          <t>ÅNGE</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54295-2024</t>
        </is>
      </c>
      <c r="B984" s="1" t="n">
        <v>45617</v>
      </c>
      <c r="C984" s="1" t="n">
        <v>45939</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21686-2025</t>
        </is>
      </c>
      <c r="B985" s="1" t="n">
        <v>45783.490625</v>
      </c>
      <c r="C985" s="1" t="n">
        <v>45939</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21741-2025</t>
        </is>
      </c>
      <c r="B986" s="1" t="n">
        <v>45783.59415509259</v>
      </c>
      <c r="C986" s="1" t="n">
        <v>45939</v>
      </c>
      <c r="D986" t="inlineStr">
        <is>
          <t>VÄSTERNORRLANDS LÄN</t>
        </is>
      </c>
      <c r="E986" t="inlineStr">
        <is>
          <t>ÅNGE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39119-2024</t>
        </is>
      </c>
      <c r="B987" s="1" t="n">
        <v>45548.58939814815</v>
      </c>
      <c r="C987" s="1" t="n">
        <v>45939</v>
      </c>
      <c r="D987" t="inlineStr">
        <is>
          <t>VÄSTERNORRLANDS LÄN</t>
        </is>
      </c>
      <c r="E987" t="inlineStr">
        <is>
          <t>ÅNGE</t>
        </is>
      </c>
      <c r="G987" t="n">
        <v>8</v>
      </c>
      <c r="H987" t="n">
        <v>0</v>
      </c>
      <c r="I987" t="n">
        <v>0</v>
      </c>
      <c r="J987" t="n">
        <v>0</v>
      </c>
      <c r="K987" t="n">
        <v>0</v>
      </c>
      <c r="L987" t="n">
        <v>0</v>
      </c>
      <c r="M987" t="n">
        <v>0</v>
      </c>
      <c r="N987" t="n">
        <v>0</v>
      </c>
      <c r="O987" t="n">
        <v>0</v>
      </c>
      <c r="P987" t="n">
        <v>0</v>
      </c>
      <c r="Q987" t="n">
        <v>0</v>
      </c>
      <c r="R987" s="2" t="inlineStr"/>
    </row>
    <row r="988" ht="15" customHeight="1">
      <c r="A988" t="inlineStr">
        <is>
          <t>A 21685-2025</t>
        </is>
      </c>
      <c r="B988" s="1" t="n">
        <v>45783.49050925926</v>
      </c>
      <c r="C988" s="1" t="n">
        <v>45939</v>
      </c>
      <c r="D988" t="inlineStr">
        <is>
          <t>VÄSTERNORRLANDS LÄN</t>
        </is>
      </c>
      <c r="E988" t="inlineStr">
        <is>
          <t>ÅNGE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32257-2024</t>
        </is>
      </c>
      <c r="B989" s="1" t="n">
        <v>45511</v>
      </c>
      <c r="C989" s="1" t="n">
        <v>45939</v>
      </c>
      <c r="D989" t="inlineStr">
        <is>
          <t>VÄSTERNORRLANDS LÄN</t>
        </is>
      </c>
      <c r="E989" t="inlineStr">
        <is>
          <t>ÅNGE</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51377-2024</t>
        </is>
      </c>
      <c r="B990" s="1" t="n">
        <v>45604.38142361111</v>
      </c>
      <c r="C990" s="1" t="n">
        <v>45939</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60860-2022</t>
        </is>
      </c>
      <c r="B991" s="1" t="n">
        <v>44914</v>
      </c>
      <c r="C991" s="1" t="n">
        <v>45939</v>
      </c>
      <c r="D991" t="inlineStr">
        <is>
          <t>VÄSTERNORRLANDS LÄN</t>
        </is>
      </c>
      <c r="E991" t="inlineStr">
        <is>
          <t>ÅNGE</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31492-2024</t>
        </is>
      </c>
      <c r="B992" s="1" t="n">
        <v>45505</v>
      </c>
      <c r="C992" s="1" t="n">
        <v>45939</v>
      </c>
      <c r="D992" t="inlineStr">
        <is>
          <t>VÄSTERNORRLANDS LÄN</t>
        </is>
      </c>
      <c r="E992" t="inlineStr">
        <is>
          <t>ÅNGE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38800-2024</t>
        </is>
      </c>
      <c r="B993" s="1" t="n">
        <v>45547</v>
      </c>
      <c r="C993" s="1" t="n">
        <v>45939</v>
      </c>
      <c r="D993" t="inlineStr">
        <is>
          <t>VÄSTERNORRLANDS LÄN</t>
        </is>
      </c>
      <c r="E993" t="inlineStr">
        <is>
          <t>ÅNGE</t>
        </is>
      </c>
      <c r="G993" t="n">
        <v>2.6</v>
      </c>
      <c r="H993" t="n">
        <v>0</v>
      </c>
      <c r="I993" t="n">
        <v>0</v>
      </c>
      <c r="J993" t="n">
        <v>0</v>
      </c>
      <c r="K993" t="n">
        <v>0</v>
      </c>
      <c r="L993" t="n">
        <v>0</v>
      </c>
      <c r="M993" t="n">
        <v>0</v>
      </c>
      <c r="N993" t="n">
        <v>0</v>
      </c>
      <c r="O993" t="n">
        <v>0</v>
      </c>
      <c r="P993" t="n">
        <v>0</v>
      </c>
      <c r="Q993" t="n">
        <v>0</v>
      </c>
      <c r="R993" s="2" t="inlineStr"/>
    </row>
    <row r="994" ht="15" customHeight="1">
      <c r="A994" t="inlineStr">
        <is>
          <t>A 57286-2022</t>
        </is>
      </c>
      <c r="B994" s="1" t="n">
        <v>44895.94991898148</v>
      </c>
      <c r="C994" s="1" t="n">
        <v>45939</v>
      </c>
      <c r="D994" t="inlineStr">
        <is>
          <t>VÄSTERNORRLANDS LÄN</t>
        </is>
      </c>
      <c r="E994" t="inlineStr">
        <is>
          <t>ÅNGE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16572-2023</t>
        </is>
      </c>
      <c r="B995" s="1" t="n">
        <v>45029.94224537037</v>
      </c>
      <c r="C995" s="1" t="n">
        <v>45939</v>
      </c>
      <c r="D995" t="inlineStr">
        <is>
          <t>VÄSTERNORRLANDS LÄN</t>
        </is>
      </c>
      <c r="E995" t="inlineStr">
        <is>
          <t>ÅNGE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16365-2023</t>
        </is>
      </c>
      <c r="B996" s="1" t="n">
        <v>45028</v>
      </c>
      <c r="C996" s="1" t="n">
        <v>45939</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24063-2023</t>
        </is>
      </c>
      <c r="B997" s="1" t="n">
        <v>45078.94140046297</v>
      </c>
      <c r="C997" s="1" t="n">
        <v>45939</v>
      </c>
      <c r="D997" t="inlineStr">
        <is>
          <t>VÄSTERNORRLANDS LÄN</t>
        </is>
      </c>
      <c r="E997" t="inlineStr">
        <is>
          <t>ÅNGE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20880-2025</t>
        </is>
      </c>
      <c r="B998" s="1" t="n">
        <v>45777</v>
      </c>
      <c r="C998" s="1" t="n">
        <v>45939</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10087-2023</t>
        </is>
      </c>
      <c r="B999" s="1" t="n">
        <v>44985</v>
      </c>
      <c r="C999" s="1" t="n">
        <v>45939</v>
      </c>
      <c r="D999" t="inlineStr">
        <is>
          <t>VÄSTERNORRLANDS LÄN</t>
        </is>
      </c>
      <c r="E999" t="inlineStr">
        <is>
          <t>ÅNGE</t>
        </is>
      </c>
      <c r="F999" t="inlineStr">
        <is>
          <t>SCA</t>
        </is>
      </c>
      <c r="G999" t="n">
        <v>7.9</v>
      </c>
      <c r="H999" t="n">
        <v>0</v>
      </c>
      <c r="I999" t="n">
        <v>0</v>
      </c>
      <c r="J999" t="n">
        <v>0</v>
      </c>
      <c r="K999" t="n">
        <v>0</v>
      </c>
      <c r="L999" t="n">
        <v>0</v>
      </c>
      <c r="M999" t="n">
        <v>0</v>
      </c>
      <c r="N999" t="n">
        <v>0</v>
      </c>
      <c r="O999" t="n">
        <v>0</v>
      </c>
      <c r="P999" t="n">
        <v>0</v>
      </c>
      <c r="Q999" t="n">
        <v>0</v>
      </c>
      <c r="R999" s="2" t="inlineStr"/>
    </row>
    <row r="1000" ht="15" customHeight="1">
      <c r="A1000" t="inlineStr">
        <is>
          <t>A 27682-2023</t>
        </is>
      </c>
      <c r="B1000" s="1" t="n">
        <v>45097.93758101852</v>
      </c>
      <c r="C1000" s="1" t="n">
        <v>45939</v>
      </c>
      <c r="D1000" t="inlineStr">
        <is>
          <t>VÄSTERNORRLANDS LÄN</t>
        </is>
      </c>
      <c r="E1000" t="inlineStr">
        <is>
          <t>ÅNGE</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38795-2023</t>
        </is>
      </c>
      <c r="B1001" s="1" t="n">
        <v>45162</v>
      </c>
      <c r="C1001" s="1" t="n">
        <v>45939</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22219-2025</t>
        </is>
      </c>
      <c r="B1002" s="1" t="n">
        <v>45785.65849537037</v>
      </c>
      <c r="C1002" s="1" t="n">
        <v>45939</v>
      </c>
      <c r="D1002" t="inlineStr">
        <is>
          <t>VÄSTERNORRLANDS LÄN</t>
        </is>
      </c>
      <c r="E1002" t="inlineStr">
        <is>
          <t>ÅNGE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22206-2025</t>
        </is>
      </c>
      <c r="B1003" s="1" t="n">
        <v>45785.65699074074</v>
      </c>
      <c r="C1003" s="1" t="n">
        <v>45939</v>
      </c>
      <c r="D1003" t="inlineStr">
        <is>
          <t>VÄSTERNORRLANDS LÄN</t>
        </is>
      </c>
      <c r="E1003" t="inlineStr">
        <is>
          <t>ÅNGE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35979-2023</t>
        </is>
      </c>
      <c r="B1004" s="1" t="n">
        <v>45148</v>
      </c>
      <c r="C1004" s="1" t="n">
        <v>45939</v>
      </c>
      <c r="D1004" t="inlineStr">
        <is>
          <t>VÄSTERNORRLANDS LÄN</t>
        </is>
      </c>
      <c r="E1004" t="inlineStr">
        <is>
          <t>ÅNGE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26640-2024</t>
        </is>
      </c>
      <c r="B1005" s="1" t="n">
        <v>45469.92831018518</v>
      </c>
      <c r="C1005" s="1" t="n">
        <v>45939</v>
      </c>
      <c r="D1005" t="inlineStr">
        <is>
          <t>VÄSTERNORRLANDS LÄN</t>
        </is>
      </c>
      <c r="E1005" t="inlineStr">
        <is>
          <t>ÅNGE</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35582-2024</t>
        </is>
      </c>
      <c r="B1006" s="1" t="n">
        <v>45531.64800925926</v>
      </c>
      <c r="C1006" s="1" t="n">
        <v>45939</v>
      </c>
      <c r="D1006" t="inlineStr">
        <is>
          <t>VÄSTERNORRLANDS LÄN</t>
        </is>
      </c>
      <c r="E1006" t="inlineStr">
        <is>
          <t>ÅNGE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36466-2024</t>
        </is>
      </c>
      <c r="B1007" s="1" t="n">
        <v>45537.35872685185</v>
      </c>
      <c r="C1007" s="1" t="n">
        <v>45939</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52785-2024</t>
        </is>
      </c>
      <c r="B1008" s="1" t="n">
        <v>45610.55273148148</v>
      </c>
      <c r="C1008" s="1" t="n">
        <v>45939</v>
      </c>
      <c r="D1008" t="inlineStr">
        <is>
          <t>VÄSTERNORRLANDS LÄN</t>
        </is>
      </c>
      <c r="E1008" t="inlineStr">
        <is>
          <t>ÅNGE</t>
        </is>
      </c>
      <c r="F1008" t="inlineStr">
        <is>
          <t>SCA</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52786-2024</t>
        </is>
      </c>
      <c r="B1009" s="1" t="n">
        <v>45610.55283564814</v>
      </c>
      <c r="C1009" s="1" t="n">
        <v>45939</v>
      </c>
      <c r="D1009" t="inlineStr">
        <is>
          <t>VÄSTERNORRLANDS LÄN</t>
        </is>
      </c>
      <c r="E1009" t="inlineStr">
        <is>
          <t>ÅNGE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22489-2025</t>
        </is>
      </c>
      <c r="B1010" s="1" t="n">
        <v>45786.64946759259</v>
      </c>
      <c r="C1010" s="1" t="n">
        <v>45939</v>
      </c>
      <c r="D1010" t="inlineStr">
        <is>
          <t>VÄSTERNORRLANDS LÄN</t>
        </is>
      </c>
      <c r="E1010" t="inlineStr">
        <is>
          <t>ÅNGE</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22549-2025</t>
        </is>
      </c>
      <c r="B1011" s="1" t="n">
        <v>45788.48113425926</v>
      </c>
      <c r="C1011" s="1" t="n">
        <v>45939</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48787-2024</t>
        </is>
      </c>
      <c r="B1012" s="1" t="n">
        <v>45593.63888888889</v>
      </c>
      <c r="C1012" s="1" t="n">
        <v>45939</v>
      </c>
      <c r="D1012" t="inlineStr">
        <is>
          <t>VÄSTERNORRLANDS LÄN</t>
        </is>
      </c>
      <c r="E1012" t="inlineStr">
        <is>
          <t>ÅNGE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58939-2021</t>
        </is>
      </c>
      <c r="B1013" s="1" t="n">
        <v>44489</v>
      </c>
      <c r="C1013" s="1" t="n">
        <v>45939</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42969-2024</t>
        </is>
      </c>
      <c r="B1014" s="1" t="n">
        <v>45567.37300925926</v>
      </c>
      <c r="C1014" s="1" t="n">
        <v>45939</v>
      </c>
      <c r="D1014" t="inlineStr">
        <is>
          <t>VÄSTERNORRLANDS LÄN</t>
        </is>
      </c>
      <c r="E1014" t="inlineStr">
        <is>
          <t>ÅNGE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52683-2024</t>
        </is>
      </c>
      <c r="B1015" s="1" t="n">
        <v>45610</v>
      </c>
      <c r="C1015" s="1" t="n">
        <v>45939</v>
      </c>
      <c r="D1015" t="inlineStr">
        <is>
          <t>VÄSTERNORRLANDS LÄN</t>
        </is>
      </c>
      <c r="E1015" t="inlineStr">
        <is>
          <t>ÅNGE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37558-2023</t>
        </is>
      </c>
      <c r="B1016" s="1" t="n">
        <v>45159.34511574074</v>
      </c>
      <c r="C1016" s="1" t="n">
        <v>45939</v>
      </c>
      <c r="D1016" t="inlineStr">
        <is>
          <t>VÄSTERNORRLANDS LÄN</t>
        </is>
      </c>
      <c r="E1016" t="inlineStr">
        <is>
          <t>ÅNGE</t>
        </is>
      </c>
      <c r="F1016" t="inlineStr">
        <is>
          <t>Kyrkan</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34852-2023</t>
        </is>
      </c>
      <c r="B1017" s="1" t="n">
        <v>45141</v>
      </c>
      <c r="C1017" s="1" t="n">
        <v>45939</v>
      </c>
      <c r="D1017" t="inlineStr">
        <is>
          <t>VÄSTERNORRLANDS LÄN</t>
        </is>
      </c>
      <c r="E1017" t="inlineStr">
        <is>
          <t>ÅNGE</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19798-2025</t>
        </is>
      </c>
      <c r="B1018" s="1" t="n">
        <v>45771.44824074074</v>
      </c>
      <c r="C1018" s="1" t="n">
        <v>45939</v>
      </c>
      <c r="D1018" t="inlineStr">
        <is>
          <t>VÄSTERNORRLANDS LÄN</t>
        </is>
      </c>
      <c r="E1018" t="inlineStr">
        <is>
          <t>ÅNGE</t>
        </is>
      </c>
      <c r="F1018" t="inlineStr">
        <is>
          <t>SCA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22926-2025</t>
        </is>
      </c>
      <c r="B1019" s="1" t="n">
        <v>45790</v>
      </c>
      <c r="C1019" s="1" t="n">
        <v>45939</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22928-2025</t>
        </is>
      </c>
      <c r="B1020" s="1" t="n">
        <v>45790.44825231482</v>
      </c>
      <c r="C1020" s="1" t="n">
        <v>45939</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10558-2023</t>
        </is>
      </c>
      <c r="B1021" s="1" t="n">
        <v>44987.94438657408</v>
      </c>
      <c r="C1021" s="1" t="n">
        <v>45939</v>
      </c>
      <c r="D1021" t="inlineStr">
        <is>
          <t>VÄSTERNORRLANDS LÄN</t>
        </is>
      </c>
      <c r="E1021" t="inlineStr">
        <is>
          <t>ÅNGE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49487-2024</t>
        </is>
      </c>
      <c r="B1022" s="1" t="n">
        <v>45596.35813657408</v>
      </c>
      <c r="C1022" s="1" t="n">
        <v>45939</v>
      </c>
      <c r="D1022" t="inlineStr">
        <is>
          <t>VÄSTERNORRLANDS LÄN</t>
        </is>
      </c>
      <c r="E1022" t="inlineStr">
        <is>
          <t>ÅNGE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44606-2024</t>
        </is>
      </c>
      <c r="B1023" s="1" t="n">
        <v>45574.51195601852</v>
      </c>
      <c r="C1023" s="1" t="n">
        <v>45939</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44626-2024</t>
        </is>
      </c>
      <c r="B1024" s="1" t="n">
        <v>45574.51378472222</v>
      </c>
      <c r="C1024" s="1" t="n">
        <v>45939</v>
      </c>
      <c r="D1024" t="inlineStr">
        <is>
          <t>VÄSTERNORRLANDS LÄN</t>
        </is>
      </c>
      <c r="E1024" t="inlineStr">
        <is>
          <t>ÅNGE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22791-2025</t>
        </is>
      </c>
      <c r="B1025" s="1" t="n">
        <v>45789.65663194445</v>
      </c>
      <c r="C1025" s="1" t="n">
        <v>45939</v>
      </c>
      <c r="D1025" t="inlineStr">
        <is>
          <t>VÄSTERNORRLANDS LÄN</t>
        </is>
      </c>
      <c r="E1025" t="inlineStr">
        <is>
          <t>ÅNGE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61781-2023</t>
        </is>
      </c>
      <c r="B1026" s="1" t="n">
        <v>45265.95708333333</v>
      </c>
      <c r="C1026" s="1" t="n">
        <v>45939</v>
      </c>
      <c r="D1026" t="inlineStr">
        <is>
          <t>VÄSTERNORRLANDS LÄN</t>
        </is>
      </c>
      <c r="E1026" t="inlineStr">
        <is>
          <t>ÅNGE</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23091-2025</t>
        </is>
      </c>
      <c r="B1027" s="1" t="n">
        <v>45791.34456018519</v>
      </c>
      <c r="C1027" s="1" t="n">
        <v>45939</v>
      </c>
      <c r="D1027" t="inlineStr">
        <is>
          <t>VÄSTERNORRLANDS LÄN</t>
        </is>
      </c>
      <c r="E1027" t="inlineStr">
        <is>
          <t>ÅNGE</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49187-2024</t>
        </is>
      </c>
      <c r="B1028" s="1" t="n">
        <v>45595.34490740741</v>
      </c>
      <c r="C1028" s="1" t="n">
        <v>45939</v>
      </c>
      <c r="D1028" t="inlineStr">
        <is>
          <t>VÄSTERNORRLANDS LÄN</t>
        </is>
      </c>
      <c r="E1028" t="inlineStr">
        <is>
          <t>ÅNGE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23580-2025</t>
        </is>
      </c>
      <c r="B1029" s="1" t="n">
        <v>45792.62555555555</v>
      </c>
      <c r="C1029" s="1" t="n">
        <v>45939</v>
      </c>
      <c r="D1029" t="inlineStr">
        <is>
          <t>VÄSTERNORRLANDS LÄN</t>
        </is>
      </c>
      <c r="E1029" t="inlineStr">
        <is>
          <t>ÅNGE</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23343-2025</t>
        </is>
      </c>
      <c r="B1030" s="1" t="n">
        <v>45791.65702546296</v>
      </c>
      <c r="C1030" s="1" t="n">
        <v>45939</v>
      </c>
      <c r="D1030" t="inlineStr">
        <is>
          <t>VÄSTERNORRLANDS LÄN</t>
        </is>
      </c>
      <c r="E1030" t="inlineStr">
        <is>
          <t>ÅNGE</t>
        </is>
      </c>
      <c r="F1030" t="inlineStr">
        <is>
          <t>SCA</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28873-2024</t>
        </is>
      </c>
      <c r="B1031" s="1" t="n">
        <v>45478.94766203704</v>
      </c>
      <c r="C1031" s="1" t="n">
        <v>45939</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31563-2024</t>
        </is>
      </c>
      <c r="B1032" s="1" t="n">
        <v>45505</v>
      </c>
      <c r="C1032" s="1" t="n">
        <v>45939</v>
      </c>
      <c r="D1032" t="inlineStr">
        <is>
          <t>VÄSTERNORRLANDS LÄN</t>
        </is>
      </c>
      <c r="E1032" t="inlineStr">
        <is>
          <t>ÅNGE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23573-2025</t>
        </is>
      </c>
      <c r="B1033" s="1" t="n">
        <v>45792.61497685185</v>
      </c>
      <c r="C1033" s="1" t="n">
        <v>45939</v>
      </c>
      <c r="D1033" t="inlineStr">
        <is>
          <t>VÄSTERNORRLANDS LÄN</t>
        </is>
      </c>
      <c r="E1033" t="inlineStr">
        <is>
          <t>ÅNGE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23590-2025</t>
        </is>
      </c>
      <c r="B1034" s="1" t="n">
        <v>45792.63627314815</v>
      </c>
      <c r="C1034" s="1" t="n">
        <v>45939</v>
      </c>
      <c r="D1034" t="inlineStr">
        <is>
          <t>VÄSTERNORRLANDS LÄN</t>
        </is>
      </c>
      <c r="E1034" t="inlineStr">
        <is>
          <t>ÅNGE</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23495-2025</t>
        </is>
      </c>
      <c r="B1035" s="1" t="n">
        <v>45792.46967592592</v>
      </c>
      <c r="C1035" s="1" t="n">
        <v>45939</v>
      </c>
      <c r="D1035" t="inlineStr">
        <is>
          <t>VÄSTERNORRLANDS LÄN</t>
        </is>
      </c>
      <c r="E1035" t="inlineStr">
        <is>
          <t>ÅNGE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23589-2025</t>
        </is>
      </c>
      <c r="B1036" s="1" t="n">
        <v>45792.63618055556</v>
      </c>
      <c r="C1036" s="1" t="n">
        <v>45939</v>
      </c>
      <c r="D1036" t="inlineStr">
        <is>
          <t>VÄSTERNORRLANDS LÄN</t>
        </is>
      </c>
      <c r="E1036" t="inlineStr">
        <is>
          <t>ÅNGE</t>
        </is>
      </c>
      <c r="F1036" t="inlineStr">
        <is>
          <t>SCA</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34705-2023</t>
        </is>
      </c>
      <c r="B1037" s="1" t="n">
        <v>45140.96452546296</v>
      </c>
      <c r="C1037" s="1" t="n">
        <v>45939</v>
      </c>
      <c r="D1037" t="inlineStr">
        <is>
          <t>VÄSTERNORRLANDS LÄN</t>
        </is>
      </c>
      <c r="E1037" t="inlineStr">
        <is>
          <t>ÅNGE</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34750-2023</t>
        </is>
      </c>
      <c r="B1038" s="1" t="n">
        <v>45139</v>
      </c>
      <c r="C1038" s="1" t="n">
        <v>45939</v>
      </c>
      <c r="D1038" t="inlineStr">
        <is>
          <t>VÄSTERNORRLANDS LÄN</t>
        </is>
      </c>
      <c r="E1038" t="inlineStr">
        <is>
          <t>ÅNGE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69790-2021</t>
        </is>
      </c>
      <c r="B1039" s="1" t="n">
        <v>44532.605625</v>
      </c>
      <c r="C1039" s="1" t="n">
        <v>45939</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3330-2025</t>
        </is>
      </c>
      <c r="B1040" s="1" t="n">
        <v>45679.70041666667</v>
      </c>
      <c r="C1040" s="1" t="n">
        <v>45939</v>
      </c>
      <c r="D1040" t="inlineStr">
        <is>
          <t>VÄSTERNORRLANDS LÄN</t>
        </is>
      </c>
      <c r="E1040" t="inlineStr">
        <is>
          <t>ÅNGE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23252-2025</t>
        </is>
      </c>
      <c r="B1041" s="1" t="n">
        <v>45791.53157407408</v>
      </c>
      <c r="C1041" s="1" t="n">
        <v>45939</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23529-2025</t>
        </is>
      </c>
      <c r="B1042" s="1" t="n">
        <v>45792.53158564815</v>
      </c>
      <c r="C1042" s="1" t="n">
        <v>45939</v>
      </c>
      <c r="D1042" t="inlineStr">
        <is>
          <t>VÄSTERNORRLANDS LÄN</t>
        </is>
      </c>
      <c r="E1042" t="inlineStr">
        <is>
          <t>ÅNGE</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23552-2025</t>
        </is>
      </c>
      <c r="B1043" s="1" t="n">
        <v>45792.5738425926</v>
      </c>
      <c r="C1043" s="1" t="n">
        <v>45939</v>
      </c>
      <c r="D1043" t="inlineStr">
        <is>
          <t>VÄSTERNORRLANDS LÄN</t>
        </is>
      </c>
      <c r="E1043" t="inlineStr">
        <is>
          <t>ÅNGE</t>
        </is>
      </c>
      <c r="F1043" t="inlineStr">
        <is>
          <t>SCA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23748-2025</t>
        </is>
      </c>
      <c r="B1044" s="1" t="n">
        <v>45793.44755787037</v>
      </c>
      <c r="C1044" s="1" t="n">
        <v>45939</v>
      </c>
      <c r="D1044" t="inlineStr">
        <is>
          <t>VÄSTERNORRLANDS LÄN</t>
        </is>
      </c>
      <c r="E1044" t="inlineStr">
        <is>
          <t>ÅNGE</t>
        </is>
      </c>
      <c r="F1044" t="inlineStr">
        <is>
          <t>Sveaskog</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43145-2024</t>
        </is>
      </c>
      <c r="B1045" s="1" t="n">
        <v>45567.63030092593</v>
      </c>
      <c r="C1045" s="1" t="n">
        <v>45939</v>
      </c>
      <c r="D1045" t="inlineStr">
        <is>
          <t>VÄSTERNORRLANDS LÄN</t>
        </is>
      </c>
      <c r="E1045" t="inlineStr">
        <is>
          <t>ÅNGE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23899-2025</t>
        </is>
      </c>
      <c r="B1046" s="1" t="n">
        <v>45794.34414351852</v>
      </c>
      <c r="C1046" s="1" t="n">
        <v>45939</v>
      </c>
      <c r="D1046" t="inlineStr">
        <is>
          <t>VÄSTERNORRLANDS LÄN</t>
        </is>
      </c>
      <c r="E1046" t="inlineStr">
        <is>
          <t>ÅNGE</t>
        </is>
      </c>
      <c r="F1046" t="inlineStr">
        <is>
          <t>SCA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23917-2025</t>
        </is>
      </c>
      <c r="B1047" s="1" t="n">
        <v>45795.34481481482</v>
      </c>
      <c r="C1047" s="1" t="n">
        <v>45939</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31229-2023</t>
        </is>
      </c>
      <c r="B1048" s="1" t="n">
        <v>45114</v>
      </c>
      <c r="C1048" s="1" t="n">
        <v>45939</v>
      </c>
      <c r="D1048" t="inlineStr">
        <is>
          <t>VÄSTERNORRLANDS LÄN</t>
        </is>
      </c>
      <c r="E1048" t="inlineStr">
        <is>
          <t>ÅNGE</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56188-2024</t>
        </is>
      </c>
      <c r="B1049" s="1" t="n">
        <v>45624.57800925926</v>
      </c>
      <c r="C1049" s="1" t="n">
        <v>45939</v>
      </c>
      <c r="D1049" t="inlineStr">
        <is>
          <t>VÄSTERNORRLANDS LÄN</t>
        </is>
      </c>
      <c r="E1049" t="inlineStr">
        <is>
          <t>ÅNGE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39843-2023</t>
        </is>
      </c>
      <c r="B1050" s="1" t="n">
        <v>45168</v>
      </c>
      <c r="C1050" s="1" t="n">
        <v>45939</v>
      </c>
      <c r="D1050" t="inlineStr">
        <is>
          <t>VÄSTERNORRLANDS LÄN</t>
        </is>
      </c>
      <c r="E1050" t="inlineStr">
        <is>
          <t>ÅNGE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48690-2024</t>
        </is>
      </c>
      <c r="B1051" s="1" t="n">
        <v>45593.50704861111</v>
      </c>
      <c r="C1051" s="1" t="n">
        <v>45939</v>
      </c>
      <c r="D1051" t="inlineStr">
        <is>
          <t>VÄSTERNORRLANDS LÄN</t>
        </is>
      </c>
      <c r="E1051" t="inlineStr">
        <is>
          <t>ÅNGE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23975-2025</t>
        </is>
      </c>
      <c r="B1052" s="1" t="n">
        <v>45796.38614583333</v>
      </c>
      <c r="C1052" s="1" t="n">
        <v>45939</v>
      </c>
      <c r="D1052" t="inlineStr">
        <is>
          <t>VÄSTERNORRLANDS LÄN</t>
        </is>
      </c>
      <c r="E1052" t="inlineStr">
        <is>
          <t>ÅNGE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23976-2025</t>
        </is>
      </c>
      <c r="B1053" s="1" t="n">
        <v>45796.38625</v>
      </c>
      <c r="C1053" s="1" t="n">
        <v>45939</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23921-2025</t>
        </is>
      </c>
      <c r="B1054" s="1" t="n">
        <v>45795.34513888889</v>
      </c>
      <c r="C1054" s="1" t="n">
        <v>45939</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54079-2023</t>
        </is>
      </c>
      <c r="B1055" s="1" t="n">
        <v>45231</v>
      </c>
      <c r="C1055" s="1" t="n">
        <v>45939</v>
      </c>
      <c r="D1055" t="inlineStr">
        <is>
          <t>VÄSTERNORRLANDS LÄN</t>
        </is>
      </c>
      <c r="E1055" t="inlineStr">
        <is>
          <t>ÅNGE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19342-2024</t>
        </is>
      </c>
      <c r="B1056" s="1" t="n">
        <v>45428</v>
      </c>
      <c r="C1056" s="1" t="n">
        <v>45939</v>
      </c>
      <c r="D1056" t="inlineStr">
        <is>
          <t>VÄSTERNORRLANDS LÄN</t>
        </is>
      </c>
      <c r="E1056" t="inlineStr">
        <is>
          <t>ÅNGE</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29702-2024</t>
        </is>
      </c>
      <c r="B1057" s="1" t="n">
        <v>45485.31525462963</v>
      </c>
      <c r="C1057" s="1" t="n">
        <v>45939</v>
      </c>
      <c r="D1057" t="inlineStr">
        <is>
          <t>VÄSTERNORRLANDS LÄN</t>
        </is>
      </c>
      <c r="E1057" t="inlineStr">
        <is>
          <t>ÅNGE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26641-2024</t>
        </is>
      </c>
      <c r="B1058" s="1" t="n">
        <v>45469.92836805555</v>
      </c>
      <c r="C1058" s="1" t="n">
        <v>45939</v>
      </c>
      <c r="D1058" t="inlineStr">
        <is>
          <t>VÄSTERNORRLANDS LÄN</t>
        </is>
      </c>
      <c r="E1058" t="inlineStr">
        <is>
          <t>ÅNGE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41741-2023</t>
        </is>
      </c>
      <c r="B1059" s="1" t="n">
        <v>45176.42164351852</v>
      </c>
      <c r="C1059" s="1" t="n">
        <v>45939</v>
      </c>
      <c r="D1059" t="inlineStr">
        <is>
          <t>VÄSTERNORRLANDS LÄN</t>
        </is>
      </c>
      <c r="E1059" t="inlineStr">
        <is>
          <t>ÅNGE</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37992-2024</t>
        </is>
      </c>
      <c r="B1060" s="1" t="n">
        <v>45544.59524305556</v>
      </c>
      <c r="C1060" s="1" t="n">
        <v>45939</v>
      </c>
      <c r="D1060" t="inlineStr">
        <is>
          <t>VÄSTERNORRLANDS LÄN</t>
        </is>
      </c>
      <c r="E1060" t="inlineStr">
        <is>
          <t>ÅNGE</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57516-2023</t>
        </is>
      </c>
      <c r="B1061" s="1" t="n">
        <v>45246.44665509259</v>
      </c>
      <c r="C1061" s="1" t="n">
        <v>45939</v>
      </c>
      <c r="D1061" t="inlineStr">
        <is>
          <t>VÄSTERNORRLANDS LÄN</t>
        </is>
      </c>
      <c r="E1061" t="inlineStr">
        <is>
          <t>ÅNGE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23069-2024</t>
        </is>
      </c>
      <c r="B1062" s="1" t="n">
        <v>45450</v>
      </c>
      <c r="C1062" s="1" t="n">
        <v>45939</v>
      </c>
      <c r="D1062" t="inlineStr">
        <is>
          <t>VÄSTERNORRLANDS LÄN</t>
        </is>
      </c>
      <c r="E1062" t="inlineStr">
        <is>
          <t>ÅNGE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41575-2024</t>
        </is>
      </c>
      <c r="B1063" s="1" t="n">
        <v>45560.55106481481</v>
      </c>
      <c r="C1063" s="1" t="n">
        <v>45939</v>
      </c>
      <c r="D1063" t="inlineStr">
        <is>
          <t>VÄSTERNORRLANDS LÄN</t>
        </is>
      </c>
      <c r="E1063" t="inlineStr">
        <is>
          <t>ÅNGE</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24008-2025</t>
        </is>
      </c>
      <c r="B1064" s="1" t="n">
        <v>45796.43841435185</v>
      </c>
      <c r="C1064" s="1" t="n">
        <v>45939</v>
      </c>
      <c r="D1064" t="inlineStr">
        <is>
          <t>VÄSTERNORRLANDS LÄN</t>
        </is>
      </c>
      <c r="E1064" t="inlineStr">
        <is>
          <t>ÅNGE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25035-2023</t>
        </is>
      </c>
      <c r="B1065" s="1" t="n">
        <v>45085</v>
      </c>
      <c r="C1065" s="1" t="n">
        <v>45939</v>
      </c>
      <c r="D1065" t="inlineStr">
        <is>
          <t>VÄSTERNORRLANDS LÄN</t>
        </is>
      </c>
      <c r="E1065" t="inlineStr">
        <is>
          <t>ÅNGE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19007-2025</t>
        </is>
      </c>
      <c r="B1066" s="1" t="n">
        <v>45764.58515046296</v>
      </c>
      <c r="C1066" s="1" t="n">
        <v>45939</v>
      </c>
      <c r="D1066" t="inlineStr">
        <is>
          <t>VÄSTERNORRLANDS LÄN</t>
        </is>
      </c>
      <c r="E1066" t="inlineStr">
        <is>
          <t>ÅNGE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60004-2023</t>
        </is>
      </c>
      <c r="B1067" s="1" t="n">
        <v>45257</v>
      </c>
      <c r="C1067" s="1" t="n">
        <v>45939</v>
      </c>
      <c r="D1067" t="inlineStr">
        <is>
          <t>VÄSTERNORRLANDS LÄN</t>
        </is>
      </c>
      <c r="E1067" t="inlineStr">
        <is>
          <t>ÅNGE</t>
        </is>
      </c>
      <c r="F1067" t="inlineStr">
        <is>
          <t>SCA</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40755-2023</t>
        </is>
      </c>
      <c r="B1068" s="1" t="n">
        <v>45170</v>
      </c>
      <c r="C1068" s="1" t="n">
        <v>45939</v>
      </c>
      <c r="D1068" t="inlineStr">
        <is>
          <t>VÄSTERNORRLANDS LÄN</t>
        </is>
      </c>
      <c r="E1068" t="inlineStr">
        <is>
          <t>ÅNGE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41284-2024</t>
        </is>
      </c>
      <c r="B1069" s="1" t="n">
        <v>45559.59520833333</v>
      </c>
      <c r="C1069" s="1" t="n">
        <v>45939</v>
      </c>
      <c r="D1069" t="inlineStr">
        <is>
          <t>VÄSTERNORRLANDS LÄN</t>
        </is>
      </c>
      <c r="E1069" t="inlineStr">
        <is>
          <t>ÅNGE</t>
        </is>
      </c>
      <c r="F1069" t="inlineStr">
        <is>
          <t>SCA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43622-2023</t>
        </is>
      </c>
      <c r="B1070" s="1" t="n">
        <v>45184.70777777778</v>
      </c>
      <c r="C1070" s="1" t="n">
        <v>45939</v>
      </c>
      <c r="D1070" t="inlineStr">
        <is>
          <t>VÄSTERNORRLANDS LÄN</t>
        </is>
      </c>
      <c r="E1070" t="inlineStr">
        <is>
          <t>ÅNGE</t>
        </is>
      </c>
      <c r="F1070" t="inlineStr">
        <is>
          <t>Holmen skog AB</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32901-2023</t>
        </is>
      </c>
      <c r="B1071" s="1" t="n">
        <v>45124.95063657407</v>
      </c>
      <c r="C1071" s="1" t="n">
        <v>45939</v>
      </c>
      <c r="D1071" t="inlineStr">
        <is>
          <t>VÄSTERNORRLANDS LÄN</t>
        </is>
      </c>
      <c r="E1071" t="inlineStr">
        <is>
          <t>ÅNGE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16903-2024</t>
        </is>
      </c>
      <c r="B1072" s="1" t="n">
        <v>45411.63106481481</v>
      </c>
      <c r="C1072" s="1" t="n">
        <v>45939</v>
      </c>
      <c r="D1072" t="inlineStr">
        <is>
          <t>VÄSTERNORRLANDS LÄN</t>
        </is>
      </c>
      <c r="E1072" t="inlineStr">
        <is>
          <t>ÅNGE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16915-2024</t>
        </is>
      </c>
      <c r="B1073" s="1" t="n">
        <v>45411.65185185185</v>
      </c>
      <c r="C1073" s="1" t="n">
        <v>45939</v>
      </c>
      <c r="D1073" t="inlineStr">
        <is>
          <t>VÄSTERNORRLANDS LÄN</t>
        </is>
      </c>
      <c r="E1073" t="inlineStr">
        <is>
          <t>ÅNGE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5613-2024</t>
        </is>
      </c>
      <c r="B1074" s="1" t="n">
        <v>45334</v>
      </c>
      <c r="C1074" s="1" t="n">
        <v>45939</v>
      </c>
      <c r="D1074" t="inlineStr">
        <is>
          <t>VÄSTERNORRLANDS LÄN</t>
        </is>
      </c>
      <c r="E1074" t="inlineStr">
        <is>
          <t>ÅNGE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54456-2024</t>
        </is>
      </c>
      <c r="B1075" s="1" t="n">
        <v>45617.53160879629</v>
      </c>
      <c r="C1075" s="1" t="n">
        <v>45939</v>
      </c>
      <c r="D1075" t="inlineStr">
        <is>
          <t>VÄSTERNORRLANDS LÄN</t>
        </is>
      </c>
      <c r="E1075" t="inlineStr">
        <is>
          <t>ÅNGE</t>
        </is>
      </c>
      <c r="F1075" t="inlineStr">
        <is>
          <t>SCA</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25311-2023</t>
        </is>
      </c>
      <c r="B1076" s="1" t="n">
        <v>45086.93869212963</v>
      </c>
      <c r="C1076" s="1" t="n">
        <v>45939</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24458-2025</t>
        </is>
      </c>
      <c r="B1077" s="1" t="n">
        <v>45798.34476851852</v>
      </c>
      <c r="C1077" s="1" t="n">
        <v>45939</v>
      </c>
      <c r="D1077" t="inlineStr">
        <is>
          <t>VÄSTERNORRLANDS LÄN</t>
        </is>
      </c>
      <c r="E1077" t="inlineStr">
        <is>
          <t>ÅNGE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4904-2024</t>
        </is>
      </c>
      <c r="B1078" s="1" t="n">
        <v>45329.47856481482</v>
      </c>
      <c r="C1078" s="1" t="n">
        <v>45939</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29462-2024</t>
        </is>
      </c>
      <c r="B1079" s="1" t="n">
        <v>45483.96979166667</v>
      </c>
      <c r="C1079" s="1" t="n">
        <v>45939</v>
      </c>
      <c r="D1079" t="inlineStr">
        <is>
          <t>VÄSTERNORRLANDS LÄN</t>
        </is>
      </c>
      <c r="E1079" t="inlineStr">
        <is>
          <t>ÅNGE</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29390-2021</t>
        </is>
      </c>
      <c r="B1080" s="1" t="n">
        <v>44361</v>
      </c>
      <c r="C1080" s="1" t="n">
        <v>45939</v>
      </c>
      <c r="D1080" t="inlineStr">
        <is>
          <t>VÄSTERNORRLANDS LÄN</t>
        </is>
      </c>
      <c r="E1080" t="inlineStr">
        <is>
          <t>ÅNGE</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30054-2024</t>
        </is>
      </c>
      <c r="B1081" s="1" t="n">
        <v>45488.94758101852</v>
      </c>
      <c r="C1081" s="1" t="n">
        <v>45939</v>
      </c>
      <c r="D1081" t="inlineStr">
        <is>
          <t>VÄSTERNORRLANDS LÄN</t>
        </is>
      </c>
      <c r="E1081" t="inlineStr">
        <is>
          <t>ÅNGE</t>
        </is>
      </c>
      <c r="F1081" t="inlineStr">
        <is>
          <t>SCA</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44178-2023</t>
        </is>
      </c>
      <c r="B1082" s="1" t="n">
        <v>45183</v>
      </c>
      <c r="C1082" s="1" t="n">
        <v>45939</v>
      </c>
      <c r="D1082" t="inlineStr">
        <is>
          <t>VÄSTERNORRLANDS LÄN</t>
        </is>
      </c>
      <c r="E1082" t="inlineStr">
        <is>
          <t>ÅNGE</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24357-2025</t>
        </is>
      </c>
      <c r="B1083" s="1" t="n">
        <v>45797.59467592592</v>
      </c>
      <c r="C1083" s="1" t="n">
        <v>45939</v>
      </c>
      <c r="D1083" t="inlineStr">
        <is>
          <t>VÄSTERNORRLANDS LÄN</t>
        </is>
      </c>
      <c r="E1083" t="inlineStr">
        <is>
          <t>ÅNGE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24207-2025</t>
        </is>
      </c>
      <c r="B1084" s="1" t="n">
        <v>45797.34439814815</v>
      </c>
      <c r="C1084" s="1" t="n">
        <v>45939</v>
      </c>
      <c r="D1084" t="inlineStr">
        <is>
          <t>VÄSTERNORRLANDS LÄN</t>
        </is>
      </c>
      <c r="E1084" t="inlineStr">
        <is>
          <t>ÅNGE</t>
        </is>
      </c>
      <c r="F1084" t="inlineStr">
        <is>
          <t>SCA</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8648-2025</t>
        </is>
      </c>
      <c r="B1085" s="1" t="n">
        <v>45712.34501157407</v>
      </c>
      <c r="C1085" s="1" t="n">
        <v>45939</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27952-2024</t>
        </is>
      </c>
      <c r="B1086" s="1" t="n">
        <v>45476.33063657407</v>
      </c>
      <c r="C1086" s="1" t="n">
        <v>45939</v>
      </c>
      <c r="D1086" t="inlineStr">
        <is>
          <t>VÄSTERNORRLANDS LÄN</t>
        </is>
      </c>
      <c r="E1086" t="inlineStr">
        <is>
          <t>ÅNGE</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32439-2024</t>
        </is>
      </c>
      <c r="B1087" s="1" t="n">
        <v>45512</v>
      </c>
      <c r="C1087" s="1" t="n">
        <v>45939</v>
      </c>
      <c r="D1087" t="inlineStr">
        <is>
          <t>VÄSTERNORRLANDS LÄN</t>
        </is>
      </c>
      <c r="E1087" t="inlineStr">
        <is>
          <t>ÅNGE</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24292-2025</t>
        </is>
      </c>
      <c r="B1088" s="1" t="n">
        <v>45797.46657407407</v>
      </c>
      <c r="C1088" s="1" t="n">
        <v>45939</v>
      </c>
      <c r="D1088" t="inlineStr">
        <is>
          <t>VÄSTERNORRLANDS LÄN</t>
        </is>
      </c>
      <c r="E1088" t="inlineStr">
        <is>
          <t>ÅNGE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60363-2024</t>
        </is>
      </c>
      <c r="B1089" s="1" t="n">
        <v>45643</v>
      </c>
      <c r="C1089" s="1" t="n">
        <v>45939</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51070-2024</t>
        </is>
      </c>
      <c r="B1090" s="1" t="n">
        <v>45603</v>
      </c>
      <c r="C1090" s="1" t="n">
        <v>45939</v>
      </c>
      <c r="D1090" t="inlineStr">
        <is>
          <t>VÄSTERNORRLANDS LÄN</t>
        </is>
      </c>
      <c r="E1090" t="inlineStr">
        <is>
          <t>ÅNGE</t>
        </is>
      </c>
      <c r="G1090" t="n">
        <v>11.1</v>
      </c>
      <c r="H1090" t="n">
        <v>0</v>
      </c>
      <c r="I1090" t="n">
        <v>0</v>
      </c>
      <c r="J1090" t="n">
        <v>0</v>
      </c>
      <c r="K1090" t="n">
        <v>0</v>
      </c>
      <c r="L1090" t="n">
        <v>0</v>
      </c>
      <c r="M1090" t="n">
        <v>0</v>
      </c>
      <c r="N1090" t="n">
        <v>0</v>
      </c>
      <c r="O1090" t="n">
        <v>0</v>
      </c>
      <c r="P1090" t="n">
        <v>0</v>
      </c>
      <c r="Q1090" t="n">
        <v>0</v>
      </c>
      <c r="R1090" s="2" t="inlineStr"/>
    </row>
    <row r="1091" ht="15" customHeight="1">
      <c r="A1091" t="inlineStr">
        <is>
          <t>A 60514-2024</t>
        </is>
      </c>
      <c r="B1091" s="1" t="n">
        <v>45643.67474537037</v>
      </c>
      <c r="C1091" s="1" t="n">
        <v>45939</v>
      </c>
      <c r="D1091" t="inlineStr">
        <is>
          <t>VÄSTERNORRLANDS LÄN</t>
        </is>
      </c>
      <c r="E1091" t="inlineStr">
        <is>
          <t>ÅNGE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4142-2024</t>
        </is>
      </c>
      <c r="B1092" s="1" t="n">
        <v>45323</v>
      </c>
      <c r="C1092" s="1" t="n">
        <v>45939</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27853-2024</t>
        </is>
      </c>
      <c r="B1093" s="1" t="n">
        <v>45475</v>
      </c>
      <c r="C1093" s="1" t="n">
        <v>45939</v>
      </c>
      <c r="D1093" t="inlineStr">
        <is>
          <t>VÄSTERNORRLANDS LÄN</t>
        </is>
      </c>
      <c r="E1093" t="inlineStr">
        <is>
          <t>ÅNGE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10781-2024</t>
        </is>
      </c>
      <c r="B1094" s="1" t="n">
        <v>45369.59635416666</v>
      </c>
      <c r="C1094" s="1" t="n">
        <v>45939</v>
      </c>
      <c r="D1094" t="inlineStr">
        <is>
          <t>VÄSTERNORRLANDS LÄN</t>
        </is>
      </c>
      <c r="E1094" t="inlineStr">
        <is>
          <t>ÅNGE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52665-2024</t>
        </is>
      </c>
      <c r="B1095" s="1" t="n">
        <v>45610.36549768518</v>
      </c>
      <c r="C1095" s="1" t="n">
        <v>45939</v>
      </c>
      <c r="D1095" t="inlineStr">
        <is>
          <t>VÄSTERNORRLANDS LÄN</t>
        </is>
      </c>
      <c r="E1095" t="inlineStr">
        <is>
          <t>ÅNGE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24627-2025</t>
        </is>
      </c>
      <c r="B1096" s="1" t="n">
        <v>45798.59471064815</v>
      </c>
      <c r="C1096" s="1" t="n">
        <v>45939</v>
      </c>
      <c r="D1096" t="inlineStr">
        <is>
          <t>VÄSTERNORRLANDS LÄN</t>
        </is>
      </c>
      <c r="E1096" t="inlineStr">
        <is>
          <t>ÅNGE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24209-2025</t>
        </is>
      </c>
      <c r="B1097" s="1" t="n">
        <v>45797.3446875</v>
      </c>
      <c r="C1097" s="1" t="n">
        <v>45939</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24232-2025</t>
        </is>
      </c>
      <c r="B1098" s="1" t="n">
        <v>45797.37846064815</v>
      </c>
      <c r="C1098" s="1" t="n">
        <v>45939</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25340-2025</t>
        </is>
      </c>
      <c r="B1099" s="1" t="n">
        <v>45800.60074074074</v>
      </c>
      <c r="C1099" s="1" t="n">
        <v>45939</v>
      </c>
      <c r="D1099" t="inlineStr">
        <is>
          <t>VÄSTERNORRLANDS LÄN</t>
        </is>
      </c>
      <c r="E1099" t="inlineStr">
        <is>
          <t>ÅNGE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25273-2025</t>
        </is>
      </c>
      <c r="B1100" s="1" t="n">
        <v>45800.55253472222</v>
      </c>
      <c r="C1100" s="1" t="n">
        <v>45939</v>
      </c>
      <c r="D1100" t="inlineStr">
        <is>
          <t>VÄSTERNORRLANDS LÄN</t>
        </is>
      </c>
      <c r="E1100" t="inlineStr">
        <is>
          <t>ÅNGE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25352-2025</t>
        </is>
      </c>
      <c r="B1101" s="1" t="n">
        <v>45800.61552083334</v>
      </c>
      <c r="C1101" s="1" t="n">
        <v>45939</v>
      </c>
      <c r="D1101" t="inlineStr">
        <is>
          <t>VÄSTERNORRLANDS LÄN</t>
        </is>
      </c>
      <c r="E1101" t="inlineStr">
        <is>
          <t>ÅNGE</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25017-2025</t>
        </is>
      </c>
      <c r="B1102" s="1" t="n">
        <v>45799.63791666667</v>
      </c>
      <c r="C1102" s="1" t="n">
        <v>45939</v>
      </c>
      <c r="D1102" t="inlineStr">
        <is>
          <t>VÄSTERNORRLANDS LÄN</t>
        </is>
      </c>
      <c r="E1102" t="inlineStr">
        <is>
          <t>ÅNGE</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25241-2025</t>
        </is>
      </c>
      <c r="B1103" s="1" t="n">
        <v>45800.49053240741</v>
      </c>
      <c r="C1103" s="1" t="n">
        <v>45939</v>
      </c>
      <c r="D1103" t="inlineStr">
        <is>
          <t>VÄSTERNORRLANDS LÄN</t>
        </is>
      </c>
      <c r="E1103" t="inlineStr">
        <is>
          <t>ÅNGE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25274-2025</t>
        </is>
      </c>
      <c r="B1104" s="1" t="n">
        <v>45800.55276620371</v>
      </c>
      <c r="C1104" s="1" t="n">
        <v>45939</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41831-2021</t>
        </is>
      </c>
      <c r="B1105" s="1" t="n">
        <v>44425.92212962963</v>
      </c>
      <c r="C1105" s="1" t="n">
        <v>45939</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57815-2024</t>
        </is>
      </c>
      <c r="B1106" s="1" t="n">
        <v>45631.37068287037</v>
      </c>
      <c r="C1106" s="1" t="n">
        <v>45939</v>
      </c>
      <c r="D1106" t="inlineStr">
        <is>
          <t>VÄSTERNORRLANDS LÄN</t>
        </is>
      </c>
      <c r="E1106" t="inlineStr">
        <is>
          <t>ÅNGE</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6691-2024</t>
        </is>
      </c>
      <c r="B1107" s="1" t="n">
        <v>45341</v>
      </c>
      <c r="C1107" s="1" t="n">
        <v>45939</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12123-2024</t>
        </is>
      </c>
      <c r="B1108" s="1" t="n">
        <v>45377</v>
      </c>
      <c r="C1108" s="1" t="n">
        <v>45939</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12806-2025</t>
        </is>
      </c>
      <c r="B1109" s="1" t="n">
        <v>45733.61518518518</v>
      </c>
      <c r="C1109" s="1" t="n">
        <v>45939</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20024-2023</t>
        </is>
      </c>
      <c r="B1110" s="1" t="n">
        <v>45051</v>
      </c>
      <c r="C1110" s="1" t="n">
        <v>45939</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13164-2022</t>
        </is>
      </c>
      <c r="B1111" s="1" t="n">
        <v>44644</v>
      </c>
      <c r="C1111" s="1" t="n">
        <v>45939</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5456-2024</t>
        </is>
      </c>
      <c r="B1112" s="1" t="n">
        <v>45331</v>
      </c>
      <c r="C1112" s="1" t="n">
        <v>45939</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30474-2024</t>
        </is>
      </c>
      <c r="B1113" s="1" t="n">
        <v>45491</v>
      </c>
      <c r="C1113" s="1" t="n">
        <v>45939</v>
      </c>
      <c r="D1113" t="inlineStr">
        <is>
          <t>VÄSTERNORRLANDS LÄN</t>
        </is>
      </c>
      <c r="E1113" t="inlineStr">
        <is>
          <t>ÅNGE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30475-2024</t>
        </is>
      </c>
      <c r="B1114" s="1" t="n">
        <v>45491</v>
      </c>
      <c r="C1114" s="1" t="n">
        <v>45939</v>
      </c>
      <c r="D1114" t="inlineStr">
        <is>
          <t>VÄSTERNORRLANDS LÄN</t>
        </is>
      </c>
      <c r="E1114" t="inlineStr">
        <is>
          <t>ÅNGE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71965-2021</t>
        </is>
      </c>
      <c r="B1115" s="1" t="n">
        <v>44544.32483796297</v>
      </c>
      <c r="C1115" s="1" t="n">
        <v>45939</v>
      </c>
      <c r="D1115" t="inlineStr">
        <is>
          <t>VÄSTERNORRLANDS LÄN</t>
        </is>
      </c>
      <c r="E1115" t="inlineStr">
        <is>
          <t>ÅNGE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56574-2024</t>
        </is>
      </c>
      <c r="B1116" s="1" t="n">
        <v>45625.59616898148</v>
      </c>
      <c r="C1116" s="1" t="n">
        <v>45939</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58087-2024</t>
        </is>
      </c>
      <c r="B1117" s="1" t="n">
        <v>45632.34502314815</v>
      </c>
      <c r="C1117" s="1" t="n">
        <v>45939</v>
      </c>
      <c r="D1117" t="inlineStr">
        <is>
          <t>VÄSTERNORRLANDS LÄN</t>
        </is>
      </c>
      <c r="E1117" t="inlineStr">
        <is>
          <t>ÅNGE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50231-2024</t>
        </is>
      </c>
      <c r="B1118" s="1" t="n">
        <v>45600.55251157407</v>
      </c>
      <c r="C1118" s="1" t="n">
        <v>45939</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25332-2025</t>
        </is>
      </c>
      <c r="B1119" s="1" t="n">
        <v>45800.59418981482</v>
      </c>
      <c r="C1119" s="1" t="n">
        <v>45939</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24852-2025</t>
        </is>
      </c>
      <c r="B1120" s="1" t="n">
        <v>45799.46975694445</v>
      </c>
      <c r="C1120" s="1" t="n">
        <v>45939</v>
      </c>
      <c r="D1120" t="inlineStr">
        <is>
          <t>VÄSTERNORRLANDS LÄN</t>
        </is>
      </c>
      <c r="E1120" t="inlineStr">
        <is>
          <t>ÅNGE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24847-2025</t>
        </is>
      </c>
      <c r="B1121" s="1" t="n">
        <v>45799.46907407408</v>
      </c>
      <c r="C1121" s="1" t="n">
        <v>45939</v>
      </c>
      <c r="D1121" t="inlineStr">
        <is>
          <t>VÄSTERNORRLANDS LÄN</t>
        </is>
      </c>
      <c r="E1121" t="inlineStr">
        <is>
          <t>ÅNGE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25067-2025</t>
        </is>
      </c>
      <c r="B1122" s="1" t="n">
        <v>45799.71908564815</v>
      </c>
      <c r="C1122" s="1" t="n">
        <v>45939</v>
      </c>
      <c r="D1122" t="inlineStr">
        <is>
          <t>VÄSTERNORRLANDS LÄN</t>
        </is>
      </c>
      <c r="E1122" t="inlineStr">
        <is>
          <t>ÅNGE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25532-2025</t>
        </is>
      </c>
      <c r="B1123" s="1" t="n">
        <v>45803.4065162037</v>
      </c>
      <c r="C1123" s="1" t="n">
        <v>45939</v>
      </c>
      <c r="D1123" t="inlineStr">
        <is>
          <t>VÄSTERNORRLANDS LÄN</t>
        </is>
      </c>
      <c r="E1123" t="inlineStr">
        <is>
          <t>ÅNGE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25810-2025</t>
        </is>
      </c>
      <c r="B1124" s="1" t="n">
        <v>45804.42083333333</v>
      </c>
      <c r="C1124" s="1" t="n">
        <v>45939</v>
      </c>
      <c r="D1124" t="inlineStr">
        <is>
          <t>VÄSTERNORRLANDS LÄN</t>
        </is>
      </c>
      <c r="E1124" t="inlineStr">
        <is>
          <t>ÅNGE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25717-2025</t>
        </is>
      </c>
      <c r="B1125" s="1" t="n">
        <v>45803.6985300926</v>
      </c>
      <c r="C1125" s="1" t="n">
        <v>45939</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31863-2024</t>
        </is>
      </c>
      <c r="B1126" s="1" t="n">
        <v>45509.74121527778</v>
      </c>
      <c r="C1126" s="1" t="n">
        <v>45939</v>
      </c>
      <c r="D1126" t="inlineStr">
        <is>
          <t>VÄSTERNORRLANDS LÄN</t>
        </is>
      </c>
      <c r="E1126" t="inlineStr">
        <is>
          <t>ÅNGE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53651-2023</t>
        </is>
      </c>
      <c r="B1127" s="1" t="n">
        <v>45230.60815972222</v>
      </c>
      <c r="C1127" s="1" t="n">
        <v>45939</v>
      </c>
      <c r="D1127" t="inlineStr">
        <is>
          <t>VÄSTERNORRLANDS LÄN</t>
        </is>
      </c>
      <c r="E1127" t="inlineStr">
        <is>
          <t>ÅNGE</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25706-2025</t>
        </is>
      </c>
      <c r="B1128" s="1" t="n">
        <v>45803.67788194444</v>
      </c>
      <c r="C1128" s="1" t="n">
        <v>45939</v>
      </c>
      <c r="D1128" t="inlineStr">
        <is>
          <t>VÄSTERNORRLANDS LÄN</t>
        </is>
      </c>
      <c r="E1128" t="inlineStr">
        <is>
          <t>ÅNGE</t>
        </is>
      </c>
      <c r="F1128" t="inlineStr">
        <is>
          <t>SCA</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59600-2024</t>
        </is>
      </c>
      <c r="B1129" s="1" t="n">
        <v>45638.71763888889</v>
      </c>
      <c r="C1129" s="1" t="n">
        <v>45939</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36877-2024</t>
        </is>
      </c>
      <c r="B1130" s="1" t="n">
        <v>45538.59418981482</v>
      </c>
      <c r="C1130" s="1" t="n">
        <v>45939</v>
      </c>
      <c r="D1130" t="inlineStr">
        <is>
          <t>VÄSTERNORRLANDS LÄN</t>
        </is>
      </c>
      <c r="E1130" t="inlineStr">
        <is>
          <t>ÅNGE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25499-2025</t>
        </is>
      </c>
      <c r="B1131" s="1" t="n">
        <v>45803.344375</v>
      </c>
      <c r="C1131" s="1" t="n">
        <v>45939</v>
      </c>
      <c r="D1131" t="inlineStr">
        <is>
          <t>VÄSTERNORRLANDS LÄN</t>
        </is>
      </c>
      <c r="E1131" t="inlineStr">
        <is>
          <t>ÅNGE</t>
        </is>
      </c>
      <c r="F1131" t="inlineStr">
        <is>
          <t>SCA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25772-2025</t>
        </is>
      </c>
      <c r="B1132" s="1" t="n">
        <v>45804.34520833333</v>
      </c>
      <c r="C1132" s="1" t="n">
        <v>45939</v>
      </c>
      <c r="D1132" t="inlineStr">
        <is>
          <t>VÄSTERNORRLANDS LÄN</t>
        </is>
      </c>
      <c r="E1132" t="inlineStr">
        <is>
          <t>ÅNGE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3133-2024</t>
        </is>
      </c>
      <c r="B1133" s="1" t="n">
        <v>45316.55885416667</v>
      </c>
      <c r="C1133" s="1" t="n">
        <v>45939</v>
      </c>
      <c r="D1133" t="inlineStr">
        <is>
          <t>VÄSTERNORRLANDS LÄN</t>
        </is>
      </c>
      <c r="E1133" t="inlineStr">
        <is>
          <t>ÅNGE</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17210-2022</t>
        </is>
      </c>
      <c r="B1134" s="1" t="n">
        <v>44677.92701388889</v>
      </c>
      <c r="C1134" s="1" t="n">
        <v>45939</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15863-2022</t>
        </is>
      </c>
      <c r="B1135" s="1" t="n">
        <v>44664</v>
      </c>
      <c r="C1135" s="1" t="n">
        <v>45939</v>
      </c>
      <c r="D1135" t="inlineStr">
        <is>
          <t>VÄSTERNORRLANDS LÄN</t>
        </is>
      </c>
      <c r="E1135" t="inlineStr">
        <is>
          <t>ÅNGE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10195-2024</t>
        </is>
      </c>
      <c r="B1136" s="1" t="n">
        <v>45364</v>
      </c>
      <c r="C1136" s="1" t="n">
        <v>45939</v>
      </c>
      <c r="D1136" t="inlineStr">
        <is>
          <t>VÄSTERNORRLANDS LÄN</t>
        </is>
      </c>
      <c r="E1136" t="inlineStr">
        <is>
          <t>ÅNGE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361-2025</t>
        </is>
      </c>
      <c r="B1137" s="1" t="n">
        <v>45660</v>
      </c>
      <c r="C1137" s="1" t="n">
        <v>45939</v>
      </c>
      <c r="D1137" t="inlineStr">
        <is>
          <t>VÄSTERNORRLANDS LÄN</t>
        </is>
      </c>
      <c r="E1137" t="inlineStr">
        <is>
          <t>ÅNGE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12021-2022</t>
        </is>
      </c>
      <c r="B1138" s="1" t="n">
        <v>44635</v>
      </c>
      <c r="C1138" s="1" t="n">
        <v>45939</v>
      </c>
      <c r="D1138" t="inlineStr">
        <is>
          <t>VÄSTERNORRLANDS LÄN</t>
        </is>
      </c>
      <c r="E1138" t="inlineStr">
        <is>
          <t>ÅNGE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26193-2025</t>
        </is>
      </c>
      <c r="B1139" s="1" t="n">
        <v>45805.48922453704</v>
      </c>
      <c r="C1139" s="1" t="n">
        <v>45939</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60401-2020</t>
        </is>
      </c>
      <c r="B1140" s="1" t="n">
        <v>44152</v>
      </c>
      <c r="C1140" s="1" t="n">
        <v>45939</v>
      </c>
      <c r="D1140" t="inlineStr">
        <is>
          <t>VÄSTERNORRLANDS LÄN</t>
        </is>
      </c>
      <c r="E1140" t="inlineStr">
        <is>
          <t>ÅNGE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26388-2025</t>
        </is>
      </c>
      <c r="B1141" s="1" t="n">
        <v>45806.51069444444</v>
      </c>
      <c r="C1141" s="1" t="n">
        <v>45939</v>
      </c>
      <c r="D1141" t="inlineStr">
        <is>
          <t>VÄSTERNORRLANDS LÄN</t>
        </is>
      </c>
      <c r="E1141" t="inlineStr">
        <is>
          <t>ÅNGE</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26365-2025</t>
        </is>
      </c>
      <c r="B1142" s="1" t="n">
        <v>45806.34412037037</v>
      </c>
      <c r="C1142" s="1" t="n">
        <v>45939</v>
      </c>
      <c r="D1142" t="inlineStr">
        <is>
          <t>VÄSTERNORRLANDS LÄN</t>
        </is>
      </c>
      <c r="E1142" t="inlineStr">
        <is>
          <t>ÅNGE</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6690-2024</t>
        </is>
      </c>
      <c r="B1143" s="1" t="n">
        <v>45341</v>
      </c>
      <c r="C1143" s="1" t="n">
        <v>45939</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3977-2025</t>
        </is>
      </c>
      <c r="B1144" s="1" t="n">
        <v>45684</v>
      </c>
      <c r="C1144" s="1" t="n">
        <v>45939</v>
      </c>
      <c r="D1144" t="inlineStr">
        <is>
          <t>VÄSTERNORRLANDS LÄN</t>
        </is>
      </c>
      <c r="E1144" t="inlineStr">
        <is>
          <t>ÅNGE</t>
        </is>
      </c>
      <c r="F1144" t="inlineStr">
        <is>
          <t>Holmen skog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26389-2025</t>
        </is>
      </c>
      <c r="B1145" s="1" t="n">
        <v>45806.51078703703</v>
      </c>
      <c r="C1145" s="1" t="n">
        <v>45939</v>
      </c>
      <c r="D1145" t="inlineStr">
        <is>
          <t>VÄSTERNORRLANDS LÄN</t>
        </is>
      </c>
      <c r="E1145" t="inlineStr">
        <is>
          <t>ÅNGE</t>
        </is>
      </c>
      <c r="F1145" t="inlineStr">
        <is>
          <t>SCA</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21262-2025</t>
        </is>
      </c>
      <c r="B1146" s="1" t="n">
        <v>45779</v>
      </c>
      <c r="C1146" s="1" t="n">
        <v>45939</v>
      </c>
      <c r="D1146" t="inlineStr">
        <is>
          <t>VÄSTERNORRLANDS LÄN</t>
        </is>
      </c>
      <c r="E1146" t="inlineStr">
        <is>
          <t>ÅNGE</t>
        </is>
      </c>
      <c r="F1146" t="inlineStr">
        <is>
          <t>Sveaskog</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26366-2025</t>
        </is>
      </c>
      <c r="B1147" s="1" t="n">
        <v>45806.34424768519</v>
      </c>
      <c r="C1147" s="1" t="n">
        <v>45939</v>
      </c>
      <c r="D1147" t="inlineStr">
        <is>
          <t>VÄSTERNORRLANDS LÄN</t>
        </is>
      </c>
      <c r="E1147" t="inlineStr">
        <is>
          <t>ÅNGE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26655-2025</t>
        </is>
      </c>
      <c r="B1148" s="1" t="n">
        <v>45810.39047453704</v>
      </c>
      <c r="C1148" s="1" t="n">
        <v>45939</v>
      </c>
      <c r="D1148" t="inlineStr">
        <is>
          <t>VÄSTERNORRLANDS LÄN</t>
        </is>
      </c>
      <c r="E1148" t="inlineStr">
        <is>
          <t>ÅNGE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14976-2025</t>
        </is>
      </c>
      <c r="B1149" s="1" t="n">
        <v>45743</v>
      </c>
      <c r="C1149" s="1" t="n">
        <v>45939</v>
      </c>
      <c r="D1149" t="inlineStr">
        <is>
          <t>VÄSTERNORRLANDS LÄN</t>
        </is>
      </c>
      <c r="E1149" t="inlineStr">
        <is>
          <t>ÅNGE</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5249-2025</t>
        </is>
      </c>
      <c r="B1150" s="1" t="n">
        <v>45692.34465277778</v>
      </c>
      <c r="C1150" s="1" t="n">
        <v>45939</v>
      </c>
      <c r="D1150" t="inlineStr">
        <is>
          <t>VÄSTERNORRLANDS LÄN</t>
        </is>
      </c>
      <c r="E1150" t="inlineStr">
        <is>
          <t>ÅNGE</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25973-2022</t>
        </is>
      </c>
      <c r="B1151" s="1" t="n">
        <v>44734</v>
      </c>
      <c r="C1151" s="1" t="n">
        <v>45939</v>
      </c>
      <c r="D1151" t="inlineStr">
        <is>
          <t>VÄSTERNORRLANDS LÄN</t>
        </is>
      </c>
      <c r="E1151" t="inlineStr">
        <is>
          <t>ÅNGE</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57271-2024</t>
        </is>
      </c>
      <c r="B1152" s="1" t="n">
        <v>45629.57364583333</v>
      </c>
      <c r="C1152" s="1" t="n">
        <v>45939</v>
      </c>
      <c r="D1152" t="inlineStr">
        <is>
          <t>VÄSTERNORRLANDS LÄN</t>
        </is>
      </c>
      <c r="E1152" t="inlineStr">
        <is>
          <t>ÅNGE</t>
        </is>
      </c>
      <c r="F1152" t="inlineStr">
        <is>
          <t>SCA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5369-2022</t>
        </is>
      </c>
      <c r="B1153" s="1" t="n">
        <v>44594.92113425926</v>
      </c>
      <c r="C1153" s="1" t="n">
        <v>45939</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22755-2023</t>
        </is>
      </c>
      <c r="B1154" s="1" t="n">
        <v>45071.94127314815</v>
      </c>
      <c r="C1154" s="1" t="n">
        <v>45939</v>
      </c>
      <c r="D1154" t="inlineStr">
        <is>
          <t>VÄSTERNORRLANDS LÄN</t>
        </is>
      </c>
      <c r="E1154" t="inlineStr">
        <is>
          <t>ÅNGE</t>
        </is>
      </c>
      <c r="F1154" t="inlineStr">
        <is>
          <t>SCA</t>
        </is>
      </c>
      <c r="G1154" t="n">
        <v>12.6</v>
      </c>
      <c r="H1154" t="n">
        <v>0</v>
      </c>
      <c r="I1154" t="n">
        <v>0</v>
      </c>
      <c r="J1154" t="n">
        <v>0</v>
      </c>
      <c r="K1154" t="n">
        <v>0</v>
      </c>
      <c r="L1154" t="n">
        <v>0</v>
      </c>
      <c r="M1154" t="n">
        <v>0</v>
      </c>
      <c r="N1154" t="n">
        <v>0</v>
      </c>
      <c r="O1154" t="n">
        <v>0</v>
      </c>
      <c r="P1154" t="n">
        <v>0</v>
      </c>
      <c r="Q1154" t="n">
        <v>0</v>
      </c>
      <c r="R1154" s="2" t="inlineStr"/>
    </row>
    <row r="1155" ht="15" customHeight="1">
      <c r="A1155" t="inlineStr">
        <is>
          <t>A 26608-2025</t>
        </is>
      </c>
      <c r="B1155" s="1" t="n">
        <v>45809.98600694445</v>
      </c>
      <c r="C1155" s="1" t="n">
        <v>45939</v>
      </c>
      <c r="D1155" t="inlineStr">
        <is>
          <t>VÄSTERNORRLANDS LÄN</t>
        </is>
      </c>
      <c r="E1155" t="inlineStr">
        <is>
          <t>ÅNGE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50419-2022</t>
        </is>
      </c>
      <c r="B1156" s="1" t="n">
        <v>44861</v>
      </c>
      <c r="C1156" s="1" t="n">
        <v>45939</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42881-2023</t>
        </is>
      </c>
      <c r="B1157" s="1" t="n">
        <v>45182.45256944445</v>
      </c>
      <c r="C1157" s="1" t="n">
        <v>45939</v>
      </c>
      <c r="D1157" t="inlineStr">
        <is>
          <t>VÄSTERNORRLANDS LÄN</t>
        </is>
      </c>
      <c r="E1157" t="inlineStr">
        <is>
          <t>ÅNGE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42242-2023</t>
        </is>
      </c>
      <c r="B1158" s="1" t="n">
        <v>45180.35025462963</v>
      </c>
      <c r="C1158" s="1" t="n">
        <v>45939</v>
      </c>
      <c r="D1158" t="inlineStr">
        <is>
          <t>VÄSTERNORRLANDS LÄN</t>
        </is>
      </c>
      <c r="E1158" t="inlineStr">
        <is>
          <t>ÅNGE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18430-2025</t>
        </is>
      </c>
      <c r="B1159" s="1" t="n">
        <v>45762.63576388889</v>
      </c>
      <c r="C1159" s="1" t="n">
        <v>45939</v>
      </c>
      <c r="D1159" t="inlineStr">
        <is>
          <t>VÄSTERNORRLANDS LÄN</t>
        </is>
      </c>
      <c r="E1159" t="inlineStr">
        <is>
          <t>ÅNGE</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43916-2023</t>
        </is>
      </c>
      <c r="B1160" s="1" t="n">
        <v>45187.72152777778</v>
      </c>
      <c r="C1160" s="1" t="n">
        <v>45939</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20255-2023</t>
        </is>
      </c>
      <c r="B1161" s="1" t="n">
        <v>45055</v>
      </c>
      <c r="C1161" s="1" t="n">
        <v>45939</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54429-2024</t>
        </is>
      </c>
      <c r="B1162" s="1" t="n">
        <v>45617.49087962963</v>
      </c>
      <c r="C1162" s="1" t="n">
        <v>45939</v>
      </c>
      <c r="D1162" t="inlineStr">
        <is>
          <t>VÄSTERNORRLANDS LÄN</t>
        </is>
      </c>
      <c r="E1162" t="inlineStr">
        <is>
          <t>ÅNGE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59222-2020</t>
        </is>
      </c>
      <c r="B1163" s="1" t="n">
        <v>44147</v>
      </c>
      <c r="C1163" s="1" t="n">
        <v>45939</v>
      </c>
      <c r="D1163" t="inlineStr">
        <is>
          <t>VÄSTERNORRLANDS LÄN</t>
        </is>
      </c>
      <c r="E1163" t="inlineStr">
        <is>
          <t>ÅNGE</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36790-2023</t>
        </is>
      </c>
      <c r="B1164" s="1" t="n">
        <v>45154.36418981481</v>
      </c>
      <c r="C1164" s="1" t="n">
        <v>45939</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26734-2025</t>
        </is>
      </c>
      <c r="B1165" s="1" t="n">
        <v>45810.51087962963</v>
      </c>
      <c r="C1165" s="1" t="n">
        <v>45939</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27023-2025</t>
        </is>
      </c>
      <c r="B1166" s="1" t="n">
        <v>45811.57342592593</v>
      </c>
      <c r="C1166" s="1" t="n">
        <v>45939</v>
      </c>
      <c r="D1166" t="inlineStr">
        <is>
          <t>VÄSTERNORRLANDS LÄN</t>
        </is>
      </c>
      <c r="E1166" t="inlineStr">
        <is>
          <t>ÅNGE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27164-2025</t>
        </is>
      </c>
      <c r="B1167" s="1" t="n">
        <v>45812.34430555555</v>
      </c>
      <c r="C1167" s="1" t="n">
        <v>45939</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36492-2023</t>
        </is>
      </c>
      <c r="B1168" s="1" t="n">
        <v>45152.92479166666</v>
      </c>
      <c r="C1168" s="1" t="n">
        <v>45939</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26901-2025</t>
        </is>
      </c>
      <c r="B1169" s="1" t="n">
        <v>45811.34457175926</v>
      </c>
      <c r="C1169" s="1" t="n">
        <v>45939</v>
      </c>
      <c r="D1169" t="inlineStr">
        <is>
          <t>VÄSTERNORRLANDS LÄN</t>
        </is>
      </c>
      <c r="E1169" t="inlineStr">
        <is>
          <t>ÅNGE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33750-2024</t>
        </is>
      </c>
      <c r="B1170" s="1" t="n">
        <v>45520.56475694444</v>
      </c>
      <c r="C1170" s="1" t="n">
        <v>45939</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27165-2025</t>
        </is>
      </c>
      <c r="B1171" s="1" t="n">
        <v>45812.34440972222</v>
      </c>
      <c r="C1171" s="1" t="n">
        <v>45939</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5931-2025</t>
        </is>
      </c>
      <c r="B1172" s="1" t="n">
        <v>45695.44827546296</v>
      </c>
      <c r="C1172" s="1" t="n">
        <v>45939</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8650-2024</t>
        </is>
      </c>
      <c r="B1173" s="1" t="n">
        <v>45356</v>
      </c>
      <c r="C1173" s="1" t="n">
        <v>45939</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27545-2025</t>
        </is>
      </c>
      <c r="B1174" s="1" t="n">
        <v>45813.46942129629</v>
      </c>
      <c r="C1174" s="1" t="n">
        <v>45939</v>
      </c>
      <c r="D1174" t="inlineStr">
        <is>
          <t>VÄSTERNORRLANDS LÄN</t>
        </is>
      </c>
      <c r="E1174" t="inlineStr">
        <is>
          <t>ÅNGE</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27572-2025</t>
        </is>
      </c>
      <c r="B1175" s="1" t="n">
        <v>45813.49049768518</v>
      </c>
      <c r="C1175" s="1" t="n">
        <v>45939</v>
      </c>
      <c r="D1175" t="inlineStr">
        <is>
          <t>VÄSTERNORRLANDS LÄN</t>
        </is>
      </c>
      <c r="E1175" t="inlineStr">
        <is>
          <t>ÅNGE</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27606-2025</t>
        </is>
      </c>
      <c r="B1176" s="1" t="n">
        <v>45813.53200231482</v>
      </c>
      <c r="C1176" s="1" t="n">
        <v>45939</v>
      </c>
      <c r="D1176" t="inlineStr">
        <is>
          <t>VÄSTERNORRLANDS LÄN</t>
        </is>
      </c>
      <c r="E1176" t="inlineStr">
        <is>
          <t>ÅNGE</t>
        </is>
      </c>
      <c r="F1176" t="inlineStr">
        <is>
          <t>SCA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27639-2025</t>
        </is>
      </c>
      <c r="B1177" s="1" t="n">
        <v>45813</v>
      </c>
      <c r="C1177" s="1" t="n">
        <v>45939</v>
      </c>
      <c r="D1177" t="inlineStr">
        <is>
          <t>VÄSTERNORRLANDS LÄN</t>
        </is>
      </c>
      <c r="E1177" t="inlineStr">
        <is>
          <t>ÅNGE</t>
        </is>
      </c>
      <c r="G1177" t="n">
        <v>22.9</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45939</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57529-2024</t>
        </is>
      </c>
      <c r="B1179" s="1" t="n">
        <v>45630</v>
      </c>
      <c r="C1179" s="1" t="n">
        <v>45939</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4872-2025</t>
        </is>
      </c>
      <c r="B1180" s="1" t="n">
        <v>45688.67619212963</v>
      </c>
      <c r="C1180" s="1" t="n">
        <v>45939</v>
      </c>
      <c r="D1180" t="inlineStr">
        <is>
          <t>VÄSTERNORRLANDS LÄN</t>
        </is>
      </c>
      <c r="E1180" t="inlineStr">
        <is>
          <t>ÅNGE</t>
        </is>
      </c>
      <c r="F1180" t="inlineStr">
        <is>
          <t>SCA</t>
        </is>
      </c>
      <c r="G1180" t="n">
        <v>31.3</v>
      </c>
      <c r="H1180" t="n">
        <v>0</v>
      </c>
      <c r="I1180" t="n">
        <v>0</v>
      </c>
      <c r="J1180" t="n">
        <v>0</v>
      </c>
      <c r="K1180" t="n">
        <v>0</v>
      </c>
      <c r="L1180" t="n">
        <v>0</v>
      </c>
      <c r="M1180" t="n">
        <v>0</v>
      </c>
      <c r="N1180" t="n">
        <v>0</v>
      </c>
      <c r="O1180" t="n">
        <v>0</v>
      </c>
      <c r="P1180" t="n">
        <v>0</v>
      </c>
      <c r="Q1180" t="n">
        <v>0</v>
      </c>
      <c r="R1180" s="2" t="inlineStr"/>
      <c r="U1180">
        <f>HYPERLINK("https://klasma.github.io/Logging_2260/knärot/A 4872-2025 karta knärot.png", "A 4872-2025")</f>
        <v/>
      </c>
      <c r="V1180">
        <f>HYPERLINK("https://klasma.github.io/Logging_2260/klagomål/A 4872-2025 FSC-klagomål.docx", "A 4872-2025")</f>
        <v/>
      </c>
      <c r="W1180">
        <f>HYPERLINK("https://klasma.github.io/Logging_2260/klagomålsmail/A 4872-2025 FSC-klagomål mail.docx", "A 4872-2025")</f>
        <v/>
      </c>
      <c r="X1180">
        <f>HYPERLINK("https://klasma.github.io/Logging_2260/tillsyn/A 4872-2025 tillsynsbegäran.docx", "A 4872-2025")</f>
        <v/>
      </c>
      <c r="Y1180">
        <f>HYPERLINK("https://klasma.github.io/Logging_2260/tillsynsmail/A 4872-2025 tillsynsbegäran mail.docx", "A 4872-2025")</f>
        <v/>
      </c>
    </row>
    <row r="1181" ht="15" customHeight="1">
      <c r="A1181" t="inlineStr">
        <is>
          <t>A 16973-2025</t>
        </is>
      </c>
      <c r="B1181" s="1" t="n">
        <v>45755.46967592592</v>
      </c>
      <c r="C1181" s="1" t="n">
        <v>45939</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28070-2025</t>
        </is>
      </c>
      <c r="B1182" s="1" t="n">
        <v>45817.67739583334</v>
      </c>
      <c r="C1182" s="1" t="n">
        <v>45939</v>
      </c>
      <c r="D1182" t="inlineStr">
        <is>
          <t>VÄSTERNORRLANDS LÄN</t>
        </is>
      </c>
      <c r="E1182" t="inlineStr">
        <is>
          <t>ÅNGE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48632-2023</t>
        </is>
      </c>
      <c r="B1183" s="1" t="n">
        <v>45208.57944444445</v>
      </c>
      <c r="C1183" s="1" t="n">
        <v>45939</v>
      </c>
      <c r="D1183" t="inlineStr">
        <is>
          <t>VÄSTERNORRLANDS LÄN</t>
        </is>
      </c>
      <c r="E1183" t="inlineStr">
        <is>
          <t>ÅNGE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28085-2025</t>
        </is>
      </c>
      <c r="B1184" s="1" t="n">
        <v>45817.71924768519</v>
      </c>
      <c r="C1184" s="1" t="n">
        <v>45939</v>
      </c>
      <c r="D1184" t="inlineStr">
        <is>
          <t>VÄSTERNORRLANDS LÄN</t>
        </is>
      </c>
      <c r="E1184" t="inlineStr">
        <is>
          <t>ÅNGE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28143-2025</t>
        </is>
      </c>
      <c r="B1185" s="1" t="n">
        <v>45818.34546296296</v>
      </c>
      <c r="C1185" s="1" t="n">
        <v>45939</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8747-2022</t>
        </is>
      </c>
      <c r="B1186" s="1" t="n">
        <v>44614.33912037037</v>
      </c>
      <c r="C1186" s="1" t="n">
        <v>45939</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14888-2022</t>
        </is>
      </c>
      <c r="B1187" s="1" t="n">
        <v>44656</v>
      </c>
      <c r="C1187" s="1" t="n">
        <v>45939</v>
      </c>
      <c r="D1187" t="inlineStr">
        <is>
          <t>VÄSTERNORRLANDS LÄN</t>
        </is>
      </c>
      <c r="E1187" t="inlineStr">
        <is>
          <t>ÅNGE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28404-2025</t>
        </is>
      </c>
      <c r="B1188" s="1" t="n">
        <v>45819.34532407407</v>
      </c>
      <c r="C1188" s="1" t="n">
        <v>45939</v>
      </c>
      <c r="D1188" t="inlineStr">
        <is>
          <t>VÄSTERNORRLANDS LÄN</t>
        </is>
      </c>
      <c r="E1188" t="inlineStr">
        <is>
          <t>ÅNGE</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28896-2025</t>
        </is>
      </c>
      <c r="B1189" s="1" t="n">
        <v>45820.63584490741</v>
      </c>
      <c r="C1189" s="1" t="n">
        <v>45939</v>
      </c>
      <c r="D1189" t="inlineStr">
        <is>
          <t>VÄSTERNORRLANDS LÄN</t>
        </is>
      </c>
      <c r="E1189" t="inlineStr">
        <is>
          <t>ÅNGE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55329-2023</t>
        </is>
      </c>
      <c r="B1190" s="1" t="n">
        <v>45237</v>
      </c>
      <c r="C1190" s="1" t="n">
        <v>45939</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28819-2025</t>
        </is>
      </c>
      <c r="B1191" s="1" t="n">
        <v>45820.53758101852</v>
      </c>
      <c r="C1191" s="1" t="n">
        <v>45939</v>
      </c>
      <c r="D1191" t="inlineStr">
        <is>
          <t>VÄSTERNORRLANDS LÄN</t>
        </is>
      </c>
      <c r="E1191" t="inlineStr">
        <is>
          <t>ÅNGE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28845-2025</t>
        </is>
      </c>
      <c r="B1192" s="1" t="n">
        <v>45820.57324074074</v>
      </c>
      <c r="C1192" s="1" t="n">
        <v>45939</v>
      </c>
      <c r="D1192" t="inlineStr">
        <is>
          <t>VÄSTERNORRLANDS LÄN</t>
        </is>
      </c>
      <c r="E1192" t="inlineStr">
        <is>
          <t>ÅNGE</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3986-2025</t>
        </is>
      </c>
      <c r="B1193" s="1" t="n">
        <v>45684.55262731481</v>
      </c>
      <c r="C1193" s="1" t="n">
        <v>45939</v>
      </c>
      <c r="D1193" t="inlineStr">
        <is>
          <t>VÄSTERNORRLANDS LÄN</t>
        </is>
      </c>
      <c r="E1193" t="inlineStr">
        <is>
          <t>ÅNGE</t>
        </is>
      </c>
      <c r="F1193" t="inlineStr">
        <is>
          <t>SCA</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28814-2025</t>
        </is>
      </c>
      <c r="B1194" s="1" t="n">
        <v>45820.52846064815</v>
      </c>
      <c r="C1194" s="1" t="n">
        <v>45939</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28717-2025</t>
        </is>
      </c>
      <c r="B1195" s="1" t="n">
        <v>45820</v>
      </c>
      <c r="C1195" s="1" t="n">
        <v>45939</v>
      </c>
      <c r="D1195" t="inlineStr">
        <is>
          <t>VÄSTERNORRLANDS LÄN</t>
        </is>
      </c>
      <c r="E1195" t="inlineStr">
        <is>
          <t>ÅNGE</t>
        </is>
      </c>
      <c r="F1195" t="inlineStr">
        <is>
          <t>SCA</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29350-2025</t>
        </is>
      </c>
      <c r="B1196" s="1" t="n">
        <v>45824.53206018519</v>
      </c>
      <c r="C1196" s="1" t="n">
        <v>45939</v>
      </c>
      <c r="D1196" t="inlineStr">
        <is>
          <t>VÄSTERNORRLANDS LÄN</t>
        </is>
      </c>
      <c r="E1196" t="inlineStr">
        <is>
          <t>ÅNGE</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29153-2025</t>
        </is>
      </c>
      <c r="B1197" s="1" t="n">
        <v>45821.63574074074</v>
      </c>
      <c r="C1197" s="1" t="n">
        <v>45939</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46795-2023</t>
        </is>
      </c>
      <c r="B1198" s="1" t="n">
        <v>45198</v>
      </c>
      <c r="C1198" s="1" t="n">
        <v>45939</v>
      </c>
      <c r="D1198" t="inlineStr">
        <is>
          <t>VÄSTERNORRLANDS LÄN</t>
        </is>
      </c>
      <c r="E1198" t="inlineStr">
        <is>
          <t>ÅNGE</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29862-2025</t>
        </is>
      </c>
      <c r="B1199" s="1" t="n">
        <v>45826.3465625</v>
      </c>
      <c r="C1199" s="1" t="n">
        <v>45939</v>
      </c>
      <c r="D1199" t="inlineStr">
        <is>
          <t>VÄSTERNORRLANDS LÄN</t>
        </is>
      </c>
      <c r="E1199" t="inlineStr">
        <is>
          <t>ÅNGE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29882-2025</t>
        </is>
      </c>
      <c r="B1200" s="1" t="n">
        <v>45826.36548611111</v>
      </c>
      <c r="C1200" s="1" t="n">
        <v>45939</v>
      </c>
      <c r="D1200" t="inlineStr">
        <is>
          <t>VÄSTERNORRLANDS LÄN</t>
        </is>
      </c>
      <c r="E1200" t="inlineStr">
        <is>
          <t>ÅNGE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29916-2025</t>
        </is>
      </c>
      <c r="B1201" s="1" t="n">
        <v>45826.41822916667</v>
      </c>
      <c r="C1201" s="1" t="n">
        <v>45939</v>
      </c>
      <c r="D1201" t="inlineStr">
        <is>
          <t>VÄSTERNORRLANDS LÄN</t>
        </is>
      </c>
      <c r="E1201" t="inlineStr">
        <is>
          <t>ÅNGE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4094-2025</t>
        </is>
      </c>
      <c r="B1202" s="1" t="n">
        <v>45684.6778125</v>
      </c>
      <c r="C1202" s="1" t="n">
        <v>45939</v>
      </c>
      <c r="D1202" t="inlineStr">
        <is>
          <t>VÄSTERNORRLANDS LÄN</t>
        </is>
      </c>
      <c r="E1202" t="inlineStr">
        <is>
          <t>ÅNGE</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29560-2025</t>
        </is>
      </c>
      <c r="B1203" s="1" t="n">
        <v>45825.36497685185</v>
      </c>
      <c r="C1203" s="1" t="n">
        <v>45939</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29786-2025</t>
        </is>
      </c>
      <c r="B1204" s="1" t="n">
        <v>45825.65663194445</v>
      </c>
      <c r="C1204" s="1" t="n">
        <v>45939</v>
      </c>
      <c r="D1204" t="inlineStr">
        <is>
          <t>VÄSTERNORRLANDS LÄN</t>
        </is>
      </c>
      <c r="E1204" t="inlineStr">
        <is>
          <t>ÅNGE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39973-2023</t>
        </is>
      </c>
      <c r="B1205" s="1" t="n">
        <v>45168.5858912037</v>
      </c>
      <c r="C1205" s="1" t="n">
        <v>45939</v>
      </c>
      <c r="D1205" t="inlineStr">
        <is>
          <t>VÄSTERNORRLANDS LÄN</t>
        </is>
      </c>
      <c r="E1205" t="inlineStr">
        <is>
          <t>ÅNGE</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30475-2025</t>
        </is>
      </c>
      <c r="B1206" s="1" t="n">
        <v>45828.34444444445</v>
      </c>
      <c r="C1206" s="1" t="n">
        <v>45939</v>
      </c>
      <c r="D1206" t="inlineStr">
        <is>
          <t>VÄSTERNORRLANDS LÄN</t>
        </is>
      </c>
      <c r="E1206" t="inlineStr">
        <is>
          <t>ÅNGE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58637-2023</t>
        </is>
      </c>
      <c r="B1207" s="1" t="n">
        <v>45251</v>
      </c>
      <c r="C1207" s="1" t="n">
        <v>45939</v>
      </c>
      <c r="D1207" t="inlineStr">
        <is>
          <t>VÄSTERNORRLANDS LÄN</t>
        </is>
      </c>
      <c r="E1207" t="inlineStr">
        <is>
          <t>ÅNGE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30875-2025</t>
        </is>
      </c>
      <c r="B1208" s="1" t="n">
        <v>45832.34447916667</v>
      </c>
      <c r="C1208" s="1" t="n">
        <v>45939</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31211-2025</t>
        </is>
      </c>
      <c r="B1209" s="1" t="n">
        <v>45832.71938657408</v>
      </c>
      <c r="C1209" s="1" t="n">
        <v>45939</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4236-2025</t>
        </is>
      </c>
      <c r="B1210" s="1" t="n">
        <v>45685.56534722223</v>
      </c>
      <c r="C1210" s="1" t="n">
        <v>45939</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30618-2025</t>
        </is>
      </c>
      <c r="B1211" s="1" t="n">
        <v>45831.46909722222</v>
      </c>
      <c r="C1211" s="1" t="n">
        <v>45939</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31188-2025</t>
        </is>
      </c>
      <c r="B1212" s="1" t="n">
        <v>45832.67842592593</v>
      </c>
      <c r="C1212" s="1" t="n">
        <v>45939</v>
      </c>
      <c r="D1212" t="inlineStr">
        <is>
          <t>VÄSTERNORRLANDS LÄN</t>
        </is>
      </c>
      <c r="E1212" t="inlineStr">
        <is>
          <t>ÅNGE</t>
        </is>
      </c>
      <c r="F1212" t="inlineStr">
        <is>
          <t>SCA</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31042-2025</t>
        </is>
      </c>
      <c r="B1213" s="1" t="n">
        <v>45832.55267361111</v>
      </c>
      <c r="C1213" s="1" t="n">
        <v>45939</v>
      </c>
      <c r="D1213" t="inlineStr">
        <is>
          <t>VÄSTERNORRLANDS LÄN</t>
        </is>
      </c>
      <c r="E1213" t="inlineStr">
        <is>
          <t>ÅNGE</t>
        </is>
      </c>
      <c r="F1213" t="inlineStr">
        <is>
          <t>SCA</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51131-2022</t>
        </is>
      </c>
      <c r="B1214" s="1" t="n">
        <v>44868</v>
      </c>
      <c r="C1214" s="1" t="n">
        <v>45939</v>
      </c>
      <c r="D1214" t="inlineStr">
        <is>
          <t>VÄSTERNORRLANDS LÄN</t>
        </is>
      </c>
      <c r="E1214" t="inlineStr">
        <is>
          <t>ÅNGE</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31135-2025</t>
        </is>
      </c>
      <c r="B1215" s="1" t="n">
        <v>45832.63581018519</v>
      </c>
      <c r="C1215" s="1" t="n">
        <v>45939</v>
      </c>
      <c r="D1215" t="inlineStr">
        <is>
          <t>VÄSTERNORRLANDS LÄN</t>
        </is>
      </c>
      <c r="E1215" t="inlineStr">
        <is>
          <t>ÅNGE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30892-2025</t>
        </is>
      </c>
      <c r="B1216" s="1" t="n">
        <v>45832.34663194444</v>
      </c>
      <c r="C1216" s="1" t="n">
        <v>45939</v>
      </c>
      <c r="D1216" t="inlineStr">
        <is>
          <t>VÄSTERNORRLANDS LÄN</t>
        </is>
      </c>
      <c r="E1216" t="inlineStr">
        <is>
          <t>ÅNGE</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30598-2025</t>
        </is>
      </c>
      <c r="B1217" s="1" t="n">
        <v>45831.44834490741</v>
      </c>
      <c r="C1217" s="1" t="n">
        <v>45939</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31041-2025</t>
        </is>
      </c>
      <c r="B1218" s="1" t="n">
        <v>45832.55247685185</v>
      </c>
      <c r="C1218" s="1" t="n">
        <v>45939</v>
      </c>
      <c r="D1218" t="inlineStr">
        <is>
          <t>VÄSTERNORRLANDS LÄN</t>
        </is>
      </c>
      <c r="E1218" t="inlineStr">
        <is>
          <t>ÅNGE</t>
        </is>
      </c>
      <c r="F1218" t="inlineStr">
        <is>
          <t>SCA</t>
        </is>
      </c>
      <c r="G1218" t="n">
        <v>15.1</v>
      </c>
      <c r="H1218" t="n">
        <v>0</v>
      </c>
      <c r="I1218" t="n">
        <v>0</v>
      </c>
      <c r="J1218" t="n">
        <v>0</v>
      </c>
      <c r="K1218" t="n">
        <v>0</v>
      </c>
      <c r="L1218" t="n">
        <v>0</v>
      </c>
      <c r="M1218" t="n">
        <v>0</v>
      </c>
      <c r="N1218" t="n">
        <v>0</v>
      </c>
      <c r="O1218" t="n">
        <v>0</v>
      </c>
      <c r="P1218" t="n">
        <v>0</v>
      </c>
      <c r="Q1218" t="n">
        <v>0</v>
      </c>
      <c r="R1218" s="2" t="inlineStr"/>
    </row>
    <row r="1219" ht="15" customHeight="1">
      <c r="A1219" t="inlineStr">
        <is>
          <t>A 31139-2025</t>
        </is>
      </c>
      <c r="B1219" s="1" t="n">
        <v>45832.63633101852</v>
      </c>
      <c r="C1219" s="1" t="n">
        <v>45939</v>
      </c>
      <c r="D1219" t="inlineStr">
        <is>
          <t>VÄSTERNORRLANDS LÄN</t>
        </is>
      </c>
      <c r="E1219" t="inlineStr">
        <is>
          <t>ÅNGE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30877-2025</t>
        </is>
      </c>
      <c r="B1220" s="1" t="n">
        <v>45832.34478009259</v>
      </c>
      <c r="C1220" s="1" t="n">
        <v>45939</v>
      </c>
      <c r="D1220" t="inlineStr">
        <is>
          <t>VÄSTERNORRLANDS LÄN</t>
        </is>
      </c>
      <c r="E1220" t="inlineStr">
        <is>
          <t>ÅNGE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5999-2025</t>
        </is>
      </c>
      <c r="B1221" s="1" t="n">
        <v>45695</v>
      </c>
      <c r="C1221" s="1" t="n">
        <v>45939</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30888-2025</t>
        </is>
      </c>
      <c r="B1222" s="1" t="n">
        <v>45832.34606481482</v>
      </c>
      <c r="C1222" s="1" t="n">
        <v>45939</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26015-2024</t>
        </is>
      </c>
      <c r="B1223" s="1" t="n">
        <v>45467.95872685185</v>
      </c>
      <c r="C1223" s="1" t="n">
        <v>45939</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26010-2024</t>
        </is>
      </c>
      <c r="B1224" s="1" t="n">
        <v>45467.95819444444</v>
      </c>
      <c r="C1224" s="1" t="n">
        <v>45939</v>
      </c>
      <c r="D1224" t="inlineStr">
        <is>
          <t>VÄSTERNORRLANDS LÄN</t>
        </is>
      </c>
      <c r="E1224" t="inlineStr">
        <is>
          <t>ÅNGE</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31275-2025</t>
        </is>
      </c>
      <c r="B1225" s="1" t="n">
        <v>45833.34459490741</v>
      </c>
      <c r="C1225" s="1" t="n">
        <v>45939</v>
      </c>
      <c r="D1225" t="inlineStr">
        <is>
          <t>VÄSTERNORRLANDS LÄN</t>
        </is>
      </c>
      <c r="E1225" t="inlineStr">
        <is>
          <t>ÅNGE</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60365-2024</t>
        </is>
      </c>
      <c r="B1226" s="1" t="n">
        <v>45643</v>
      </c>
      <c r="C1226" s="1" t="n">
        <v>45939</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31452-2025</t>
        </is>
      </c>
      <c r="B1227" s="1" t="n">
        <v>45833.53179398148</v>
      </c>
      <c r="C1227" s="1" t="n">
        <v>45939</v>
      </c>
      <c r="D1227" t="inlineStr">
        <is>
          <t>VÄSTERNORRLANDS LÄN</t>
        </is>
      </c>
      <c r="E1227" t="inlineStr">
        <is>
          <t>ÅNGE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31544-2025</t>
        </is>
      </c>
      <c r="B1228" s="1" t="n">
        <v>45833.63597222222</v>
      </c>
      <c r="C1228" s="1" t="n">
        <v>45939</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31646-2025</t>
        </is>
      </c>
      <c r="B1229" s="1" t="n">
        <v>45834.34563657407</v>
      </c>
      <c r="C1229" s="1" t="n">
        <v>45939</v>
      </c>
      <c r="D1229" t="inlineStr">
        <is>
          <t>VÄSTERNORRLANDS LÄN</t>
        </is>
      </c>
      <c r="E1229" t="inlineStr">
        <is>
          <t>ÅNGE</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31484-2025</t>
        </is>
      </c>
      <c r="B1230" s="1" t="n">
        <v>45833.57418981481</v>
      </c>
      <c r="C1230" s="1" t="n">
        <v>45939</v>
      </c>
      <c r="D1230" t="inlineStr">
        <is>
          <t>VÄSTERNORRLANDS LÄN</t>
        </is>
      </c>
      <c r="E1230" t="inlineStr">
        <is>
          <t>ÅNGE</t>
        </is>
      </c>
      <c r="F1230" t="inlineStr">
        <is>
          <t>SCA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31642-2025</t>
        </is>
      </c>
      <c r="B1231" s="1" t="n">
        <v>45834.34474537037</v>
      </c>
      <c r="C1231" s="1" t="n">
        <v>45939</v>
      </c>
      <c r="D1231" t="inlineStr">
        <is>
          <t>VÄSTERNORRLANDS LÄN</t>
        </is>
      </c>
      <c r="E1231" t="inlineStr">
        <is>
          <t>ÅNGE</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31666-2025</t>
        </is>
      </c>
      <c r="B1232" s="1" t="n">
        <v>45834.36519675926</v>
      </c>
      <c r="C1232" s="1" t="n">
        <v>45939</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11871-2025</t>
        </is>
      </c>
      <c r="B1233" s="1" t="n">
        <v>45728.42740740741</v>
      </c>
      <c r="C1233" s="1" t="n">
        <v>45939</v>
      </c>
      <c r="D1233" t="inlineStr">
        <is>
          <t>VÄSTERNORRLANDS LÄN</t>
        </is>
      </c>
      <c r="E1233" t="inlineStr">
        <is>
          <t>ÅNGE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15799-2025</t>
        </is>
      </c>
      <c r="B1234" s="1" t="n">
        <v>45748.64768518518</v>
      </c>
      <c r="C1234" s="1" t="n">
        <v>45939</v>
      </c>
      <c r="D1234" t="inlineStr">
        <is>
          <t>VÄSTERNORRLANDS LÄN</t>
        </is>
      </c>
      <c r="E1234" t="inlineStr">
        <is>
          <t>ÅNGE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47488-2023</t>
        </is>
      </c>
      <c r="B1235" s="1" t="n">
        <v>45202.94168981481</v>
      </c>
      <c r="C1235" s="1" t="n">
        <v>45939</v>
      </c>
      <c r="D1235" t="inlineStr">
        <is>
          <t>VÄSTERNORRLANDS LÄN</t>
        </is>
      </c>
      <c r="E1235" t="inlineStr">
        <is>
          <t>ÅNGE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54982-2023</t>
        </is>
      </c>
      <c r="B1236" s="1" t="n">
        <v>45236</v>
      </c>
      <c r="C1236" s="1" t="n">
        <v>45939</v>
      </c>
      <c r="D1236" t="inlineStr">
        <is>
          <t>VÄSTERNORRLANDS LÄN</t>
        </is>
      </c>
      <c r="E1236" t="inlineStr">
        <is>
          <t>ÅNGE</t>
        </is>
      </c>
      <c r="F1236" t="inlineStr">
        <is>
          <t>SCA</t>
        </is>
      </c>
      <c r="G1236" t="n">
        <v>26.2</v>
      </c>
      <c r="H1236" t="n">
        <v>0</v>
      </c>
      <c r="I1236" t="n">
        <v>0</v>
      </c>
      <c r="J1236" t="n">
        <v>0</v>
      </c>
      <c r="K1236" t="n">
        <v>0</v>
      </c>
      <c r="L1236" t="n">
        <v>0</v>
      </c>
      <c r="M1236" t="n">
        <v>0</v>
      </c>
      <c r="N1236" t="n">
        <v>0</v>
      </c>
      <c r="O1236" t="n">
        <v>0</v>
      </c>
      <c r="P1236" t="n">
        <v>0</v>
      </c>
      <c r="Q1236" t="n">
        <v>0</v>
      </c>
      <c r="R1236" s="2" t="inlineStr"/>
    </row>
    <row r="1237" ht="15" customHeight="1">
      <c r="A1237" t="inlineStr">
        <is>
          <t>A 57560-2023</t>
        </is>
      </c>
      <c r="B1237" s="1" t="n">
        <v>45243</v>
      </c>
      <c r="C1237" s="1" t="n">
        <v>45939</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57568-2023</t>
        </is>
      </c>
      <c r="B1238" s="1" t="n">
        <v>45246.50484953704</v>
      </c>
      <c r="C1238" s="1" t="n">
        <v>45939</v>
      </c>
      <c r="D1238" t="inlineStr">
        <is>
          <t>VÄSTERNORRLANDS LÄN</t>
        </is>
      </c>
      <c r="E1238" t="inlineStr">
        <is>
          <t>ÅNGE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32025-2025</t>
        </is>
      </c>
      <c r="B1239" s="1" t="n">
        <v>45835.40721064815</v>
      </c>
      <c r="C1239" s="1" t="n">
        <v>45939</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26092-2025</t>
        </is>
      </c>
      <c r="B1240" s="1" t="n">
        <v>45805</v>
      </c>
      <c r="C1240" s="1" t="n">
        <v>45939</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32024-2025</t>
        </is>
      </c>
      <c r="B1241" s="1" t="n">
        <v>45835.40706018519</v>
      </c>
      <c r="C1241" s="1" t="n">
        <v>45939</v>
      </c>
      <c r="D1241" t="inlineStr">
        <is>
          <t>VÄSTERNORRLANDS LÄN</t>
        </is>
      </c>
      <c r="E1241" t="inlineStr">
        <is>
          <t>ÅNGE</t>
        </is>
      </c>
      <c r="F1241" t="inlineStr">
        <is>
          <t>SCA</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32847-2025</t>
        </is>
      </c>
      <c r="B1242" s="1" t="n">
        <v>45839.57354166666</v>
      </c>
      <c r="C1242" s="1" t="n">
        <v>45939</v>
      </c>
      <c r="D1242" t="inlineStr">
        <is>
          <t>VÄSTERNORRLANDS LÄN</t>
        </is>
      </c>
      <c r="E1242" t="inlineStr">
        <is>
          <t>ÅNGE</t>
        </is>
      </c>
      <c r="F1242" t="inlineStr">
        <is>
          <t>SCA</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33782-2025</t>
        </is>
      </c>
      <c r="B1243" s="1" t="n">
        <v>45842.40678240741</v>
      </c>
      <c r="C1243" s="1" t="n">
        <v>45939</v>
      </c>
      <c r="D1243" t="inlineStr">
        <is>
          <t>VÄSTERNORRLANDS LÄN</t>
        </is>
      </c>
      <c r="E1243" t="inlineStr">
        <is>
          <t>ÅNGE</t>
        </is>
      </c>
      <c r="F1243" t="inlineStr">
        <is>
          <t>SCA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18112-2025</t>
        </is>
      </c>
      <c r="B1244" s="1" t="n">
        <v>45761.57350694444</v>
      </c>
      <c r="C1244" s="1" t="n">
        <v>45939</v>
      </c>
      <c r="D1244" t="inlineStr">
        <is>
          <t>VÄSTERNORRLANDS LÄN</t>
        </is>
      </c>
      <c r="E1244" t="inlineStr">
        <is>
          <t>ÅNGE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33717-2025</t>
        </is>
      </c>
      <c r="B1245" s="1" t="n">
        <v>45841.89357638889</v>
      </c>
      <c r="C1245" s="1" t="n">
        <v>45939</v>
      </c>
      <c r="D1245" t="inlineStr">
        <is>
          <t>VÄSTERNORRLANDS LÄN</t>
        </is>
      </c>
      <c r="E1245" t="inlineStr">
        <is>
          <t>ÅNGE</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33738-2025</t>
        </is>
      </c>
      <c r="B1246" s="1" t="n">
        <v>45842.33795138889</v>
      </c>
      <c r="C1246" s="1" t="n">
        <v>45939</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63530-2023</t>
        </is>
      </c>
      <c r="B1247" s="1" t="n">
        <v>45274</v>
      </c>
      <c r="C1247" s="1" t="n">
        <v>45939</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3253-2024</t>
        </is>
      </c>
      <c r="B1248" s="1" t="n">
        <v>45316</v>
      </c>
      <c r="C1248" s="1" t="n">
        <v>45939</v>
      </c>
      <c r="D1248" t="inlineStr">
        <is>
          <t>VÄSTERNORRLANDS LÄN</t>
        </is>
      </c>
      <c r="E1248" t="inlineStr">
        <is>
          <t>ÅNGE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49945-2023</t>
        </is>
      </c>
      <c r="B1249" s="1" t="n">
        <v>45215.3625462963</v>
      </c>
      <c r="C1249" s="1" t="n">
        <v>45939</v>
      </c>
      <c r="D1249" t="inlineStr">
        <is>
          <t>VÄSTERNORRLANDS LÄN</t>
        </is>
      </c>
      <c r="E1249" t="inlineStr">
        <is>
          <t>ÅNGE</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25903-2022</t>
        </is>
      </c>
      <c r="B1250" s="1" t="n">
        <v>44733</v>
      </c>
      <c r="C1250" s="1" t="n">
        <v>45939</v>
      </c>
      <c r="D1250" t="inlineStr">
        <is>
          <t>VÄSTERNORRLANDS LÄN</t>
        </is>
      </c>
      <c r="E1250" t="inlineStr">
        <is>
          <t>ÅNGE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19709-2025</t>
        </is>
      </c>
      <c r="B1251" s="1" t="n">
        <v>45771.34263888889</v>
      </c>
      <c r="C1251" s="1" t="n">
        <v>45939</v>
      </c>
      <c r="D1251" t="inlineStr">
        <is>
          <t>VÄSTERNORRLANDS LÄN</t>
        </is>
      </c>
      <c r="E1251" t="inlineStr">
        <is>
          <t>ÅNGE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34019-2025</t>
        </is>
      </c>
      <c r="B1252" s="1" t="n">
        <v>45845.34416666667</v>
      </c>
      <c r="C1252" s="1" t="n">
        <v>45939</v>
      </c>
      <c r="D1252" t="inlineStr">
        <is>
          <t>VÄSTERNORRLANDS LÄN</t>
        </is>
      </c>
      <c r="E1252" t="inlineStr">
        <is>
          <t>ÅNGE</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34031-2025</t>
        </is>
      </c>
      <c r="B1253" s="1" t="n">
        <v>45845.36508101852</v>
      </c>
      <c r="C1253" s="1" t="n">
        <v>45939</v>
      </c>
      <c r="D1253" t="inlineStr">
        <is>
          <t>VÄSTERNORRLANDS LÄN</t>
        </is>
      </c>
      <c r="E1253" t="inlineStr">
        <is>
          <t>ÅNGE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24324-2022</t>
        </is>
      </c>
      <c r="B1254" s="1" t="n">
        <v>44725.945</v>
      </c>
      <c r="C1254" s="1" t="n">
        <v>45939</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24325-2022</t>
        </is>
      </c>
      <c r="B1255" s="1" t="n">
        <v>44725.94506944445</v>
      </c>
      <c r="C1255" s="1" t="n">
        <v>45939</v>
      </c>
      <c r="D1255" t="inlineStr">
        <is>
          <t>VÄSTERNORRLANDS LÄN</t>
        </is>
      </c>
      <c r="E1255" t="inlineStr">
        <is>
          <t>ÅNGE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30803-2022</t>
        </is>
      </c>
      <c r="B1256" s="1" t="n">
        <v>44764</v>
      </c>
      <c r="C1256" s="1" t="n">
        <v>45939</v>
      </c>
      <c r="D1256" t="inlineStr">
        <is>
          <t>VÄSTERNORRLANDS LÄN</t>
        </is>
      </c>
      <c r="E1256" t="inlineStr">
        <is>
          <t>ÅNGE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17744-2025</t>
        </is>
      </c>
      <c r="B1257" s="1" t="n">
        <v>45758</v>
      </c>
      <c r="C1257" s="1" t="n">
        <v>45939</v>
      </c>
      <c r="D1257" t="inlineStr">
        <is>
          <t>VÄSTERNORRLANDS LÄN</t>
        </is>
      </c>
      <c r="E1257" t="inlineStr">
        <is>
          <t>ÅNGE</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2433-2024</t>
        </is>
      </c>
      <c r="B1258" s="1" t="n">
        <v>45310</v>
      </c>
      <c r="C1258" s="1" t="n">
        <v>45939</v>
      </c>
      <c r="D1258" t="inlineStr">
        <is>
          <t>VÄSTERNORRLANDS LÄN</t>
        </is>
      </c>
      <c r="E1258" t="inlineStr">
        <is>
          <t>ÅNGE</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56615-2023</t>
        </is>
      </c>
      <c r="B1259" s="1" t="n">
        <v>45243</v>
      </c>
      <c r="C1259" s="1" t="n">
        <v>45939</v>
      </c>
      <c r="D1259" t="inlineStr">
        <is>
          <t>VÄSTERNORRLANDS LÄN</t>
        </is>
      </c>
      <c r="E1259" t="inlineStr">
        <is>
          <t>ÅNGE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61461-2023</t>
        </is>
      </c>
      <c r="B1260" s="1" t="n">
        <v>45264.9261574074</v>
      </c>
      <c r="C1260" s="1" t="n">
        <v>45939</v>
      </c>
      <c r="D1260" t="inlineStr">
        <is>
          <t>VÄSTERNORRLANDS LÄN</t>
        </is>
      </c>
      <c r="E1260" t="inlineStr">
        <is>
          <t>ÅNGE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27661-2024</t>
        </is>
      </c>
      <c r="B1261" s="1" t="n">
        <v>45474.95365740741</v>
      </c>
      <c r="C1261" s="1" t="n">
        <v>45939</v>
      </c>
      <c r="D1261" t="inlineStr">
        <is>
          <t>VÄSTERNORRLANDS LÄN</t>
        </is>
      </c>
      <c r="E1261" t="inlineStr">
        <is>
          <t>ÅNGE</t>
        </is>
      </c>
      <c r="F1261" t="inlineStr">
        <is>
          <t>SCA</t>
        </is>
      </c>
      <c r="G1261" t="n">
        <v>19.1</v>
      </c>
      <c r="H1261" t="n">
        <v>0</v>
      </c>
      <c r="I1261" t="n">
        <v>0</v>
      </c>
      <c r="J1261" t="n">
        <v>0</v>
      </c>
      <c r="K1261" t="n">
        <v>0</v>
      </c>
      <c r="L1261" t="n">
        <v>0</v>
      </c>
      <c r="M1261" t="n">
        <v>0</v>
      </c>
      <c r="N1261" t="n">
        <v>0</v>
      </c>
      <c r="O1261" t="n">
        <v>0</v>
      </c>
      <c r="P1261" t="n">
        <v>0</v>
      </c>
      <c r="Q1261" t="n">
        <v>0</v>
      </c>
      <c r="R1261" s="2" t="inlineStr"/>
    </row>
    <row r="1262" ht="15" customHeight="1">
      <c r="A1262" t="inlineStr">
        <is>
          <t>A 34785-2025</t>
        </is>
      </c>
      <c r="B1262" s="1" t="n">
        <v>45848.67771990741</v>
      </c>
      <c r="C1262" s="1" t="n">
        <v>45939</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34629-2025</t>
        </is>
      </c>
      <c r="B1263" s="1" t="n">
        <v>45847.93006944445</v>
      </c>
      <c r="C1263" s="1" t="n">
        <v>45939</v>
      </c>
      <c r="D1263" t="inlineStr">
        <is>
          <t>VÄSTERNORRLANDS LÄN</t>
        </is>
      </c>
      <c r="E1263" t="inlineStr">
        <is>
          <t>ÅNGE</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45890-2021</t>
        </is>
      </c>
      <c r="B1264" s="1" t="n">
        <v>44441</v>
      </c>
      <c r="C1264" s="1" t="n">
        <v>45939</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34591-2025</t>
        </is>
      </c>
      <c r="B1265" s="1" t="n">
        <v>45847.62920138889</v>
      </c>
      <c r="C1265" s="1" t="n">
        <v>45939</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34593-2025</t>
        </is>
      </c>
      <c r="B1266" s="1" t="n">
        <v>45847.6316087963</v>
      </c>
      <c r="C1266" s="1" t="n">
        <v>45939</v>
      </c>
      <c r="D1266" t="inlineStr">
        <is>
          <t>VÄSTERNORRLANDS LÄN</t>
        </is>
      </c>
      <c r="E1266" t="inlineStr">
        <is>
          <t>ÅNGE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60003-2023</t>
        </is>
      </c>
      <c r="B1267" s="1" t="n">
        <v>45257</v>
      </c>
      <c r="C1267" s="1" t="n">
        <v>45939</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213-2024</t>
        </is>
      </c>
      <c r="B1268" s="1" t="n">
        <v>45293</v>
      </c>
      <c r="C1268" s="1" t="n">
        <v>45939</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40788-2024</t>
        </is>
      </c>
      <c r="B1269" s="1" t="n">
        <v>45558.50974537037</v>
      </c>
      <c r="C1269" s="1" t="n">
        <v>45939</v>
      </c>
      <c r="D1269" t="inlineStr">
        <is>
          <t>VÄSTERNORRLANDS LÄN</t>
        </is>
      </c>
      <c r="E1269" t="inlineStr">
        <is>
          <t>ÅNGE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741-2024</t>
        </is>
      </c>
      <c r="B1270" s="1" t="n">
        <v>45300.46591435185</v>
      </c>
      <c r="C1270" s="1" t="n">
        <v>45939</v>
      </c>
      <c r="D1270" t="inlineStr">
        <is>
          <t>VÄSTERNORRLANDS LÄN</t>
        </is>
      </c>
      <c r="E1270" t="inlineStr">
        <is>
          <t>ÅNGE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35143-2025</t>
        </is>
      </c>
      <c r="B1271" s="1" t="n">
        <v>45852.65660879629</v>
      </c>
      <c r="C1271" s="1" t="n">
        <v>45939</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54611-2023</t>
        </is>
      </c>
      <c r="B1272" s="1" t="n">
        <v>45233</v>
      </c>
      <c r="C1272" s="1" t="n">
        <v>45939</v>
      </c>
      <c r="D1272" t="inlineStr">
        <is>
          <t>VÄSTERNORRLANDS LÄN</t>
        </is>
      </c>
      <c r="E1272" t="inlineStr">
        <is>
          <t>ÅNGE</t>
        </is>
      </c>
      <c r="F1272" t="inlineStr">
        <is>
          <t>SCA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35061-2025</t>
        </is>
      </c>
      <c r="B1273" s="1" t="n">
        <v>45852</v>
      </c>
      <c r="C1273" s="1" t="n">
        <v>45939</v>
      </c>
      <c r="D1273" t="inlineStr">
        <is>
          <t>VÄSTERNORRLANDS LÄN</t>
        </is>
      </c>
      <c r="E1273" t="inlineStr">
        <is>
          <t>ÅNGE</t>
        </is>
      </c>
      <c r="F1273" t="inlineStr">
        <is>
          <t>SCA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14673-2025</t>
        </is>
      </c>
      <c r="B1274" s="1" t="n">
        <v>45742.55309027778</v>
      </c>
      <c r="C1274" s="1" t="n">
        <v>45939</v>
      </c>
      <c r="D1274" t="inlineStr">
        <is>
          <t>VÄSTERNORRLANDS LÄN</t>
        </is>
      </c>
      <c r="E1274" t="inlineStr">
        <is>
          <t>ÅNGE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15032-2025</t>
        </is>
      </c>
      <c r="B1275" s="1" t="n">
        <v>45743.67748842593</v>
      </c>
      <c r="C1275" s="1" t="n">
        <v>45939</v>
      </c>
      <c r="D1275" t="inlineStr">
        <is>
          <t>VÄSTERNORRLANDS LÄN</t>
        </is>
      </c>
      <c r="E1275" t="inlineStr">
        <is>
          <t>ÅNGE</t>
        </is>
      </c>
      <c r="F1275" t="inlineStr">
        <is>
          <t>SCA</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7692-2024</t>
        </is>
      </c>
      <c r="B1276" s="1" t="n">
        <v>45349</v>
      </c>
      <c r="C1276" s="1" t="n">
        <v>45939</v>
      </c>
      <c r="D1276" t="inlineStr">
        <is>
          <t>VÄSTERNORRLANDS LÄN</t>
        </is>
      </c>
      <c r="E1276" t="inlineStr">
        <is>
          <t>ÅNGE</t>
        </is>
      </c>
      <c r="F1276" t="inlineStr">
        <is>
          <t>SCA</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29673-2024</t>
        </is>
      </c>
      <c r="B1277" s="1" t="n">
        <v>45484.94210648148</v>
      </c>
      <c r="C1277" s="1" t="n">
        <v>45939</v>
      </c>
      <c r="D1277" t="inlineStr">
        <is>
          <t>VÄSTERNORRLANDS LÄN</t>
        </is>
      </c>
      <c r="E1277" t="inlineStr">
        <is>
          <t>ÅNGE</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5602-2025</t>
        </is>
      </c>
      <c r="B1278" s="1" t="n">
        <v>45693</v>
      </c>
      <c r="C1278" s="1" t="n">
        <v>45939</v>
      </c>
      <c r="D1278" t="inlineStr">
        <is>
          <t>VÄSTERNORRLANDS LÄN</t>
        </is>
      </c>
      <c r="E1278" t="inlineStr">
        <is>
          <t>ÅNGE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30751-2024</t>
        </is>
      </c>
      <c r="B1279" s="1" t="n">
        <v>45496.69339120371</v>
      </c>
      <c r="C1279" s="1" t="n">
        <v>45939</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40898-2025</t>
        </is>
      </c>
      <c r="B1280" s="1" t="n">
        <v>45897.61503472222</v>
      </c>
      <c r="C1280" s="1" t="n">
        <v>45939</v>
      </c>
      <c r="D1280" t="inlineStr">
        <is>
          <t>VÄSTERNORRLANDS LÄN</t>
        </is>
      </c>
      <c r="E1280" t="inlineStr">
        <is>
          <t>ÅNGE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40830-2025</t>
        </is>
      </c>
      <c r="B1281" s="1" t="n">
        <v>45897.51079861111</v>
      </c>
      <c r="C1281" s="1" t="n">
        <v>45939</v>
      </c>
      <c r="D1281" t="inlineStr">
        <is>
          <t>VÄSTERNORRLANDS LÄN</t>
        </is>
      </c>
      <c r="E1281" t="inlineStr">
        <is>
          <t>ÅNGE</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40872-2025</t>
        </is>
      </c>
      <c r="B1282" s="1" t="n">
        <v>45897.574375</v>
      </c>
      <c r="C1282" s="1" t="n">
        <v>45939</v>
      </c>
      <c r="D1282" t="inlineStr">
        <is>
          <t>VÄSTERNORRLANDS LÄN</t>
        </is>
      </c>
      <c r="E1282" t="inlineStr">
        <is>
          <t>ÅNGE</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35503-2025</t>
        </is>
      </c>
      <c r="B1283" s="1" t="n">
        <v>45856</v>
      </c>
      <c r="C1283" s="1" t="n">
        <v>45939</v>
      </c>
      <c r="D1283" t="inlineStr">
        <is>
          <t>VÄSTERNORRLANDS LÄN</t>
        </is>
      </c>
      <c r="E1283" t="inlineStr">
        <is>
          <t>ÅNGE</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35540-2025</t>
        </is>
      </c>
      <c r="B1284" s="1" t="n">
        <v>45856.46912037037</v>
      </c>
      <c r="C1284" s="1" t="n">
        <v>45939</v>
      </c>
      <c r="D1284" t="inlineStr">
        <is>
          <t>VÄSTERNORRLANDS LÄN</t>
        </is>
      </c>
      <c r="E1284" t="inlineStr">
        <is>
          <t>ÅNGE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41179-2025</t>
        </is>
      </c>
      <c r="B1285" s="1" t="n">
        <v>45898.55277777778</v>
      </c>
      <c r="C1285" s="1" t="n">
        <v>45939</v>
      </c>
      <c r="D1285" t="inlineStr">
        <is>
          <t>VÄSTERNORRLANDS LÄN</t>
        </is>
      </c>
      <c r="E1285" t="inlineStr">
        <is>
          <t>ÅNGE</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40899-2025</t>
        </is>
      </c>
      <c r="B1286" s="1" t="n">
        <v>45897.61528935185</v>
      </c>
      <c r="C1286" s="1" t="n">
        <v>45939</v>
      </c>
      <c r="D1286" t="inlineStr">
        <is>
          <t>VÄSTERNORRLANDS LÄN</t>
        </is>
      </c>
      <c r="E1286" t="inlineStr">
        <is>
          <t>ÅNGE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38099-2024</t>
        </is>
      </c>
      <c r="B1287" s="1" t="n">
        <v>45545.35920138889</v>
      </c>
      <c r="C1287" s="1" t="n">
        <v>45939</v>
      </c>
      <c r="D1287" t="inlineStr">
        <is>
          <t>VÄSTERNORRLANDS LÄN</t>
        </is>
      </c>
      <c r="E1287" t="inlineStr">
        <is>
          <t>ÅNGE</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35548-2025</t>
        </is>
      </c>
      <c r="B1288" s="1" t="n">
        <v>45856.48995370371</v>
      </c>
      <c r="C1288" s="1" t="n">
        <v>45939</v>
      </c>
      <c r="D1288" t="inlineStr">
        <is>
          <t>VÄSTERNORRLANDS LÄN</t>
        </is>
      </c>
      <c r="E1288" t="inlineStr">
        <is>
          <t>ÅNGE</t>
        </is>
      </c>
      <c r="F1288" t="inlineStr">
        <is>
          <t>SCA</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44636-2024</t>
        </is>
      </c>
      <c r="B1289" s="1" t="n">
        <v>45574.51491898148</v>
      </c>
      <c r="C1289" s="1" t="n">
        <v>45939</v>
      </c>
      <c r="D1289" t="inlineStr">
        <is>
          <t>VÄSTERNORRLANDS LÄN</t>
        </is>
      </c>
      <c r="E1289" t="inlineStr">
        <is>
          <t>ÅNGE</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35575-2025</t>
        </is>
      </c>
      <c r="B1290" s="1" t="n">
        <v>45856.63591435185</v>
      </c>
      <c r="C1290" s="1" t="n">
        <v>45939</v>
      </c>
      <c r="D1290" t="inlineStr">
        <is>
          <t>VÄSTERNORRLANDS LÄN</t>
        </is>
      </c>
      <c r="E1290" t="inlineStr">
        <is>
          <t>ÅNGE</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64375-2023</t>
        </is>
      </c>
      <c r="B1291" s="1" t="n">
        <v>45280</v>
      </c>
      <c r="C1291" s="1" t="n">
        <v>45939</v>
      </c>
      <c r="D1291" t="inlineStr">
        <is>
          <t>VÄSTERNORRLANDS LÄN</t>
        </is>
      </c>
      <c r="E1291" t="inlineStr">
        <is>
          <t>ÅNGE</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35497-2025</t>
        </is>
      </c>
      <c r="B1292" s="1" t="n">
        <v>45856.29752314815</v>
      </c>
      <c r="C1292" s="1" t="n">
        <v>45939</v>
      </c>
      <c r="D1292" t="inlineStr">
        <is>
          <t>VÄSTERNORRLANDS LÄN</t>
        </is>
      </c>
      <c r="E1292" t="inlineStr">
        <is>
          <t>ÅNGE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40818-2025</t>
        </is>
      </c>
      <c r="B1293" s="1" t="n">
        <v>45897.48881944444</v>
      </c>
      <c r="C1293" s="1" t="n">
        <v>45939</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35432-2025</t>
        </is>
      </c>
      <c r="B1294" s="1" t="n">
        <v>45855.44831018519</v>
      </c>
      <c r="C1294" s="1" t="n">
        <v>45939</v>
      </c>
      <c r="D1294" t="inlineStr">
        <is>
          <t>VÄSTERNORRLANDS LÄN</t>
        </is>
      </c>
      <c r="E1294" t="inlineStr">
        <is>
          <t>ÅNGE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60296-2021</t>
        </is>
      </c>
      <c r="B1295" s="1" t="n">
        <v>44495</v>
      </c>
      <c r="C1295" s="1" t="n">
        <v>45939</v>
      </c>
      <c r="D1295" t="inlineStr">
        <is>
          <t>VÄSTERNORRLANDS LÄN</t>
        </is>
      </c>
      <c r="E1295" t="inlineStr">
        <is>
          <t>ÅNGE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35577-2025</t>
        </is>
      </c>
      <c r="B1296" s="1" t="n">
        <v>45856.67762731481</v>
      </c>
      <c r="C1296" s="1" t="n">
        <v>45939</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63556-2021</t>
        </is>
      </c>
      <c r="B1297" s="1" t="n">
        <v>44508.70231481481</v>
      </c>
      <c r="C1297" s="1" t="n">
        <v>45939</v>
      </c>
      <c r="D1297" t="inlineStr">
        <is>
          <t>VÄSTERNORRLANDS LÄN</t>
        </is>
      </c>
      <c r="E1297" t="inlineStr">
        <is>
          <t>ÅNGE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10922-2024</t>
        </is>
      </c>
      <c r="B1298" s="1" t="n">
        <v>45370</v>
      </c>
      <c r="C1298" s="1" t="n">
        <v>45939</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21089-2024</t>
        </is>
      </c>
      <c r="B1299" s="1" t="n">
        <v>45439.94987268518</v>
      </c>
      <c r="C1299" s="1" t="n">
        <v>45939</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35690-2025</t>
        </is>
      </c>
      <c r="B1300" s="1" t="n">
        <v>45860.34421296296</v>
      </c>
      <c r="C1300" s="1" t="n">
        <v>45939</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64950-2023</t>
        </is>
      </c>
      <c r="B1301" s="1" t="n">
        <v>45282</v>
      </c>
      <c r="C1301" s="1" t="n">
        <v>45939</v>
      </c>
      <c r="D1301" t="inlineStr">
        <is>
          <t>VÄSTERNORRLANDS LÄN</t>
        </is>
      </c>
      <c r="E1301" t="inlineStr">
        <is>
          <t>ÅNGE</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20393-2022</t>
        </is>
      </c>
      <c r="B1302" s="1" t="n">
        <v>44699</v>
      </c>
      <c r="C1302" s="1" t="n">
        <v>45939</v>
      </c>
      <c r="D1302" t="inlineStr">
        <is>
          <t>VÄSTERNORRLANDS LÄN</t>
        </is>
      </c>
      <c r="E1302" t="inlineStr">
        <is>
          <t>ÅNGE</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4727-2023</t>
        </is>
      </c>
      <c r="B1303" s="1" t="n">
        <v>44953</v>
      </c>
      <c r="C1303" s="1" t="n">
        <v>45939</v>
      </c>
      <c r="D1303" t="inlineStr">
        <is>
          <t>VÄSTERNORRLANDS LÄN</t>
        </is>
      </c>
      <c r="E1303" t="inlineStr">
        <is>
          <t>ÅNGE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35650-2024</t>
        </is>
      </c>
      <c r="B1304" s="1" t="n">
        <v>45532.34123842593</v>
      </c>
      <c r="C1304" s="1" t="n">
        <v>45939</v>
      </c>
      <c r="D1304" t="inlineStr">
        <is>
          <t>VÄSTERNORRLANDS LÄN</t>
        </is>
      </c>
      <c r="E1304" t="inlineStr">
        <is>
          <t>ÅNGE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3357-2024</t>
        </is>
      </c>
      <c r="B1305" s="1" t="n">
        <v>45317</v>
      </c>
      <c r="C1305" s="1" t="n">
        <v>45939</v>
      </c>
      <c r="D1305" t="inlineStr">
        <is>
          <t>VÄSTERNORRLANDS LÄN</t>
        </is>
      </c>
      <c r="E1305" t="inlineStr">
        <is>
          <t>ÅNGE</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46332-2023</t>
        </is>
      </c>
      <c r="B1306" s="1" t="n">
        <v>45196</v>
      </c>
      <c r="C1306" s="1" t="n">
        <v>45939</v>
      </c>
      <c r="D1306" t="inlineStr">
        <is>
          <t>VÄSTERNORRLANDS LÄN</t>
        </is>
      </c>
      <c r="E1306" t="inlineStr">
        <is>
          <t>ÅNGE</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35781-2025</t>
        </is>
      </c>
      <c r="B1307" s="1" t="n">
        <v>45860.70613425926</v>
      </c>
      <c r="C1307" s="1" t="n">
        <v>45939</v>
      </c>
      <c r="D1307" t="inlineStr">
        <is>
          <t>VÄSTERNORRLANDS LÄN</t>
        </is>
      </c>
      <c r="E1307" t="inlineStr">
        <is>
          <t>ÅNGE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35766-2025</t>
        </is>
      </c>
      <c r="B1308" s="1" t="n">
        <v>45860.63077546296</v>
      </c>
      <c r="C1308" s="1" t="n">
        <v>45939</v>
      </c>
      <c r="D1308" t="inlineStr">
        <is>
          <t>VÄSTERNORRLANDS LÄN</t>
        </is>
      </c>
      <c r="E1308" t="inlineStr">
        <is>
          <t>ÅNGE</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41355-2025</t>
        </is>
      </c>
      <c r="B1309" s="1" t="n">
        <v>45900.34425925926</v>
      </c>
      <c r="C1309" s="1" t="n">
        <v>45939</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41872-2025</t>
        </is>
      </c>
      <c r="B1310" s="1" t="n">
        <v>45903.34497685185</v>
      </c>
      <c r="C1310" s="1" t="n">
        <v>45939</v>
      </c>
      <c r="D1310" t="inlineStr">
        <is>
          <t>VÄSTERNORRLANDS LÄN</t>
        </is>
      </c>
      <c r="E1310" t="inlineStr">
        <is>
          <t>ÅNGE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64945-2023</t>
        </is>
      </c>
      <c r="B1311" s="1" t="n">
        <v>45282.94668981482</v>
      </c>
      <c r="C1311" s="1" t="n">
        <v>45939</v>
      </c>
      <c r="D1311" t="inlineStr">
        <is>
          <t>VÄSTERNORRLANDS LÄN</t>
        </is>
      </c>
      <c r="E1311" t="inlineStr">
        <is>
          <t>ÅNGE</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35826-2025</t>
        </is>
      </c>
      <c r="B1312" s="1" t="n">
        <v>45861.48997685185</v>
      </c>
      <c r="C1312" s="1" t="n">
        <v>45939</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35838-2025</t>
        </is>
      </c>
      <c r="B1313" s="1" t="n">
        <v>45861.53829861111</v>
      </c>
      <c r="C1313" s="1" t="n">
        <v>45939</v>
      </c>
      <c r="D1313" t="inlineStr">
        <is>
          <t>VÄSTERNORRLANDS LÄN</t>
        </is>
      </c>
      <c r="E1313" t="inlineStr">
        <is>
          <t>ÅNGE</t>
        </is>
      </c>
      <c r="F1313" t="inlineStr">
        <is>
          <t>Sveaskog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23018-2021</t>
        </is>
      </c>
      <c r="B1314" s="1" t="n">
        <v>44328</v>
      </c>
      <c r="C1314" s="1" t="n">
        <v>45939</v>
      </c>
      <c r="D1314" t="inlineStr">
        <is>
          <t>VÄSTERNORRLANDS LÄN</t>
        </is>
      </c>
      <c r="E1314" t="inlineStr">
        <is>
          <t>ÅNGE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31866-2024</t>
        </is>
      </c>
      <c r="B1315" s="1" t="n">
        <v>45509</v>
      </c>
      <c r="C1315" s="1" t="n">
        <v>45939</v>
      </c>
      <c r="D1315" t="inlineStr">
        <is>
          <t>VÄSTERNORRLANDS LÄN</t>
        </is>
      </c>
      <c r="E1315" t="inlineStr">
        <is>
          <t>ÅNGE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31867-2024</t>
        </is>
      </c>
      <c r="B1316" s="1" t="n">
        <v>45509</v>
      </c>
      <c r="C1316" s="1" t="n">
        <v>45939</v>
      </c>
      <c r="D1316" t="inlineStr">
        <is>
          <t>VÄSTERNORRLANDS LÄN</t>
        </is>
      </c>
      <c r="E1316" t="inlineStr">
        <is>
          <t>ÅNGE</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39178-2024</t>
        </is>
      </c>
      <c r="B1317" s="1" t="n">
        <v>45548.65692129629</v>
      </c>
      <c r="C1317" s="1" t="n">
        <v>45939</v>
      </c>
      <c r="D1317" t="inlineStr">
        <is>
          <t>VÄSTERNORRLANDS LÄN</t>
        </is>
      </c>
      <c r="E1317" t="inlineStr">
        <is>
          <t>ÅNGE</t>
        </is>
      </c>
      <c r="F1317" t="inlineStr">
        <is>
          <t>SCA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41870-2025</t>
        </is>
      </c>
      <c r="B1318" s="1" t="n">
        <v>45903.3446412037</v>
      </c>
      <c r="C1318" s="1" t="n">
        <v>45939</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35827-2025</t>
        </is>
      </c>
      <c r="B1319" s="1" t="n">
        <v>45861.49017361111</v>
      </c>
      <c r="C1319" s="1" t="n">
        <v>45939</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30683-2024</t>
        </is>
      </c>
      <c r="B1320" s="1" t="n">
        <v>45495</v>
      </c>
      <c r="C1320" s="1" t="n">
        <v>45939</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42880-2025</t>
        </is>
      </c>
      <c r="B1321" s="1" t="n">
        <v>45908.63599537037</v>
      </c>
      <c r="C1321" s="1" t="n">
        <v>45939</v>
      </c>
      <c r="D1321" t="inlineStr">
        <is>
          <t>VÄSTERNORRLANDS LÄN</t>
        </is>
      </c>
      <c r="E1321" t="inlineStr">
        <is>
          <t>ÅNGE</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42889-2025</t>
        </is>
      </c>
      <c r="B1322" s="1" t="n">
        <v>45908.65546296296</v>
      </c>
      <c r="C1322" s="1" t="n">
        <v>45939</v>
      </c>
      <c r="D1322" t="inlineStr">
        <is>
          <t>VÄSTERNORRLANDS LÄN</t>
        </is>
      </c>
      <c r="E1322" t="inlineStr">
        <is>
          <t>ÅNGE</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29193-2024</t>
        </is>
      </c>
      <c r="B1323" s="1" t="n">
        <v>45482.56510416666</v>
      </c>
      <c r="C1323" s="1" t="n">
        <v>45939</v>
      </c>
      <c r="D1323" t="inlineStr">
        <is>
          <t>VÄSTERNORRLANDS LÄN</t>
        </is>
      </c>
      <c r="E1323" t="inlineStr">
        <is>
          <t>ÅNGE</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42040-2024</t>
        </is>
      </c>
      <c r="B1324" s="1" t="n">
        <v>45561.80983796297</v>
      </c>
      <c r="C1324" s="1" t="n">
        <v>45939</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42764-2025</t>
        </is>
      </c>
      <c r="B1325" s="1" t="n">
        <v>45908.46943287037</v>
      </c>
      <c r="C1325" s="1" t="n">
        <v>45939</v>
      </c>
      <c r="D1325" t="inlineStr">
        <is>
          <t>VÄSTERNORRLANDS LÄN</t>
        </is>
      </c>
      <c r="E1325" t="inlineStr">
        <is>
          <t>ÅNGE</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42786-2025</t>
        </is>
      </c>
      <c r="B1326" s="1" t="n">
        <v>45908.51097222222</v>
      </c>
      <c r="C1326" s="1" t="n">
        <v>45939</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34691-2024</t>
        </is>
      </c>
      <c r="B1327" s="1" t="n">
        <v>45526.54516203704</v>
      </c>
      <c r="C1327" s="1" t="n">
        <v>45939</v>
      </c>
      <c r="D1327" t="inlineStr">
        <is>
          <t>VÄSTERNORRLANDS LÄN</t>
        </is>
      </c>
      <c r="E1327" t="inlineStr">
        <is>
          <t>ÅNGE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54210-2024</t>
        </is>
      </c>
      <c r="B1328" s="1" t="n">
        <v>45616.65662037037</v>
      </c>
      <c r="C1328" s="1" t="n">
        <v>45939</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42589-2025</t>
        </is>
      </c>
      <c r="B1329" s="1" t="n">
        <v>45905.63585648148</v>
      </c>
      <c r="C1329" s="1" t="n">
        <v>45939</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42730-2025</t>
        </is>
      </c>
      <c r="B1330" s="1" t="n">
        <v>45908.40666666667</v>
      </c>
      <c r="C1330" s="1" t="n">
        <v>45939</v>
      </c>
      <c r="D1330" t="inlineStr">
        <is>
          <t>VÄSTERNORRLANDS LÄN</t>
        </is>
      </c>
      <c r="E1330" t="inlineStr">
        <is>
          <t>ÅNGE</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42863-2025</t>
        </is>
      </c>
      <c r="B1331" s="1" t="n">
        <v>45908.61527777778</v>
      </c>
      <c r="C1331" s="1" t="n">
        <v>45939</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52805-2024</t>
        </is>
      </c>
      <c r="B1332" s="1" t="n">
        <v>45610.57344907407</v>
      </c>
      <c r="C1332" s="1" t="n">
        <v>45939</v>
      </c>
      <c r="D1332" t="inlineStr">
        <is>
          <t>VÄSTERNORRLANDS LÄN</t>
        </is>
      </c>
      <c r="E1332" t="inlineStr">
        <is>
          <t>ÅNGE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42715-2025</t>
        </is>
      </c>
      <c r="B1333" s="1" t="n">
        <v>45908.3858912037</v>
      </c>
      <c r="C1333" s="1" t="n">
        <v>45939</v>
      </c>
      <c r="D1333" t="inlineStr">
        <is>
          <t>VÄSTERNORRLANDS LÄN</t>
        </is>
      </c>
      <c r="E1333" t="inlineStr">
        <is>
          <t>ÅNGE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42785-2025</t>
        </is>
      </c>
      <c r="B1334" s="1" t="n">
        <v>45908.51083333333</v>
      </c>
      <c r="C1334" s="1" t="n">
        <v>45939</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61577-2023</t>
        </is>
      </c>
      <c r="B1335" s="1" t="n">
        <v>45265.47366898148</v>
      </c>
      <c r="C1335" s="1" t="n">
        <v>45939</v>
      </c>
      <c r="D1335" t="inlineStr">
        <is>
          <t>VÄSTERNORRLANDS LÄN</t>
        </is>
      </c>
      <c r="E1335" t="inlineStr">
        <is>
          <t>ÅNGE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1735-2025</t>
        </is>
      </c>
      <c r="B1336" s="1" t="n">
        <v>45671.38594907407</v>
      </c>
      <c r="C1336" s="1" t="n">
        <v>45939</v>
      </c>
      <c r="D1336" t="inlineStr">
        <is>
          <t>VÄSTERNORRLANDS LÄN</t>
        </is>
      </c>
      <c r="E1336" t="inlineStr">
        <is>
          <t>ÅNGE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45939-2023</t>
        </is>
      </c>
      <c r="B1337" s="1" t="n">
        <v>45195.94578703704</v>
      </c>
      <c r="C1337" s="1" t="n">
        <v>45939</v>
      </c>
      <c r="D1337" t="inlineStr">
        <is>
          <t>VÄSTERNORRLANDS LÄN</t>
        </is>
      </c>
      <c r="E1337" t="inlineStr">
        <is>
          <t>ÅNGE</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42731-2025</t>
        </is>
      </c>
      <c r="B1338" s="1" t="n">
        <v>45908.40686342592</v>
      </c>
      <c r="C1338" s="1" t="n">
        <v>45939</v>
      </c>
      <c r="D1338" t="inlineStr">
        <is>
          <t>VÄSTERNORRLANDS LÄN</t>
        </is>
      </c>
      <c r="E1338" t="inlineStr">
        <is>
          <t>ÅNGE</t>
        </is>
      </c>
      <c r="G1338" t="n">
        <v>14.1</v>
      </c>
      <c r="H1338" t="n">
        <v>0</v>
      </c>
      <c r="I1338" t="n">
        <v>0</v>
      </c>
      <c r="J1338" t="n">
        <v>0</v>
      </c>
      <c r="K1338" t="n">
        <v>0</v>
      </c>
      <c r="L1338" t="n">
        <v>0</v>
      </c>
      <c r="M1338" t="n">
        <v>0</v>
      </c>
      <c r="N1338" t="n">
        <v>0</v>
      </c>
      <c r="O1338" t="n">
        <v>0</v>
      </c>
      <c r="P1338" t="n">
        <v>0</v>
      </c>
      <c r="Q1338" t="n">
        <v>0</v>
      </c>
      <c r="R1338" s="2" t="inlineStr"/>
    </row>
    <row r="1339" ht="15" customHeight="1">
      <c r="A1339" t="inlineStr">
        <is>
          <t>A 61585-2022</t>
        </is>
      </c>
      <c r="B1339" s="1" t="n">
        <v>44916.63380787037</v>
      </c>
      <c r="C1339" s="1" t="n">
        <v>45939</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3574-2025</t>
        </is>
      </c>
      <c r="B1340" s="1" t="n">
        <v>45680.71916666667</v>
      </c>
      <c r="C1340" s="1" t="n">
        <v>45939</v>
      </c>
      <c r="D1340" t="inlineStr">
        <is>
          <t>VÄSTERNORRLANDS LÄN</t>
        </is>
      </c>
      <c r="E1340" t="inlineStr">
        <is>
          <t>ÅNGE</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36205-2025</t>
        </is>
      </c>
      <c r="B1341" s="1" t="n">
        <v>45867.44855324074</v>
      </c>
      <c r="C1341" s="1" t="n">
        <v>45939</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43221-2025</t>
        </is>
      </c>
      <c r="B1342" s="1" t="n">
        <v>45910.47981481482</v>
      </c>
      <c r="C1342" s="1" t="n">
        <v>45939</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43237-2025</t>
        </is>
      </c>
      <c r="B1343" s="1" t="n">
        <v>45910.51670138889</v>
      </c>
      <c r="C1343" s="1" t="n">
        <v>45939</v>
      </c>
      <c r="D1343" t="inlineStr">
        <is>
          <t>VÄSTERNORRLANDS LÄN</t>
        </is>
      </c>
      <c r="E1343" t="inlineStr">
        <is>
          <t>ÅNGE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36240-2025</t>
        </is>
      </c>
      <c r="B1344" s="1" t="n">
        <v>45867.55298611111</v>
      </c>
      <c r="C1344" s="1" t="n">
        <v>45939</v>
      </c>
      <c r="D1344" t="inlineStr">
        <is>
          <t>VÄSTERNORRLANDS LÄN</t>
        </is>
      </c>
      <c r="E1344" t="inlineStr">
        <is>
          <t>ÅNGE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36210-2025</t>
        </is>
      </c>
      <c r="B1345" s="1" t="n">
        <v>45867.46930555555</v>
      </c>
      <c r="C1345" s="1" t="n">
        <v>45939</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36236-2025</t>
        </is>
      </c>
      <c r="B1346" s="1" t="n">
        <v>45867.55245370371</v>
      </c>
      <c r="C1346" s="1" t="n">
        <v>45939</v>
      </c>
      <c r="D1346" t="inlineStr">
        <is>
          <t>VÄSTERNORRLANDS LÄN</t>
        </is>
      </c>
      <c r="E1346" t="inlineStr">
        <is>
          <t>ÅNGE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43252-2025</t>
        </is>
      </c>
      <c r="B1347" s="1" t="n">
        <v>45910.55292824074</v>
      </c>
      <c r="C1347" s="1" t="n">
        <v>45939</v>
      </c>
      <c r="D1347" t="inlineStr">
        <is>
          <t>VÄSTERNORRLANDS LÄN</t>
        </is>
      </c>
      <c r="E1347" t="inlineStr">
        <is>
          <t>ÅNGE</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36248-2025</t>
        </is>
      </c>
      <c r="B1348" s="1" t="n">
        <v>45867.57326388889</v>
      </c>
      <c r="C1348" s="1" t="n">
        <v>45939</v>
      </c>
      <c r="D1348" t="inlineStr">
        <is>
          <t>VÄSTERNORRLANDS LÄN</t>
        </is>
      </c>
      <c r="E1348" t="inlineStr">
        <is>
          <t>ÅNGE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29048-2021</t>
        </is>
      </c>
      <c r="B1349" s="1" t="n">
        <v>44358</v>
      </c>
      <c r="C1349" s="1" t="n">
        <v>45939</v>
      </c>
      <c r="D1349" t="inlineStr">
        <is>
          <t>VÄSTERNORRLANDS LÄN</t>
        </is>
      </c>
      <c r="E1349" t="inlineStr">
        <is>
          <t>ÅNGE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36237-2025</t>
        </is>
      </c>
      <c r="B1350" s="1" t="n">
        <v>45867.55263888889</v>
      </c>
      <c r="C1350" s="1" t="n">
        <v>45939</v>
      </c>
      <c r="D1350" t="inlineStr">
        <is>
          <t>VÄSTERNORRLANDS LÄN</t>
        </is>
      </c>
      <c r="E1350" t="inlineStr">
        <is>
          <t>ÅNGE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43265-2025</t>
        </is>
      </c>
      <c r="B1351" s="1" t="n">
        <v>45910.57377314815</v>
      </c>
      <c r="C1351" s="1" t="n">
        <v>45939</v>
      </c>
      <c r="D1351" t="inlineStr">
        <is>
          <t>VÄSTERNORRLANDS LÄN</t>
        </is>
      </c>
      <c r="E1351" t="inlineStr">
        <is>
          <t>ÅNGE</t>
        </is>
      </c>
      <c r="F1351" t="inlineStr">
        <is>
          <t>SCA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36193-2025</t>
        </is>
      </c>
      <c r="B1352" s="1" t="n">
        <v>45867.42741898148</v>
      </c>
      <c r="C1352" s="1" t="n">
        <v>45939</v>
      </c>
      <c r="D1352" t="inlineStr">
        <is>
          <t>VÄSTERNORRLANDS LÄN</t>
        </is>
      </c>
      <c r="E1352" t="inlineStr">
        <is>
          <t>ÅNGE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43091-2025</t>
        </is>
      </c>
      <c r="B1353" s="1" t="n">
        <v>45909.62511574074</v>
      </c>
      <c r="C1353" s="1" t="n">
        <v>45939</v>
      </c>
      <c r="D1353" t="inlineStr">
        <is>
          <t>VÄSTERNORRLANDS LÄN</t>
        </is>
      </c>
      <c r="E1353" t="inlineStr">
        <is>
          <t>ÅNGE</t>
        </is>
      </c>
      <c r="F1353" t="inlineStr">
        <is>
          <t>Kyrkan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36336-2025</t>
        </is>
      </c>
      <c r="B1354" s="1" t="n">
        <v>45868.44751157407</v>
      </c>
      <c r="C1354" s="1" t="n">
        <v>45939</v>
      </c>
      <c r="D1354" t="inlineStr">
        <is>
          <t>VÄSTERNORRLANDS LÄN</t>
        </is>
      </c>
      <c r="E1354" t="inlineStr">
        <is>
          <t>ÅNGE</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43250-2025</t>
        </is>
      </c>
      <c r="B1355" s="1" t="n">
        <v>45910.5525462963</v>
      </c>
      <c r="C1355" s="1" t="n">
        <v>45939</v>
      </c>
      <c r="D1355" t="inlineStr">
        <is>
          <t>VÄSTERNORRLANDS LÄN</t>
        </is>
      </c>
      <c r="E1355" t="inlineStr">
        <is>
          <t>ÅNGE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43077-2025</t>
        </is>
      </c>
      <c r="B1356" s="1" t="n">
        <v>45909.6046412037</v>
      </c>
      <c r="C1356" s="1" t="n">
        <v>45939</v>
      </c>
      <c r="D1356" t="inlineStr">
        <is>
          <t>VÄSTERNORRLANDS LÄN</t>
        </is>
      </c>
      <c r="E1356" t="inlineStr">
        <is>
          <t>ÅNGE</t>
        </is>
      </c>
      <c r="F1356" t="inlineStr">
        <is>
          <t>Kyrkan</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43707-2025</t>
        </is>
      </c>
      <c r="B1357" s="1" t="n">
        <v>45912.40668981482</v>
      </c>
      <c r="C1357" s="1" t="n">
        <v>45939</v>
      </c>
      <c r="D1357" t="inlineStr">
        <is>
          <t>VÄSTERNORRLANDS LÄN</t>
        </is>
      </c>
      <c r="E1357" t="inlineStr">
        <is>
          <t>ÅNGE</t>
        </is>
      </c>
      <c r="F1357" t="inlineStr">
        <is>
          <t>SCA</t>
        </is>
      </c>
      <c r="G1357" t="n">
        <v>12.5</v>
      </c>
      <c r="H1357" t="n">
        <v>0</v>
      </c>
      <c r="I1357" t="n">
        <v>0</v>
      </c>
      <c r="J1357" t="n">
        <v>0</v>
      </c>
      <c r="K1357" t="n">
        <v>0</v>
      </c>
      <c r="L1357" t="n">
        <v>0</v>
      </c>
      <c r="M1357" t="n">
        <v>0</v>
      </c>
      <c r="N1357" t="n">
        <v>0</v>
      </c>
      <c r="O1357" t="n">
        <v>0</v>
      </c>
      <c r="P1357" t="n">
        <v>0</v>
      </c>
      <c r="Q1357" t="n">
        <v>0</v>
      </c>
      <c r="R1357" s="2" t="inlineStr"/>
      <c r="U1357">
        <f>HYPERLINK("https://klasma.github.io/Logging_2260/knärot/A 43707-2025 karta knärot.png", "A 43707-2025")</f>
        <v/>
      </c>
      <c r="V1357">
        <f>HYPERLINK("https://klasma.github.io/Logging_2260/klagomål/A 43707-2025 FSC-klagomål.docx", "A 43707-2025")</f>
        <v/>
      </c>
      <c r="W1357">
        <f>HYPERLINK("https://klasma.github.io/Logging_2260/klagomålsmail/A 43707-2025 FSC-klagomål mail.docx", "A 43707-2025")</f>
        <v/>
      </c>
      <c r="X1357">
        <f>HYPERLINK("https://klasma.github.io/Logging_2260/tillsyn/A 43707-2025 tillsynsbegäran.docx", "A 43707-2025")</f>
        <v/>
      </c>
      <c r="Y1357">
        <f>HYPERLINK("https://klasma.github.io/Logging_2260/tillsynsmail/A 43707-2025 tillsynsbegäran mail.docx", "A 43707-2025")</f>
        <v/>
      </c>
    </row>
    <row r="1358" ht="15" customHeight="1">
      <c r="A1358" t="inlineStr">
        <is>
          <t>A 36457-2025</t>
        </is>
      </c>
      <c r="B1358" s="1" t="n">
        <v>45869.44842592593</v>
      </c>
      <c r="C1358" s="1" t="n">
        <v>45939</v>
      </c>
      <c r="D1358" t="inlineStr">
        <is>
          <t>VÄSTERNORRLANDS LÄN</t>
        </is>
      </c>
      <c r="E1358" t="inlineStr">
        <is>
          <t>ÅNGE</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43385-2025</t>
        </is>
      </c>
      <c r="B1359" s="1" t="n">
        <v>45911.36508101852</v>
      </c>
      <c r="C1359" s="1" t="n">
        <v>45939</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43386-2025</t>
        </is>
      </c>
      <c r="B1360" s="1" t="n">
        <v>45911.36520833334</v>
      </c>
      <c r="C1360" s="1" t="n">
        <v>45939</v>
      </c>
      <c r="D1360" t="inlineStr">
        <is>
          <t>VÄSTERNORRLANDS LÄN</t>
        </is>
      </c>
      <c r="E1360" t="inlineStr">
        <is>
          <t>ÅNGE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43389-2025</t>
        </is>
      </c>
      <c r="B1361" s="1" t="n">
        <v>45911.36560185185</v>
      </c>
      <c r="C1361" s="1" t="n">
        <v>45939</v>
      </c>
      <c r="D1361" t="inlineStr">
        <is>
          <t>VÄSTERNORRLANDS LÄN</t>
        </is>
      </c>
      <c r="E1361" t="inlineStr">
        <is>
          <t>ÅNGE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43415-2025</t>
        </is>
      </c>
      <c r="B1362" s="1" t="n">
        <v>45911.40662037037</v>
      </c>
      <c r="C1362" s="1" t="n">
        <v>45939</v>
      </c>
      <c r="D1362" t="inlineStr">
        <is>
          <t>VÄSTERNORRLANDS LÄN</t>
        </is>
      </c>
      <c r="E1362" t="inlineStr">
        <is>
          <t>ÅNGE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43546-2025</t>
        </is>
      </c>
      <c r="B1363" s="1" t="n">
        <v>45911.6153125</v>
      </c>
      <c r="C1363" s="1" t="n">
        <v>45939</v>
      </c>
      <c r="D1363" t="inlineStr">
        <is>
          <t>VÄSTERNORRLANDS LÄN</t>
        </is>
      </c>
      <c r="E1363" t="inlineStr">
        <is>
          <t>ÅNGE</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36456-2025</t>
        </is>
      </c>
      <c r="B1364" s="1" t="n">
        <v>45869.44827546296</v>
      </c>
      <c r="C1364" s="1" t="n">
        <v>45939</v>
      </c>
      <c r="D1364" t="inlineStr">
        <is>
          <t>VÄSTERNORRLANDS LÄN</t>
        </is>
      </c>
      <c r="E1364" t="inlineStr">
        <is>
          <t>ÅNGE</t>
        </is>
      </c>
      <c r="F1364" t="inlineStr">
        <is>
          <t>SCA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36491-2025</t>
        </is>
      </c>
      <c r="B1365" s="1" t="n">
        <v>45869.53173611111</v>
      </c>
      <c r="C1365" s="1" t="n">
        <v>45939</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c r="A1366" t="inlineStr">
        <is>
          <t>A 36873-2025</t>
        </is>
      </c>
      <c r="B1366" s="1" t="n">
        <v>45874.42935185185</v>
      </c>
      <c r="C1366" s="1" t="n">
        <v>45939</v>
      </c>
      <c r="D1366" t="inlineStr">
        <is>
          <t>VÄSTERNORRLANDS LÄN</t>
        </is>
      </c>
      <c r="E1366" t="inlineStr">
        <is>
          <t>ÅNGE</t>
        </is>
      </c>
      <c r="F1366" t="inlineStr">
        <is>
          <t>SCA</t>
        </is>
      </c>
      <c r="G1366" t="n">
        <v>16.9</v>
      </c>
      <c r="H1366" t="n">
        <v>0</v>
      </c>
      <c r="I1366" t="n">
        <v>0</v>
      </c>
      <c r="J1366" t="n">
        <v>0</v>
      </c>
      <c r="K1366" t="n">
        <v>0</v>
      </c>
      <c r="L1366" t="n">
        <v>0</v>
      </c>
      <c r="M1366" t="n">
        <v>0</v>
      </c>
      <c r="N1366" t="n">
        <v>0</v>
      </c>
      <c r="O1366" t="n">
        <v>0</v>
      </c>
      <c r="P1366" t="n">
        <v>0</v>
      </c>
      <c r="Q1366" t="n">
        <v>0</v>
      </c>
      <c r="R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2025-10-09T12:33:02Z</dcterms:created>
  <dcterms:modified xmlns:dcterms="http://purl.org/dc/terms/" xmlns:xsi="http://www.w3.org/2001/XMLSchema-instance" xsi:type="dcterms:W3CDTF">2025-10-09T12:33:03Z</dcterms:modified>
</cp:coreProperties>
</file>