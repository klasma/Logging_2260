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45926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45926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45926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45926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45926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45926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45926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45926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45926</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45926</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45926</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45926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45926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45926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45926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45926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45926</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45926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45926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45926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45926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45926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45926</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45926</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45926</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45926</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41874-2025</t>
        </is>
      </c>
      <c r="B39" s="1" t="n">
        <v>45903.3452662037</v>
      </c>
      <c r="C39" s="1" t="n">
        <v>45926</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30840-2023</t>
        </is>
      </c>
      <c r="B40" s="1" t="n">
        <v>45112</v>
      </c>
      <c r="C40" s="1" t="n">
        <v>45926</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45926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45926</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45926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45926</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34786-2021</t>
        </is>
      </c>
      <c r="B45" s="1" t="n">
        <v>44382</v>
      </c>
      <c r="C45" s="1" t="n">
        <v>45926</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42962-2024</t>
        </is>
      </c>
      <c r="B46" s="1" t="n">
        <v>45567.37194444444</v>
      </c>
      <c r="C46" s="1" t="n">
        <v>45926</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45926</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34519-2022</t>
        </is>
      </c>
      <c r="B48" s="1" t="n">
        <v>44792</v>
      </c>
      <c r="C48" s="1" t="n">
        <v>45926</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26473-2025</t>
        </is>
      </c>
      <c r="B49" s="1" t="n">
        <v>45807</v>
      </c>
      <c r="C49" s="1" t="n">
        <v>45926</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45926</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44607-2021</t>
        </is>
      </c>
      <c r="B51" s="1" t="n">
        <v>44435</v>
      </c>
      <c r="C51" s="1" t="n">
        <v>45926</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45926</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45926</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45926</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45926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45926</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31113-2025</t>
        </is>
      </c>
      <c r="B57" s="1" t="n">
        <v>45832.61501157407</v>
      </c>
      <c r="C57" s="1" t="n">
        <v>45926</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39065-2023</t>
        </is>
      </c>
      <c r="B58" s="1" t="n">
        <v>45163</v>
      </c>
      <c r="C58" s="1" t="n">
        <v>45926</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45926</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45926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45926</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45926</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45926</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45926</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45926</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45926</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10085-2023</t>
        </is>
      </c>
      <c r="B67" s="1" t="n">
        <v>44985.9447337963</v>
      </c>
      <c r="C67" s="1" t="n">
        <v>45926</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45926</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55176-2024</t>
        </is>
      </c>
      <c r="B69" s="1" t="n">
        <v>45621</v>
      </c>
      <c r="C69" s="1" t="n">
        <v>45926</v>
      </c>
      <c r="D69" t="inlineStr">
        <is>
          <t>VÄSTERNORRLANDS LÄN</t>
        </is>
      </c>
      <c r="E69" t="inlineStr">
        <is>
          <t>ÅNGE</t>
        </is>
      </c>
      <c r="F69" t="inlineStr">
        <is>
          <t>SCA</t>
        </is>
      </c>
      <c r="G69" t="n">
        <v>7.3</v>
      </c>
      <c r="H69" t="n">
        <v>0</v>
      </c>
      <c r="I69" t="n">
        <v>2</v>
      </c>
      <c r="J69" t="n">
        <v>3</v>
      </c>
      <c r="K69" t="n">
        <v>1</v>
      </c>
      <c r="L69" t="n">
        <v>0</v>
      </c>
      <c r="M69" t="n">
        <v>0</v>
      </c>
      <c r="N69" t="n">
        <v>0</v>
      </c>
      <c r="O69" t="n">
        <v>4</v>
      </c>
      <c r="P69" t="n">
        <v>1</v>
      </c>
      <c r="Q69" t="n">
        <v>6</v>
      </c>
      <c r="R69" s="2" t="inlineStr">
        <is>
          <t>Läderlappslav
Lunglav
Mörk kolflarnlav
Stiftgelélav
Bårdlav
Skinnlav</t>
        </is>
      </c>
      <c r="S69">
        <f>HYPERLINK("https://klasma.github.io/Logging_2260/artfynd/A 55176-2024 artfynd.xlsx", "A 55176-2024")</f>
        <v/>
      </c>
      <c r="T69">
        <f>HYPERLINK("https://klasma.github.io/Logging_2260/kartor/A 55176-2024 karta.png", "A 55176-2024")</f>
        <v/>
      </c>
      <c r="V69">
        <f>HYPERLINK("https://klasma.github.io/Logging_2260/klagomål/A 55176-2024 FSC-klagomål.docx", "A 55176-2024")</f>
        <v/>
      </c>
      <c r="W69">
        <f>HYPERLINK("https://klasma.github.io/Logging_2260/klagomålsmail/A 55176-2024 FSC-klagomål mail.docx", "A 55176-2024")</f>
        <v/>
      </c>
      <c r="X69">
        <f>HYPERLINK("https://klasma.github.io/Logging_2260/tillsyn/A 55176-2024 tillsynsbegäran.docx", "A 55176-2024")</f>
        <v/>
      </c>
      <c r="Y69">
        <f>HYPERLINK("https://klasma.github.io/Logging_2260/tillsynsmail/A 55176-2024 tillsynsbegäran mail.docx", "A 55176-2024")</f>
        <v/>
      </c>
    </row>
    <row r="70" ht="15" customHeight="1">
      <c r="A70" t="inlineStr">
        <is>
          <t>A 31509-2024</t>
        </is>
      </c>
      <c r="B70" s="1" t="n">
        <v>45505</v>
      </c>
      <c r="C70" s="1" t="n">
        <v>45926</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27955-2021</t>
        </is>
      </c>
      <c r="B71" s="1" t="n">
        <v>44354</v>
      </c>
      <c r="C71" s="1" t="n">
        <v>45926</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45926</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34694-2023</t>
        </is>
      </c>
      <c r="B73" s="1" t="n">
        <v>45140.96324074074</v>
      </c>
      <c r="C73" s="1" t="n">
        <v>45926</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26363-2023</t>
        </is>
      </c>
      <c r="B74" s="1" t="n">
        <v>45091</v>
      </c>
      <c r="C74" s="1" t="n">
        <v>45926</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39570-2025</t>
        </is>
      </c>
      <c r="B75" s="1" t="n">
        <v>45890.49009259259</v>
      </c>
      <c r="C75" s="1" t="n">
        <v>45926</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4130-2023</t>
        </is>
      </c>
      <c r="B76" s="1" t="n">
        <v>44952</v>
      </c>
      <c r="C76" s="1" t="n">
        <v>45926</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19010-2025</t>
        </is>
      </c>
      <c r="B77" s="1" t="n">
        <v>45764</v>
      </c>
      <c r="C77" s="1" t="n">
        <v>45926</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45402-2025</t>
        </is>
      </c>
      <c r="B78" s="1" t="n">
        <v>45922.4278587963</v>
      </c>
      <c r="C78" s="1" t="n">
        <v>45926</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45926</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45926</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23601-2025</t>
        </is>
      </c>
      <c r="B81" s="1" t="n">
        <v>45792</v>
      </c>
      <c r="C81" s="1" t="n">
        <v>45926</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13696-2023</t>
        </is>
      </c>
      <c r="B82" s="1" t="n">
        <v>45006</v>
      </c>
      <c r="C82" s="1" t="n">
        <v>45926</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27914-2024</t>
        </is>
      </c>
      <c r="B83" s="1" t="n">
        <v>45475</v>
      </c>
      <c r="C83" s="1" t="n">
        <v>45926</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45926</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26958-2024</t>
        </is>
      </c>
      <c r="B85" s="1" t="n">
        <v>45470</v>
      </c>
      <c r="C85" s="1" t="n">
        <v>45926</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55004-2023</t>
        </is>
      </c>
      <c r="B86" s="1" t="n">
        <v>45236</v>
      </c>
      <c r="C86" s="1" t="n">
        <v>45926</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51065-2024</t>
        </is>
      </c>
      <c r="B87" s="1" t="n">
        <v>45603</v>
      </c>
      <c r="C87" s="1" t="n">
        <v>45926</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43520-2025</t>
        </is>
      </c>
      <c r="B88" s="1" t="n">
        <v>45911.57364583333</v>
      </c>
      <c r="C88" s="1" t="n">
        <v>45926</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32911-2024</t>
        </is>
      </c>
      <c r="B89" s="1" t="n">
        <v>45516</v>
      </c>
      <c r="C89" s="1" t="n">
        <v>45926</v>
      </c>
      <c r="D89" t="inlineStr">
        <is>
          <t>VÄSTERNORRLANDS LÄN</t>
        </is>
      </c>
      <c r="E89" t="inlineStr">
        <is>
          <t>ÅNGE</t>
        </is>
      </c>
      <c r="F89" t="inlineStr">
        <is>
          <t>SCA</t>
        </is>
      </c>
      <c r="G89" t="n">
        <v>1</v>
      </c>
      <c r="H89" t="n">
        <v>3</v>
      </c>
      <c r="I89" t="n">
        <v>0</v>
      </c>
      <c r="J89" t="n">
        <v>2</v>
      </c>
      <c r="K89" t="n">
        <v>2</v>
      </c>
      <c r="L89" t="n">
        <v>0</v>
      </c>
      <c r="M89" t="n">
        <v>0</v>
      </c>
      <c r="N89" t="n">
        <v>0</v>
      </c>
      <c r="O89" t="n">
        <v>4</v>
      </c>
      <c r="P89" t="n">
        <v>2</v>
      </c>
      <c r="Q89" t="n">
        <v>5</v>
      </c>
      <c r="R89" s="2" t="inlineStr">
        <is>
          <t>Doftticka
Knärot
Garnlav
Lunglav
Revlummer</t>
        </is>
      </c>
      <c r="S89">
        <f>HYPERLINK("https://klasma.github.io/Logging_2260/artfynd/A 32911-2024 artfynd.xlsx", "A 32911-2024")</f>
        <v/>
      </c>
      <c r="T89">
        <f>HYPERLINK("https://klasma.github.io/Logging_2260/kartor/A 32911-2024 karta.png", "A 32911-2024")</f>
        <v/>
      </c>
      <c r="U89">
        <f>HYPERLINK("https://klasma.github.io/Logging_2260/knärot/A 32911-2024 karta knärot.png", "A 32911-2024")</f>
        <v/>
      </c>
      <c r="V89">
        <f>HYPERLINK("https://klasma.github.io/Logging_2260/klagomål/A 32911-2024 FSC-klagomål.docx", "A 32911-2024")</f>
        <v/>
      </c>
      <c r="W89">
        <f>HYPERLINK("https://klasma.github.io/Logging_2260/klagomålsmail/A 32911-2024 FSC-klagomål mail.docx", "A 32911-2024")</f>
        <v/>
      </c>
      <c r="X89">
        <f>HYPERLINK("https://klasma.github.io/Logging_2260/tillsyn/A 32911-2024 tillsynsbegäran.docx", "A 32911-2024")</f>
        <v/>
      </c>
      <c r="Y89">
        <f>HYPERLINK("https://klasma.github.io/Logging_2260/tillsynsmail/A 32911-2024 tillsynsbegäran mail.docx", "A 32911-2024")</f>
        <v/>
      </c>
    </row>
    <row r="90" ht="15" customHeight="1">
      <c r="A90" t="inlineStr">
        <is>
          <t>A 38322-2025</t>
        </is>
      </c>
      <c r="B90" s="1" t="n">
        <v>45883.49003472222</v>
      </c>
      <c r="C90" s="1" t="n">
        <v>45926</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45926</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46375-2025</t>
        </is>
      </c>
      <c r="B92" s="1" t="n">
        <v>45925.51097222222</v>
      </c>
      <c r="C92" s="1" t="n">
        <v>45926</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53169-2020</t>
        </is>
      </c>
      <c r="B93" s="1" t="n">
        <v>44120</v>
      </c>
      <c r="C93" s="1" t="n">
        <v>45926</v>
      </c>
      <c r="D93" t="inlineStr">
        <is>
          <t>VÄSTERNORRLANDS LÄN</t>
        </is>
      </c>
      <c r="E93" t="inlineStr">
        <is>
          <t>ÅNGE</t>
        </is>
      </c>
      <c r="F93" t="inlineStr">
        <is>
          <t>SCA</t>
        </is>
      </c>
      <c r="G93" t="n">
        <v>6.4</v>
      </c>
      <c r="H93" t="n">
        <v>2</v>
      </c>
      <c r="I93" t="n">
        <v>1</v>
      </c>
      <c r="J93" t="n">
        <v>2</v>
      </c>
      <c r="K93" t="n">
        <v>1</v>
      </c>
      <c r="L93" t="n">
        <v>0</v>
      </c>
      <c r="M93" t="n">
        <v>0</v>
      </c>
      <c r="N93" t="n">
        <v>0</v>
      </c>
      <c r="O93" t="n">
        <v>3</v>
      </c>
      <c r="P93" t="n">
        <v>1</v>
      </c>
      <c r="Q93" t="n">
        <v>4</v>
      </c>
      <c r="R93" s="2" t="inlineStr">
        <is>
          <t>Långskägg
Garnlav
Lunglav
Korallrot</t>
        </is>
      </c>
      <c r="S93">
        <f>HYPERLINK("https://klasma.github.io/Logging_2260/artfynd/A 53169-2020 artfynd.xlsx", "A 53169-2020")</f>
        <v/>
      </c>
      <c r="T93">
        <f>HYPERLINK("https://klasma.github.io/Logging_2260/kartor/A 53169-2020 karta.png", "A 53169-2020")</f>
        <v/>
      </c>
      <c r="V93">
        <f>HYPERLINK("https://klasma.github.io/Logging_2260/klagomål/A 53169-2020 FSC-klagomål.docx", "A 53169-2020")</f>
        <v/>
      </c>
      <c r="W93">
        <f>HYPERLINK("https://klasma.github.io/Logging_2260/klagomålsmail/A 53169-2020 FSC-klagomål mail.docx", "A 53169-2020")</f>
        <v/>
      </c>
      <c r="X93">
        <f>HYPERLINK("https://klasma.github.io/Logging_2260/tillsyn/A 53169-2020 tillsynsbegäran.docx", "A 53169-2020")</f>
        <v/>
      </c>
      <c r="Y93">
        <f>HYPERLINK("https://klasma.github.io/Logging_2260/tillsynsmail/A 53169-2020 tillsynsbegäran mail.docx", "A 53169-2020")</f>
        <v/>
      </c>
    </row>
    <row r="94" ht="15" customHeight="1">
      <c r="A94" t="inlineStr">
        <is>
          <t>A 44558-2024</t>
        </is>
      </c>
      <c r="B94" s="1" t="n">
        <v>45574.47001157407</v>
      </c>
      <c r="C94" s="1" t="n">
        <v>45926</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57299-2022</t>
        </is>
      </c>
      <c r="B95" s="1" t="n">
        <v>44895.95090277777</v>
      </c>
      <c r="C95" s="1" t="n">
        <v>45926</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55179-2024</t>
        </is>
      </c>
      <c r="B96" s="1" t="n">
        <v>45621.53204861111</v>
      </c>
      <c r="C96" s="1" t="n">
        <v>45926</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46548-2023</t>
        </is>
      </c>
      <c r="B97" s="1" t="n">
        <v>45197</v>
      </c>
      <c r="C97" s="1" t="n">
        <v>45926</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45926</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45926</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26953-2024</t>
        </is>
      </c>
      <c r="B100" s="1" t="n">
        <v>45470</v>
      </c>
      <c r="C100" s="1" t="n">
        <v>45926</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11029-2025</t>
        </is>
      </c>
      <c r="B101" s="1" t="n">
        <v>45723</v>
      </c>
      <c r="C101" s="1" t="n">
        <v>45926</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38713-2025</t>
        </is>
      </c>
      <c r="B102" s="1" t="n">
        <v>45886.34479166667</v>
      </c>
      <c r="C102" s="1" t="n">
        <v>45926</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723-2025</t>
        </is>
      </c>
      <c r="B103" s="1" t="n">
        <v>45665.38576388889</v>
      </c>
      <c r="C103" s="1" t="n">
        <v>45926</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27956-2021</t>
        </is>
      </c>
      <c r="B104" s="1" t="n">
        <v>44354</v>
      </c>
      <c r="C104" s="1" t="n">
        <v>45926</v>
      </c>
      <c r="D104" t="inlineStr">
        <is>
          <t>VÄSTERNORRLANDS LÄN</t>
        </is>
      </c>
      <c r="E104" t="inlineStr">
        <is>
          <t>ÅNGE</t>
        </is>
      </c>
      <c r="G104" t="n">
        <v>1.4</v>
      </c>
      <c r="H104" t="n">
        <v>0</v>
      </c>
      <c r="I104" t="n">
        <v>0</v>
      </c>
      <c r="J104" t="n">
        <v>3</v>
      </c>
      <c r="K104" t="n">
        <v>0</v>
      </c>
      <c r="L104" t="n">
        <v>0</v>
      </c>
      <c r="M104" t="n">
        <v>0</v>
      </c>
      <c r="N104" t="n">
        <v>0</v>
      </c>
      <c r="O104" t="n">
        <v>3</v>
      </c>
      <c r="P104" t="n">
        <v>0</v>
      </c>
      <c r="Q104" t="n">
        <v>3</v>
      </c>
      <c r="R104" s="2" t="inlineStr">
        <is>
          <t>Garnlav
Lunglav
Ullticka</t>
        </is>
      </c>
      <c r="S104">
        <f>HYPERLINK("https://klasma.github.io/Logging_2260/artfynd/A 27956-2021 artfynd.xlsx", "A 27956-2021")</f>
        <v/>
      </c>
      <c r="T104">
        <f>HYPERLINK("https://klasma.github.io/Logging_2260/kartor/A 27956-2021 karta.png", "A 27956-2021")</f>
        <v/>
      </c>
      <c r="V104">
        <f>HYPERLINK("https://klasma.github.io/Logging_2260/klagomål/A 27956-2021 FSC-klagomål.docx", "A 27956-2021")</f>
        <v/>
      </c>
      <c r="W104">
        <f>HYPERLINK("https://klasma.github.io/Logging_2260/klagomålsmail/A 27956-2021 FSC-klagomål mail.docx", "A 27956-2021")</f>
        <v/>
      </c>
      <c r="X104">
        <f>HYPERLINK("https://klasma.github.io/Logging_2260/tillsyn/A 27956-2021 tillsynsbegäran.docx", "A 27956-2021")</f>
        <v/>
      </c>
      <c r="Y104">
        <f>HYPERLINK("https://klasma.github.io/Logging_2260/tillsynsmail/A 27956-2021 tillsynsbegäran mail.docx", "A 27956-2021")</f>
        <v/>
      </c>
    </row>
    <row r="105" ht="15" customHeight="1">
      <c r="A105" t="inlineStr">
        <is>
          <t>A 10317-2022</t>
        </is>
      </c>
      <c r="B105" s="1" t="n">
        <v>44622</v>
      </c>
      <c r="C105" s="1" t="n">
        <v>45926</v>
      </c>
      <c r="D105" t="inlineStr">
        <is>
          <t>VÄSTERNORRLANDS LÄN</t>
        </is>
      </c>
      <c r="E105" t="inlineStr">
        <is>
          <t>ÅNGE</t>
        </is>
      </c>
      <c r="F105" t="inlineStr">
        <is>
          <t>SCA</t>
        </is>
      </c>
      <c r="G105" t="n">
        <v>3</v>
      </c>
      <c r="H105" t="n">
        <v>2</v>
      </c>
      <c r="I105" t="n">
        <v>1</v>
      </c>
      <c r="J105" t="n">
        <v>1</v>
      </c>
      <c r="K105" t="n">
        <v>1</v>
      </c>
      <c r="L105" t="n">
        <v>0</v>
      </c>
      <c r="M105" t="n">
        <v>0</v>
      </c>
      <c r="N105" t="n">
        <v>0</v>
      </c>
      <c r="O105" t="n">
        <v>2</v>
      </c>
      <c r="P105" t="n">
        <v>1</v>
      </c>
      <c r="Q105" t="n">
        <v>3</v>
      </c>
      <c r="R105" s="2" t="inlineStr">
        <is>
          <t>Knärot
Granticka
Tvåblad</t>
        </is>
      </c>
      <c r="S105">
        <f>HYPERLINK("https://klasma.github.io/Logging_2260/artfynd/A 10317-2022 artfynd.xlsx", "A 10317-2022")</f>
        <v/>
      </c>
      <c r="T105">
        <f>HYPERLINK("https://klasma.github.io/Logging_2260/kartor/A 10317-2022 karta.png", "A 10317-2022")</f>
        <v/>
      </c>
      <c r="U105">
        <f>HYPERLINK("https://klasma.github.io/Logging_2260/knärot/A 10317-2022 karta knärot.png", "A 10317-2022")</f>
        <v/>
      </c>
      <c r="V105">
        <f>HYPERLINK("https://klasma.github.io/Logging_2260/klagomål/A 10317-2022 FSC-klagomål.docx", "A 10317-2022")</f>
        <v/>
      </c>
      <c r="W105">
        <f>HYPERLINK("https://klasma.github.io/Logging_2260/klagomålsmail/A 10317-2022 FSC-klagomål mail.docx", "A 10317-2022")</f>
        <v/>
      </c>
      <c r="X105">
        <f>HYPERLINK("https://klasma.github.io/Logging_2260/tillsyn/A 10317-2022 tillsynsbegäran.docx", "A 10317-2022")</f>
        <v/>
      </c>
      <c r="Y105">
        <f>HYPERLINK("https://klasma.github.io/Logging_2260/tillsynsmail/A 10317-2022 tillsynsbegäran mail.docx", "A 10317-2022")</f>
        <v/>
      </c>
    </row>
    <row r="106" ht="15" customHeight="1">
      <c r="A106" t="inlineStr">
        <is>
          <t>A 21267-2025</t>
        </is>
      </c>
      <c r="B106" s="1" t="n">
        <v>45779</v>
      </c>
      <c r="C106" s="1" t="n">
        <v>45926</v>
      </c>
      <c r="D106" t="inlineStr">
        <is>
          <t>VÄSTERNORRLANDS LÄN</t>
        </is>
      </c>
      <c r="E106" t="inlineStr">
        <is>
          <t>ÅNGE</t>
        </is>
      </c>
      <c r="F106" t="inlineStr">
        <is>
          <t>Sveaskog</t>
        </is>
      </c>
      <c r="G106" t="n">
        <v>3.7</v>
      </c>
      <c r="H106" t="n">
        <v>2</v>
      </c>
      <c r="I106" t="n">
        <v>2</v>
      </c>
      <c r="J106" t="n">
        <v>1</v>
      </c>
      <c r="K106" t="n">
        <v>0</v>
      </c>
      <c r="L106" t="n">
        <v>0</v>
      </c>
      <c r="M106" t="n">
        <v>0</v>
      </c>
      <c r="N106" t="n">
        <v>0</v>
      </c>
      <c r="O106" t="n">
        <v>1</v>
      </c>
      <c r="P106" t="n">
        <v>0</v>
      </c>
      <c r="Q106" t="n">
        <v>3</v>
      </c>
      <c r="R106" s="2" t="inlineStr">
        <is>
          <t>Lunglav
Korallrot
Spindelblomster</t>
        </is>
      </c>
      <c r="S106">
        <f>HYPERLINK("https://klasma.github.io/Logging_2260/artfynd/A 21267-2025 artfynd.xlsx", "A 21267-2025")</f>
        <v/>
      </c>
      <c r="T106">
        <f>HYPERLINK("https://klasma.github.io/Logging_2260/kartor/A 21267-2025 karta.png", "A 21267-2025")</f>
        <v/>
      </c>
      <c r="V106">
        <f>HYPERLINK("https://klasma.github.io/Logging_2260/klagomål/A 21267-2025 FSC-klagomål.docx", "A 21267-2025")</f>
        <v/>
      </c>
      <c r="W106">
        <f>HYPERLINK("https://klasma.github.io/Logging_2260/klagomålsmail/A 21267-2025 FSC-klagomål mail.docx", "A 21267-2025")</f>
        <v/>
      </c>
      <c r="X106">
        <f>HYPERLINK("https://klasma.github.io/Logging_2260/tillsyn/A 21267-2025 tillsynsbegäran.docx", "A 21267-2025")</f>
        <v/>
      </c>
      <c r="Y106">
        <f>HYPERLINK("https://klasma.github.io/Logging_2260/tillsynsmail/A 21267-2025 tillsynsbegäran mail.docx", "A 21267-2025")</f>
        <v/>
      </c>
    </row>
    <row r="107" ht="15" customHeight="1">
      <c r="A107" t="inlineStr">
        <is>
          <t>A 39708-2024</t>
        </is>
      </c>
      <c r="B107" s="1" t="n">
        <v>45552.59408564815</v>
      </c>
      <c r="C107" s="1" t="n">
        <v>45926</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24796-2024</t>
        </is>
      </c>
      <c r="B108" s="1" t="n">
        <v>45460</v>
      </c>
      <c r="C108" s="1" t="n">
        <v>45926</v>
      </c>
      <c r="D108" t="inlineStr">
        <is>
          <t>VÄSTERNORRLANDS LÄN</t>
        </is>
      </c>
      <c r="E108" t="inlineStr">
        <is>
          <t>ÅNGE</t>
        </is>
      </c>
      <c r="F108" t="inlineStr">
        <is>
          <t>SCA</t>
        </is>
      </c>
      <c r="G108" t="n">
        <v>6.7</v>
      </c>
      <c r="H108" t="n">
        <v>1</v>
      </c>
      <c r="I108" t="n">
        <v>2</v>
      </c>
      <c r="J108" t="n">
        <v>1</v>
      </c>
      <c r="K108" t="n">
        <v>0</v>
      </c>
      <c r="L108" t="n">
        <v>0</v>
      </c>
      <c r="M108" t="n">
        <v>0</v>
      </c>
      <c r="N108" t="n">
        <v>0</v>
      </c>
      <c r="O108" t="n">
        <v>1</v>
      </c>
      <c r="P108" t="n">
        <v>0</v>
      </c>
      <c r="Q108" t="n">
        <v>3</v>
      </c>
      <c r="R108" s="2" t="inlineStr">
        <is>
          <t>Doftskinn
Korallrot
Skinnlav</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row>
    <row r="109" ht="15" customHeight="1">
      <c r="A109" t="inlineStr">
        <is>
          <t>A 23754-2025</t>
        </is>
      </c>
      <c r="B109" s="1" t="n">
        <v>45793.45782407407</v>
      </c>
      <c r="C109" s="1" t="n">
        <v>45926</v>
      </c>
      <c r="D109" t="inlineStr">
        <is>
          <t>VÄSTERNORRLANDS LÄN</t>
        </is>
      </c>
      <c r="E109" t="inlineStr">
        <is>
          <t>ÅNGE</t>
        </is>
      </c>
      <c r="F109" t="inlineStr">
        <is>
          <t>Sveaskog</t>
        </is>
      </c>
      <c r="G109" t="n">
        <v>4.3</v>
      </c>
      <c r="H109" t="n">
        <v>3</v>
      </c>
      <c r="I109" t="n">
        <v>0</v>
      </c>
      <c r="J109" t="n">
        <v>1</v>
      </c>
      <c r="K109" t="n">
        <v>0</v>
      </c>
      <c r="L109" t="n">
        <v>0</v>
      </c>
      <c r="M109" t="n">
        <v>0</v>
      </c>
      <c r="N109" t="n">
        <v>0</v>
      </c>
      <c r="O109" t="n">
        <v>1</v>
      </c>
      <c r="P109" t="n">
        <v>0</v>
      </c>
      <c r="Q109" t="n">
        <v>3</v>
      </c>
      <c r="R109" s="2" t="inlineStr">
        <is>
          <t>Spillkråka
Tjäder
Blåsippa</t>
        </is>
      </c>
      <c r="S109">
        <f>HYPERLINK("https://klasma.github.io/Logging_2260/artfynd/A 23754-2025 artfynd.xlsx", "A 23754-2025")</f>
        <v/>
      </c>
      <c r="T109">
        <f>HYPERLINK("https://klasma.github.io/Logging_2260/kartor/A 23754-2025 karta.png", "A 23754-2025")</f>
        <v/>
      </c>
      <c r="U109">
        <f>HYPERLINK("https://klasma.github.io/Logging_2260/knärot/A 23754-2025 karta knärot.png", "A 23754-2025")</f>
        <v/>
      </c>
      <c r="V109">
        <f>HYPERLINK("https://klasma.github.io/Logging_2260/klagomål/A 23754-2025 FSC-klagomål.docx", "A 23754-2025")</f>
        <v/>
      </c>
      <c r="W109">
        <f>HYPERLINK("https://klasma.github.io/Logging_2260/klagomålsmail/A 23754-2025 FSC-klagomål mail.docx", "A 23754-2025")</f>
        <v/>
      </c>
      <c r="X109">
        <f>HYPERLINK("https://klasma.github.io/Logging_2260/tillsyn/A 23754-2025 tillsynsbegäran.docx", "A 23754-2025")</f>
        <v/>
      </c>
      <c r="Y109">
        <f>HYPERLINK("https://klasma.github.io/Logging_2260/tillsynsmail/A 23754-2025 tillsynsbegäran mail.docx", "A 23754-2025")</f>
        <v/>
      </c>
      <c r="Z109">
        <f>HYPERLINK("https://klasma.github.io/Logging_2260/fåglar/A 23754-2025 prioriterade fågelarter.docx", "A 23754-2025")</f>
        <v/>
      </c>
    </row>
    <row r="110" ht="15" customHeight="1">
      <c r="A110" t="inlineStr">
        <is>
          <t>A 23759-2025</t>
        </is>
      </c>
      <c r="B110" s="1" t="n">
        <v>45793.46409722222</v>
      </c>
      <c r="C110" s="1" t="n">
        <v>45926</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29665-2024</t>
        </is>
      </c>
      <c r="B111" s="1" t="n">
        <v>45484</v>
      </c>
      <c r="C111" s="1" t="n">
        <v>45926</v>
      </c>
      <c r="D111" t="inlineStr">
        <is>
          <t>VÄSTERNORRLANDS LÄN</t>
        </is>
      </c>
      <c r="E111" t="inlineStr">
        <is>
          <t>ÅNGE</t>
        </is>
      </c>
      <c r="F111" t="inlineStr">
        <is>
          <t>SCA</t>
        </is>
      </c>
      <c r="G111" t="n">
        <v>3.3</v>
      </c>
      <c r="H111" t="n">
        <v>1</v>
      </c>
      <c r="I111" t="n">
        <v>0</v>
      </c>
      <c r="J111" t="n">
        <v>3</v>
      </c>
      <c r="K111" t="n">
        <v>0</v>
      </c>
      <c r="L111" t="n">
        <v>0</v>
      </c>
      <c r="M111" t="n">
        <v>0</v>
      </c>
      <c r="N111" t="n">
        <v>0</v>
      </c>
      <c r="O111" t="n">
        <v>3</v>
      </c>
      <c r="P111" t="n">
        <v>0</v>
      </c>
      <c r="Q111" t="n">
        <v>3</v>
      </c>
      <c r="R111" s="2" t="inlineStr">
        <is>
          <t>Garnlav
Granticka
Utter</t>
        </is>
      </c>
      <c r="S111">
        <f>HYPERLINK("https://klasma.github.io/Logging_2260/artfynd/A 29665-2024 artfynd.xlsx", "A 29665-2024")</f>
        <v/>
      </c>
      <c r="T111">
        <f>HYPERLINK("https://klasma.github.io/Logging_2260/kartor/A 29665-2024 karta.png", "A 29665-2024")</f>
        <v/>
      </c>
      <c r="V111">
        <f>HYPERLINK("https://klasma.github.io/Logging_2260/klagomål/A 29665-2024 FSC-klagomål.docx", "A 29665-2024")</f>
        <v/>
      </c>
      <c r="W111">
        <f>HYPERLINK("https://klasma.github.io/Logging_2260/klagomålsmail/A 29665-2024 FSC-klagomål mail.docx", "A 29665-2024")</f>
        <v/>
      </c>
      <c r="X111">
        <f>HYPERLINK("https://klasma.github.io/Logging_2260/tillsyn/A 29665-2024 tillsynsbegäran.docx", "A 29665-2024")</f>
        <v/>
      </c>
      <c r="Y111">
        <f>HYPERLINK("https://klasma.github.io/Logging_2260/tillsynsmail/A 29665-2024 tillsynsbegäran mail.docx", "A 29665-2024")</f>
        <v/>
      </c>
    </row>
    <row r="112" ht="15" customHeight="1">
      <c r="A112" t="inlineStr">
        <is>
          <t>A 39179-2024</t>
        </is>
      </c>
      <c r="B112" s="1" t="n">
        <v>45548.65703703704</v>
      </c>
      <c r="C112" s="1" t="n">
        <v>45926</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22996-2023</t>
        </is>
      </c>
      <c r="B113" s="1" t="n">
        <v>45072</v>
      </c>
      <c r="C113" s="1" t="n">
        <v>45926</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45926</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16307-2025</t>
        </is>
      </c>
      <c r="B115" s="1" t="n">
        <v>45751.34686342593</v>
      </c>
      <c r="C115" s="1" t="n">
        <v>45926</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47617-2024</t>
        </is>
      </c>
      <c r="B116" s="1" t="n">
        <v>45588.32125</v>
      </c>
      <c r="C116" s="1" t="n">
        <v>45926</v>
      </c>
      <c r="D116" t="inlineStr">
        <is>
          <t>VÄSTERNORRLANDS LÄN</t>
        </is>
      </c>
      <c r="E116" t="inlineStr">
        <is>
          <t>ÅNGE</t>
        </is>
      </c>
      <c r="F116" t="inlineStr">
        <is>
          <t>Holmen skog AB</t>
        </is>
      </c>
      <c r="G116" t="n">
        <v>8.300000000000001</v>
      </c>
      <c r="H116" t="n">
        <v>0</v>
      </c>
      <c r="I116" t="n">
        <v>0</v>
      </c>
      <c r="J116" t="n">
        <v>3</v>
      </c>
      <c r="K116" t="n">
        <v>0</v>
      </c>
      <c r="L116" t="n">
        <v>0</v>
      </c>
      <c r="M116" t="n">
        <v>0</v>
      </c>
      <c r="N116" t="n">
        <v>0</v>
      </c>
      <c r="O116" t="n">
        <v>3</v>
      </c>
      <c r="P116" t="n">
        <v>0</v>
      </c>
      <c r="Q116" t="n">
        <v>3</v>
      </c>
      <c r="R116" s="2" t="inlineStr">
        <is>
          <t>Granticka
Gränsticka
Lunglav</t>
        </is>
      </c>
      <c r="S116">
        <f>HYPERLINK("https://klasma.github.io/Logging_2260/artfynd/A 47617-2024 artfynd.xlsx", "A 47617-2024")</f>
        <v/>
      </c>
      <c r="T116">
        <f>HYPERLINK("https://klasma.github.io/Logging_2260/kartor/A 47617-2024 karta.png", "A 47617-2024")</f>
        <v/>
      </c>
      <c r="V116">
        <f>HYPERLINK("https://klasma.github.io/Logging_2260/klagomål/A 47617-2024 FSC-klagomål.docx", "A 47617-2024")</f>
        <v/>
      </c>
      <c r="W116">
        <f>HYPERLINK("https://klasma.github.io/Logging_2260/klagomålsmail/A 47617-2024 FSC-klagomål mail.docx", "A 47617-2024")</f>
        <v/>
      </c>
      <c r="X116">
        <f>HYPERLINK("https://klasma.github.io/Logging_2260/tillsyn/A 47617-2024 tillsynsbegäran.docx", "A 47617-2024")</f>
        <v/>
      </c>
      <c r="Y116">
        <f>HYPERLINK("https://klasma.github.io/Logging_2260/tillsynsmail/A 47617-2024 tillsynsbegäran mail.docx", "A 47617-2024")</f>
        <v/>
      </c>
    </row>
    <row r="117" ht="15" customHeight="1">
      <c r="A117" t="inlineStr">
        <is>
          <t>A 31212-2025</t>
        </is>
      </c>
      <c r="B117" s="1" t="n">
        <v>45832.71978009259</v>
      </c>
      <c r="C117" s="1" t="n">
        <v>45926</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38664-2025</t>
        </is>
      </c>
      <c r="B118" s="1" t="n">
        <v>45884.61503472222</v>
      </c>
      <c r="C118" s="1" t="n">
        <v>45926</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29691-2024</t>
        </is>
      </c>
      <c r="B119" s="1" t="n">
        <v>45484.9446875</v>
      </c>
      <c r="C119" s="1" t="n">
        <v>45926</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7533-2023</t>
        </is>
      </c>
      <c r="B120" s="1" t="n">
        <v>44971</v>
      </c>
      <c r="C120" s="1" t="n">
        <v>45926</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39029-2025</t>
        </is>
      </c>
      <c r="B121" s="1" t="n">
        <v>45888.40684027778</v>
      </c>
      <c r="C121" s="1" t="n">
        <v>45926</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39181-2024</t>
        </is>
      </c>
      <c r="B122" s="1" t="n">
        <v>45548</v>
      </c>
      <c r="C122" s="1" t="n">
        <v>45926</v>
      </c>
      <c r="D122" t="inlineStr">
        <is>
          <t>VÄSTERNORRLANDS LÄN</t>
        </is>
      </c>
      <c r="E122" t="inlineStr">
        <is>
          <t>ÅNGE</t>
        </is>
      </c>
      <c r="F122" t="inlineStr">
        <is>
          <t>SCA</t>
        </is>
      </c>
      <c r="G122" t="n">
        <v>21.1</v>
      </c>
      <c r="H122" t="n">
        <v>1</v>
      </c>
      <c r="I122" t="n">
        <v>1</v>
      </c>
      <c r="J122" t="n">
        <v>1</v>
      </c>
      <c r="K122" t="n">
        <v>1</v>
      </c>
      <c r="L122" t="n">
        <v>0</v>
      </c>
      <c r="M122" t="n">
        <v>0</v>
      </c>
      <c r="N122" t="n">
        <v>0</v>
      </c>
      <c r="O122" t="n">
        <v>2</v>
      </c>
      <c r="P122" t="n">
        <v>1</v>
      </c>
      <c r="Q122" t="n">
        <v>3</v>
      </c>
      <c r="R122" s="2" t="inlineStr">
        <is>
          <t>Knärot
Granticka
Kransrams</t>
        </is>
      </c>
      <c r="S122">
        <f>HYPERLINK("https://klasma.github.io/Logging_2260/artfynd/A 39181-2024 artfynd.xlsx", "A 39181-2024")</f>
        <v/>
      </c>
      <c r="T122">
        <f>HYPERLINK("https://klasma.github.io/Logging_2260/kartor/A 39181-2024 karta.png", "A 39181-2024")</f>
        <v/>
      </c>
      <c r="U122">
        <f>HYPERLINK("https://klasma.github.io/Logging_2260/knärot/A 39181-2024 karta knärot.png", "A 39181-2024")</f>
        <v/>
      </c>
      <c r="V122">
        <f>HYPERLINK("https://klasma.github.io/Logging_2260/klagomål/A 39181-2024 FSC-klagomål.docx", "A 39181-2024")</f>
        <v/>
      </c>
      <c r="W122">
        <f>HYPERLINK("https://klasma.github.io/Logging_2260/klagomålsmail/A 39181-2024 FSC-klagomål mail.docx", "A 39181-2024")</f>
        <v/>
      </c>
      <c r="X122">
        <f>HYPERLINK("https://klasma.github.io/Logging_2260/tillsyn/A 39181-2024 tillsynsbegäran.docx", "A 39181-2024")</f>
        <v/>
      </c>
      <c r="Y122">
        <f>HYPERLINK("https://klasma.github.io/Logging_2260/tillsynsmail/A 39181-2024 tillsynsbegäran mail.docx", "A 39181-2024")</f>
        <v/>
      </c>
    </row>
    <row r="123" ht="15" customHeight="1">
      <c r="A123" t="inlineStr">
        <is>
          <t>A 41868-2025</t>
        </is>
      </c>
      <c r="B123" s="1" t="n">
        <v>45903.34429398148</v>
      </c>
      <c r="C123" s="1" t="n">
        <v>45926</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45926</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43880-2025</t>
        </is>
      </c>
      <c r="B125" s="1" t="n">
        <v>45912.67833333334</v>
      </c>
      <c r="C125" s="1" t="n">
        <v>45926</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28274-2023</t>
        </is>
      </c>
      <c r="B126" s="1" t="n">
        <v>45099</v>
      </c>
      <c r="C126" s="1" t="n">
        <v>45926</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37184-2025</t>
        </is>
      </c>
      <c r="B127" s="1" t="n">
        <v>45875.63591435185</v>
      </c>
      <c r="C127" s="1" t="n">
        <v>45926</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46417-2025</t>
        </is>
      </c>
      <c r="B128" s="1" t="n">
        <v>45925.59454861111</v>
      </c>
      <c r="C128" s="1" t="n">
        <v>45926</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38238-2025</t>
        </is>
      </c>
      <c r="B129" s="1" t="n">
        <v>45883.36497685185</v>
      </c>
      <c r="C129" s="1" t="n">
        <v>45926</v>
      </c>
      <c r="D129" t="inlineStr">
        <is>
          <t>VÄSTERNORRLANDS LÄN</t>
        </is>
      </c>
      <c r="E129" t="inlineStr">
        <is>
          <t>ÅNGE</t>
        </is>
      </c>
      <c r="F129" t="inlineStr">
        <is>
          <t>SCA</t>
        </is>
      </c>
      <c r="G129" t="n">
        <v>5.6</v>
      </c>
      <c r="H129" t="n">
        <v>0</v>
      </c>
      <c r="I129" t="n">
        <v>1</v>
      </c>
      <c r="J129" t="n">
        <v>1</v>
      </c>
      <c r="K129" t="n">
        <v>1</v>
      </c>
      <c r="L129" t="n">
        <v>0</v>
      </c>
      <c r="M129" t="n">
        <v>0</v>
      </c>
      <c r="N129" t="n">
        <v>0</v>
      </c>
      <c r="O129" t="n">
        <v>2</v>
      </c>
      <c r="P129" t="n">
        <v>1</v>
      </c>
      <c r="Q129" t="n">
        <v>3</v>
      </c>
      <c r="R129" s="2" t="inlineStr">
        <is>
          <t>Tajgataggsvamp
Vitplätt
Grönpyrola</t>
        </is>
      </c>
      <c r="S129">
        <f>HYPERLINK("https://klasma.github.io/Logging_2260/artfynd/A 38238-2025 artfynd.xlsx", "A 38238-2025")</f>
        <v/>
      </c>
      <c r="T129">
        <f>HYPERLINK("https://klasma.github.io/Logging_2260/kartor/A 38238-2025 karta.png", "A 38238-2025")</f>
        <v/>
      </c>
      <c r="U129">
        <f>HYPERLINK("https://klasma.github.io/Logging_2260/knärot/A 38238-2025 karta knärot.png", "A 38238-2025")</f>
        <v/>
      </c>
      <c r="V129">
        <f>HYPERLINK("https://klasma.github.io/Logging_2260/klagomål/A 38238-2025 FSC-klagomål.docx", "A 38238-2025")</f>
        <v/>
      </c>
      <c r="W129">
        <f>HYPERLINK("https://klasma.github.io/Logging_2260/klagomålsmail/A 38238-2025 FSC-klagomål mail.docx", "A 38238-2025")</f>
        <v/>
      </c>
      <c r="X129">
        <f>HYPERLINK("https://klasma.github.io/Logging_2260/tillsyn/A 38238-2025 tillsynsbegäran.docx", "A 38238-2025")</f>
        <v/>
      </c>
      <c r="Y129">
        <f>HYPERLINK("https://klasma.github.io/Logging_2260/tillsynsmail/A 38238-2025 tillsynsbegäran mail.docx", "A 38238-2025")</f>
        <v/>
      </c>
    </row>
    <row r="130" ht="15" customHeight="1">
      <c r="A130" t="inlineStr">
        <is>
          <t>A 36635-2021</t>
        </is>
      </c>
      <c r="B130" s="1" t="n">
        <v>44391</v>
      </c>
      <c r="C130" s="1" t="n">
        <v>45926</v>
      </c>
      <c r="D130" t="inlineStr">
        <is>
          <t>VÄSTERNORRLANDS LÄN</t>
        </is>
      </c>
      <c r="E130" t="inlineStr">
        <is>
          <t>ÅNGE</t>
        </is>
      </c>
      <c r="F130" t="inlineStr">
        <is>
          <t>SCA</t>
        </is>
      </c>
      <c r="G130" t="n">
        <v>3.7</v>
      </c>
      <c r="H130" t="n">
        <v>1</v>
      </c>
      <c r="I130" t="n">
        <v>0</v>
      </c>
      <c r="J130" t="n">
        <v>1</v>
      </c>
      <c r="K130" t="n">
        <v>1</v>
      </c>
      <c r="L130" t="n">
        <v>0</v>
      </c>
      <c r="M130" t="n">
        <v>0</v>
      </c>
      <c r="N130" t="n">
        <v>0</v>
      </c>
      <c r="O130" t="n">
        <v>2</v>
      </c>
      <c r="P130" t="n">
        <v>1</v>
      </c>
      <c r="Q130" t="n">
        <v>2</v>
      </c>
      <c r="R130" s="2" t="inlineStr">
        <is>
          <t>Knärot
Tallticka</t>
        </is>
      </c>
      <c r="S130">
        <f>HYPERLINK("https://klasma.github.io/Logging_2260/artfynd/A 36635-2021 artfynd.xlsx", "A 36635-2021")</f>
        <v/>
      </c>
      <c r="T130">
        <f>HYPERLINK("https://klasma.github.io/Logging_2260/kartor/A 36635-2021 karta.png", "A 36635-2021")</f>
        <v/>
      </c>
      <c r="U130">
        <f>HYPERLINK("https://klasma.github.io/Logging_2260/knärot/A 36635-2021 karta knärot.png", "A 36635-2021")</f>
        <v/>
      </c>
      <c r="V130">
        <f>HYPERLINK("https://klasma.github.io/Logging_2260/klagomål/A 36635-2021 FSC-klagomål.docx", "A 36635-2021")</f>
        <v/>
      </c>
      <c r="W130">
        <f>HYPERLINK("https://klasma.github.io/Logging_2260/klagomålsmail/A 36635-2021 FSC-klagomål mail.docx", "A 36635-2021")</f>
        <v/>
      </c>
      <c r="X130">
        <f>HYPERLINK("https://klasma.github.io/Logging_2260/tillsyn/A 36635-2021 tillsynsbegäran.docx", "A 36635-2021")</f>
        <v/>
      </c>
      <c r="Y130">
        <f>HYPERLINK("https://klasma.github.io/Logging_2260/tillsynsmail/A 36635-2021 tillsynsbegäran mail.docx", "A 36635-2021")</f>
        <v/>
      </c>
    </row>
    <row r="131" ht="15" customHeight="1">
      <c r="A131" t="inlineStr">
        <is>
          <t>A 1082-2022</t>
        </is>
      </c>
      <c r="B131" s="1" t="n">
        <v>44571</v>
      </c>
      <c r="C131" s="1" t="n">
        <v>45926</v>
      </c>
      <c r="D131" t="inlineStr">
        <is>
          <t>VÄSTERNORRLANDS LÄN</t>
        </is>
      </c>
      <c r="E131" t="inlineStr">
        <is>
          <t>ÅNGE</t>
        </is>
      </c>
      <c r="G131" t="n">
        <v>0.9</v>
      </c>
      <c r="H131" t="n">
        <v>1</v>
      </c>
      <c r="I131" t="n">
        <v>0</v>
      </c>
      <c r="J131" t="n">
        <v>2</v>
      </c>
      <c r="K131" t="n">
        <v>0</v>
      </c>
      <c r="L131" t="n">
        <v>0</v>
      </c>
      <c r="M131" t="n">
        <v>0</v>
      </c>
      <c r="N131" t="n">
        <v>0</v>
      </c>
      <c r="O131" t="n">
        <v>2</v>
      </c>
      <c r="P131" t="n">
        <v>0</v>
      </c>
      <c r="Q131" t="n">
        <v>2</v>
      </c>
      <c r="R131" s="2" t="inlineStr">
        <is>
          <t>Garnlav
Talltita</t>
        </is>
      </c>
      <c r="S131">
        <f>HYPERLINK("https://klasma.github.io/Logging_2260/artfynd/A 1082-2022 artfynd.xlsx", "A 1082-2022")</f>
        <v/>
      </c>
      <c r="T131">
        <f>HYPERLINK("https://klasma.github.io/Logging_2260/kartor/A 1082-2022 karta.png", "A 1082-2022")</f>
        <v/>
      </c>
      <c r="V131">
        <f>HYPERLINK("https://klasma.github.io/Logging_2260/klagomål/A 1082-2022 FSC-klagomål.docx", "A 1082-2022")</f>
        <v/>
      </c>
      <c r="W131">
        <f>HYPERLINK("https://klasma.github.io/Logging_2260/klagomålsmail/A 1082-2022 FSC-klagomål mail.docx", "A 1082-2022")</f>
        <v/>
      </c>
      <c r="X131">
        <f>HYPERLINK("https://klasma.github.io/Logging_2260/tillsyn/A 1082-2022 tillsynsbegäran.docx", "A 1082-2022")</f>
        <v/>
      </c>
      <c r="Y131">
        <f>HYPERLINK("https://klasma.github.io/Logging_2260/tillsynsmail/A 1082-2022 tillsynsbegäran mail.docx", "A 1082-2022")</f>
        <v/>
      </c>
      <c r="Z131">
        <f>HYPERLINK("https://klasma.github.io/Logging_2260/fåglar/A 1082-2022 prioriterade fågelarter.docx", "A 1082-2022")</f>
        <v/>
      </c>
    </row>
    <row r="132" ht="15" customHeight="1">
      <c r="A132" t="inlineStr">
        <is>
          <t>A 47798-2022</t>
        </is>
      </c>
      <c r="B132" s="1" t="n">
        <v>44854.95365740741</v>
      </c>
      <c r="C132" s="1" t="n">
        <v>45926</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48152-2022</t>
        </is>
      </c>
      <c r="B133" s="1" t="n">
        <v>44853</v>
      </c>
      <c r="C133" s="1" t="n">
        <v>45926</v>
      </c>
      <c r="D133" t="inlineStr">
        <is>
          <t>VÄSTERNORRLANDS LÄN</t>
        </is>
      </c>
      <c r="E133" t="inlineStr">
        <is>
          <t>ÅNGE</t>
        </is>
      </c>
      <c r="G133" t="n">
        <v>2.9</v>
      </c>
      <c r="H133" t="n">
        <v>0</v>
      </c>
      <c r="I133" t="n">
        <v>0</v>
      </c>
      <c r="J133" t="n">
        <v>2</v>
      </c>
      <c r="K133" t="n">
        <v>0</v>
      </c>
      <c r="L133" t="n">
        <v>0</v>
      </c>
      <c r="M133" t="n">
        <v>0</v>
      </c>
      <c r="N133" t="n">
        <v>0</v>
      </c>
      <c r="O133" t="n">
        <v>2</v>
      </c>
      <c r="P133" t="n">
        <v>0</v>
      </c>
      <c r="Q133" t="n">
        <v>2</v>
      </c>
      <c r="R133" s="2" t="inlineStr">
        <is>
          <t>Lunglav
Skrovellav</t>
        </is>
      </c>
      <c r="S133">
        <f>HYPERLINK("https://klasma.github.io/Logging_2260/artfynd/A 48152-2022 artfynd.xlsx", "A 48152-2022")</f>
        <v/>
      </c>
      <c r="T133">
        <f>HYPERLINK("https://klasma.github.io/Logging_2260/kartor/A 48152-2022 karta.png", "A 48152-2022")</f>
        <v/>
      </c>
      <c r="V133">
        <f>HYPERLINK("https://klasma.github.io/Logging_2260/klagomål/A 48152-2022 FSC-klagomål.docx", "A 48152-2022")</f>
        <v/>
      </c>
      <c r="W133">
        <f>HYPERLINK("https://klasma.github.io/Logging_2260/klagomålsmail/A 48152-2022 FSC-klagomål mail.docx", "A 48152-2022")</f>
        <v/>
      </c>
      <c r="X133">
        <f>HYPERLINK("https://klasma.github.io/Logging_2260/tillsyn/A 48152-2022 tillsynsbegäran.docx", "A 48152-2022")</f>
        <v/>
      </c>
      <c r="Y133">
        <f>HYPERLINK("https://klasma.github.io/Logging_2260/tillsynsmail/A 48152-2022 tillsynsbegäran mail.docx", "A 48152-2022")</f>
        <v/>
      </c>
    </row>
    <row r="134" ht="15" customHeight="1">
      <c r="A134" t="inlineStr">
        <is>
          <t>A 47799-2022</t>
        </is>
      </c>
      <c r="B134" s="1" t="n">
        <v>44854.95371527778</v>
      </c>
      <c r="C134" s="1" t="n">
        <v>45926</v>
      </c>
      <c r="D134" t="inlineStr">
        <is>
          <t>VÄSTERNORRLANDS LÄN</t>
        </is>
      </c>
      <c r="E134" t="inlineStr">
        <is>
          <t>ÅNGE</t>
        </is>
      </c>
      <c r="F134" t="inlineStr">
        <is>
          <t>SCA</t>
        </is>
      </c>
      <c r="G134" t="n">
        <v>5</v>
      </c>
      <c r="H134" t="n">
        <v>1</v>
      </c>
      <c r="I134" t="n">
        <v>0</v>
      </c>
      <c r="J134" t="n">
        <v>1</v>
      </c>
      <c r="K134" t="n">
        <v>0</v>
      </c>
      <c r="L134" t="n">
        <v>0</v>
      </c>
      <c r="M134" t="n">
        <v>0</v>
      </c>
      <c r="N134" t="n">
        <v>0</v>
      </c>
      <c r="O134" t="n">
        <v>1</v>
      </c>
      <c r="P134" t="n">
        <v>0</v>
      </c>
      <c r="Q134" t="n">
        <v>2</v>
      </c>
      <c r="R134" s="2" t="inlineStr">
        <is>
          <t>Lunglav
Fläcknycklar</t>
        </is>
      </c>
      <c r="S134">
        <f>HYPERLINK("https://klasma.github.io/Logging_2260/artfynd/A 47799-2022 artfynd.xlsx", "A 47799-2022")</f>
        <v/>
      </c>
      <c r="T134">
        <f>HYPERLINK("https://klasma.github.io/Logging_2260/kartor/A 47799-2022 karta.png", "A 47799-2022")</f>
        <v/>
      </c>
      <c r="V134">
        <f>HYPERLINK("https://klasma.github.io/Logging_2260/klagomål/A 47799-2022 FSC-klagomål.docx", "A 47799-2022")</f>
        <v/>
      </c>
      <c r="W134">
        <f>HYPERLINK("https://klasma.github.io/Logging_2260/klagomålsmail/A 47799-2022 FSC-klagomål mail.docx", "A 47799-2022")</f>
        <v/>
      </c>
      <c r="X134">
        <f>HYPERLINK("https://klasma.github.io/Logging_2260/tillsyn/A 47799-2022 tillsynsbegäran.docx", "A 47799-2022")</f>
        <v/>
      </c>
      <c r="Y134">
        <f>HYPERLINK("https://klasma.github.io/Logging_2260/tillsynsmail/A 47799-2022 tillsynsbegäran mail.docx", "A 47799-2022")</f>
        <v/>
      </c>
    </row>
    <row r="135" ht="15" customHeight="1">
      <c r="A135" t="inlineStr">
        <is>
          <t>A 40965-2021</t>
        </is>
      </c>
      <c r="B135" s="1" t="n">
        <v>44421.57918981482</v>
      </c>
      <c r="C135" s="1" t="n">
        <v>45926</v>
      </c>
      <c r="D135" t="inlineStr">
        <is>
          <t>VÄSTERNORRLANDS LÄN</t>
        </is>
      </c>
      <c r="E135" t="inlineStr">
        <is>
          <t>ÅNGE</t>
        </is>
      </c>
      <c r="F135" t="inlineStr">
        <is>
          <t>Sveaskog</t>
        </is>
      </c>
      <c r="G135" t="n">
        <v>5.4</v>
      </c>
      <c r="H135" t="n">
        <v>1</v>
      </c>
      <c r="I135" t="n">
        <v>1</v>
      </c>
      <c r="J135" t="n">
        <v>1</v>
      </c>
      <c r="K135" t="n">
        <v>0</v>
      </c>
      <c r="L135" t="n">
        <v>0</v>
      </c>
      <c r="M135" t="n">
        <v>0</v>
      </c>
      <c r="N135" t="n">
        <v>0</v>
      </c>
      <c r="O135" t="n">
        <v>1</v>
      </c>
      <c r="P135" t="n">
        <v>0</v>
      </c>
      <c r="Q135" t="n">
        <v>2</v>
      </c>
      <c r="R135" s="2" t="inlineStr">
        <is>
          <t>Skogsfru
Skogsbräsma</t>
        </is>
      </c>
      <c r="S135">
        <f>HYPERLINK("https://klasma.github.io/Logging_2260/artfynd/A 40965-2021 artfynd.xlsx", "A 40965-2021")</f>
        <v/>
      </c>
      <c r="T135">
        <f>HYPERLINK("https://klasma.github.io/Logging_2260/kartor/A 40965-2021 karta.png", "A 40965-2021")</f>
        <v/>
      </c>
      <c r="V135">
        <f>HYPERLINK("https://klasma.github.io/Logging_2260/klagomål/A 40965-2021 FSC-klagomål.docx", "A 40965-2021")</f>
        <v/>
      </c>
      <c r="W135">
        <f>HYPERLINK("https://klasma.github.io/Logging_2260/klagomålsmail/A 40965-2021 FSC-klagomål mail.docx", "A 40965-2021")</f>
        <v/>
      </c>
      <c r="X135">
        <f>HYPERLINK("https://klasma.github.io/Logging_2260/tillsyn/A 40965-2021 tillsynsbegäran.docx", "A 40965-2021")</f>
        <v/>
      </c>
      <c r="Y135">
        <f>HYPERLINK("https://klasma.github.io/Logging_2260/tillsynsmail/A 40965-2021 tillsynsbegäran mail.docx", "A 40965-2021")</f>
        <v/>
      </c>
    </row>
    <row r="136" ht="15" customHeight="1">
      <c r="A136" t="inlineStr">
        <is>
          <t>A 8234-2022</t>
        </is>
      </c>
      <c r="B136" s="1" t="n">
        <v>44609</v>
      </c>
      <c r="C136" s="1" t="n">
        <v>45926</v>
      </c>
      <c r="D136" t="inlineStr">
        <is>
          <t>VÄSTERNORRLANDS LÄN</t>
        </is>
      </c>
      <c r="E136" t="inlineStr">
        <is>
          <t>ÅNGE</t>
        </is>
      </c>
      <c r="F136" t="inlineStr">
        <is>
          <t>SCA</t>
        </is>
      </c>
      <c r="G136" t="n">
        <v>2.3</v>
      </c>
      <c r="H136" t="n">
        <v>1</v>
      </c>
      <c r="I136" t="n">
        <v>0</v>
      </c>
      <c r="J136" t="n">
        <v>1</v>
      </c>
      <c r="K136" t="n">
        <v>0</v>
      </c>
      <c r="L136" t="n">
        <v>0</v>
      </c>
      <c r="M136" t="n">
        <v>0</v>
      </c>
      <c r="N136" t="n">
        <v>0</v>
      </c>
      <c r="O136" t="n">
        <v>1</v>
      </c>
      <c r="P136" t="n">
        <v>0</v>
      </c>
      <c r="Q136" t="n">
        <v>2</v>
      </c>
      <c r="R136" s="2" t="inlineStr">
        <is>
          <t>Garnlav
Revlummer</t>
        </is>
      </c>
      <c r="S136">
        <f>HYPERLINK("https://klasma.github.io/Logging_2260/artfynd/A 8234-2022 artfynd.xlsx", "A 8234-2022")</f>
        <v/>
      </c>
      <c r="T136">
        <f>HYPERLINK("https://klasma.github.io/Logging_2260/kartor/A 8234-2022 karta.png", "A 8234-2022")</f>
        <v/>
      </c>
      <c r="V136">
        <f>HYPERLINK("https://klasma.github.io/Logging_2260/klagomål/A 8234-2022 FSC-klagomål.docx", "A 8234-2022")</f>
        <v/>
      </c>
      <c r="W136">
        <f>HYPERLINK("https://klasma.github.io/Logging_2260/klagomålsmail/A 8234-2022 FSC-klagomål mail.docx", "A 8234-2022")</f>
        <v/>
      </c>
      <c r="X136">
        <f>HYPERLINK("https://klasma.github.io/Logging_2260/tillsyn/A 8234-2022 tillsynsbegäran.docx", "A 8234-2022")</f>
        <v/>
      </c>
      <c r="Y136">
        <f>HYPERLINK("https://klasma.github.io/Logging_2260/tillsynsmail/A 8234-2022 tillsynsbegäran mail.docx", "A 8234-2022")</f>
        <v/>
      </c>
    </row>
    <row r="137" ht="15" customHeight="1">
      <c r="A137" t="inlineStr">
        <is>
          <t>A 55591-2021</t>
        </is>
      </c>
      <c r="B137" s="1" t="n">
        <v>44475</v>
      </c>
      <c r="C137" s="1" t="n">
        <v>45926</v>
      </c>
      <c r="D137" t="inlineStr">
        <is>
          <t>VÄSTERNORRLANDS LÄN</t>
        </is>
      </c>
      <c r="E137" t="inlineStr">
        <is>
          <t>ÅNGE</t>
        </is>
      </c>
      <c r="G137" t="n">
        <v>3.6</v>
      </c>
      <c r="H137" t="n">
        <v>0</v>
      </c>
      <c r="I137" t="n">
        <v>0</v>
      </c>
      <c r="J137" t="n">
        <v>2</v>
      </c>
      <c r="K137" t="n">
        <v>0</v>
      </c>
      <c r="L137" t="n">
        <v>0</v>
      </c>
      <c r="M137" t="n">
        <v>0</v>
      </c>
      <c r="N137" t="n">
        <v>0</v>
      </c>
      <c r="O137" t="n">
        <v>2</v>
      </c>
      <c r="P137" t="n">
        <v>0</v>
      </c>
      <c r="Q137" t="n">
        <v>2</v>
      </c>
      <c r="R137" s="2" t="inlineStr">
        <is>
          <t>Kolflarnlav
Skrovlig taggsvamp</t>
        </is>
      </c>
      <c r="S137">
        <f>HYPERLINK("https://klasma.github.io/Logging_2260/artfynd/A 55591-2021 artfynd.xlsx", "A 55591-2021")</f>
        <v/>
      </c>
      <c r="T137">
        <f>HYPERLINK("https://klasma.github.io/Logging_2260/kartor/A 55591-2021 karta.png", "A 55591-2021")</f>
        <v/>
      </c>
      <c r="V137">
        <f>HYPERLINK("https://klasma.github.io/Logging_2260/klagomål/A 55591-2021 FSC-klagomål.docx", "A 55591-2021")</f>
        <v/>
      </c>
      <c r="W137">
        <f>HYPERLINK("https://klasma.github.io/Logging_2260/klagomålsmail/A 55591-2021 FSC-klagomål mail.docx", "A 55591-2021")</f>
        <v/>
      </c>
      <c r="X137">
        <f>HYPERLINK("https://klasma.github.io/Logging_2260/tillsyn/A 55591-2021 tillsynsbegäran.docx", "A 55591-2021")</f>
        <v/>
      </c>
      <c r="Y137">
        <f>HYPERLINK("https://klasma.github.io/Logging_2260/tillsynsmail/A 55591-2021 tillsynsbegäran mail.docx", "A 55591-2021")</f>
        <v/>
      </c>
    </row>
    <row r="138" ht="15" customHeight="1">
      <c r="A138" t="inlineStr">
        <is>
          <t>A 21453-2025</t>
        </is>
      </c>
      <c r="B138" s="1" t="n">
        <v>45782.55311342593</v>
      </c>
      <c r="C138" s="1" t="n">
        <v>45926</v>
      </c>
      <c r="D138" t="inlineStr">
        <is>
          <t>VÄSTERNORRLANDS LÄN</t>
        </is>
      </c>
      <c r="E138" t="inlineStr">
        <is>
          <t>ÅNGE</t>
        </is>
      </c>
      <c r="F138" t="inlineStr">
        <is>
          <t>SCA</t>
        </is>
      </c>
      <c r="G138" t="n">
        <v>1</v>
      </c>
      <c r="H138" t="n">
        <v>0</v>
      </c>
      <c r="I138" t="n">
        <v>2</v>
      </c>
      <c r="J138" t="n">
        <v>0</v>
      </c>
      <c r="K138" t="n">
        <v>0</v>
      </c>
      <c r="L138" t="n">
        <v>0</v>
      </c>
      <c r="M138" t="n">
        <v>0</v>
      </c>
      <c r="N138" t="n">
        <v>0</v>
      </c>
      <c r="O138" t="n">
        <v>0</v>
      </c>
      <c r="P138" t="n">
        <v>0</v>
      </c>
      <c r="Q138" t="n">
        <v>2</v>
      </c>
      <c r="R138" s="2" t="inlineStr">
        <is>
          <t>Svart trolldruva
Tibast</t>
        </is>
      </c>
      <c r="S138">
        <f>HYPERLINK("https://klasma.github.io/Logging_2260/artfynd/A 21453-2025 artfynd.xlsx", "A 21453-2025")</f>
        <v/>
      </c>
      <c r="T138">
        <f>HYPERLINK("https://klasma.github.io/Logging_2260/kartor/A 21453-2025 karta.png", "A 21453-2025")</f>
        <v/>
      </c>
      <c r="V138">
        <f>HYPERLINK("https://klasma.github.io/Logging_2260/klagomål/A 21453-2025 FSC-klagomål.docx", "A 21453-2025")</f>
        <v/>
      </c>
      <c r="W138">
        <f>HYPERLINK("https://klasma.github.io/Logging_2260/klagomålsmail/A 21453-2025 FSC-klagomål mail.docx", "A 21453-2025")</f>
        <v/>
      </c>
      <c r="X138">
        <f>HYPERLINK("https://klasma.github.io/Logging_2260/tillsyn/A 21453-2025 tillsynsbegäran.docx", "A 21453-2025")</f>
        <v/>
      </c>
      <c r="Y138">
        <f>HYPERLINK("https://klasma.github.io/Logging_2260/tillsynsmail/A 21453-2025 tillsynsbegäran mail.docx", "A 21453-2025")</f>
        <v/>
      </c>
    </row>
    <row r="139" ht="15" customHeight="1">
      <c r="A139" t="inlineStr">
        <is>
          <t>A 57089-2024</t>
        </is>
      </c>
      <c r="B139" s="1" t="n">
        <v>45629.35665509259</v>
      </c>
      <c r="C139" s="1" t="n">
        <v>45926</v>
      </c>
      <c r="D139" t="inlineStr">
        <is>
          <t>VÄSTERNORRLANDS LÄN</t>
        </is>
      </c>
      <c r="E139" t="inlineStr">
        <is>
          <t>ÅNGE</t>
        </is>
      </c>
      <c r="F139" t="inlineStr">
        <is>
          <t>SCA</t>
        </is>
      </c>
      <c r="G139" t="n">
        <v>1.5</v>
      </c>
      <c r="H139" t="n">
        <v>0</v>
      </c>
      <c r="I139" t="n">
        <v>0</v>
      </c>
      <c r="J139" t="n">
        <v>2</v>
      </c>
      <c r="K139" t="n">
        <v>0</v>
      </c>
      <c r="L139" t="n">
        <v>0</v>
      </c>
      <c r="M139" t="n">
        <v>0</v>
      </c>
      <c r="N139" t="n">
        <v>0</v>
      </c>
      <c r="O139" t="n">
        <v>2</v>
      </c>
      <c r="P139" t="n">
        <v>0</v>
      </c>
      <c r="Q139" t="n">
        <v>2</v>
      </c>
      <c r="R139" s="2" t="inlineStr">
        <is>
          <t>Lunglav
Ullticka</t>
        </is>
      </c>
      <c r="S139">
        <f>HYPERLINK("https://klasma.github.io/Logging_2260/artfynd/A 57089-2024 artfynd.xlsx", "A 57089-2024")</f>
        <v/>
      </c>
      <c r="T139">
        <f>HYPERLINK("https://klasma.github.io/Logging_2260/kartor/A 57089-2024 karta.png", "A 57089-2024")</f>
        <v/>
      </c>
      <c r="V139">
        <f>HYPERLINK("https://klasma.github.io/Logging_2260/klagomål/A 57089-2024 FSC-klagomål.docx", "A 57089-2024")</f>
        <v/>
      </c>
      <c r="W139">
        <f>HYPERLINK("https://klasma.github.io/Logging_2260/klagomålsmail/A 57089-2024 FSC-klagomål mail.docx", "A 57089-2024")</f>
        <v/>
      </c>
      <c r="X139">
        <f>HYPERLINK("https://klasma.github.io/Logging_2260/tillsyn/A 57089-2024 tillsynsbegäran.docx", "A 57089-2024")</f>
        <v/>
      </c>
      <c r="Y139">
        <f>HYPERLINK("https://klasma.github.io/Logging_2260/tillsynsmail/A 57089-2024 tillsynsbegäran mail.docx", "A 57089-2024")</f>
        <v/>
      </c>
    </row>
    <row r="140" ht="15" customHeight="1">
      <c r="A140" t="inlineStr">
        <is>
          <t>A 19341-2024</t>
        </is>
      </c>
      <c r="B140" s="1" t="n">
        <v>45428</v>
      </c>
      <c r="C140" s="1" t="n">
        <v>45926</v>
      </c>
      <c r="D140" t="inlineStr">
        <is>
          <t>VÄSTERNORRLANDS LÄN</t>
        </is>
      </c>
      <c r="E140" t="inlineStr">
        <is>
          <t>ÅNGE</t>
        </is>
      </c>
      <c r="F140" t="inlineStr">
        <is>
          <t>SCA</t>
        </is>
      </c>
      <c r="G140" t="n">
        <v>2.5</v>
      </c>
      <c r="H140" t="n">
        <v>0</v>
      </c>
      <c r="I140" t="n">
        <v>0</v>
      </c>
      <c r="J140" t="n">
        <v>2</v>
      </c>
      <c r="K140" t="n">
        <v>0</v>
      </c>
      <c r="L140" t="n">
        <v>0</v>
      </c>
      <c r="M140" t="n">
        <v>0</v>
      </c>
      <c r="N140" t="n">
        <v>0</v>
      </c>
      <c r="O140" t="n">
        <v>2</v>
      </c>
      <c r="P140" t="n">
        <v>0</v>
      </c>
      <c r="Q140" t="n">
        <v>2</v>
      </c>
      <c r="R140" s="2" t="inlineStr">
        <is>
          <t>Granticka
Skrovellav</t>
        </is>
      </c>
      <c r="S140">
        <f>HYPERLINK("https://klasma.github.io/Logging_2260/artfynd/A 19341-2024 artfynd.xlsx", "A 19341-2024")</f>
        <v/>
      </c>
      <c r="T140">
        <f>HYPERLINK("https://klasma.github.io/Logging_2260/kartor/A 19341-2024 karta.png", "A 19341-2024")</f>
        <v/>
      </c>
      <c r="V140">
        <f>HYPERLINK("https://klasma.github.io/Logging_2260/klagomål/A 19341-2024 FSC-klagomål.docx", "A 19341-2024")</f>
        <v/>
      </c>
      <c r="W140">
        <f>HYPERLINK("https://klasma.github.io/Logging_2260/klagomålsmail/A 19341-2024 FSC-klagomål mail.docx", "A 19341-2024")</f>
        <v/>
      </c>
      <c r="X140">
        <f>HYPERLINK("https://klasma.github.io/Logging_2260/tillsyn/A 19341-2024 tillsynsbegäran.docx", "A 19341-2024")</f>
        <v/>
      </c>
      <c r="Y140">
        <f>HYPERLINK("https://klasma.github.io/Logging_2260/tillsynsmail/A 19341-2024 tillsynsbegäran mail.docx", "A 19341-2024")</f>
        <v/>
      </c>
    </row>
    <row r="141" ht="15" customHeight="1">
      <c r="A141" t="inlineStr">
        <is>
          <t>A 47719-2024</t>
        </is>
      </c>
      <c r="B141" s="1" t="n">
        <v>45588.48996527777</v>
      </c>
      <c r="C141" s="1" t="n">
        <v>45926</v>
      </c>
      <c r="D141" t="inlineStr">
        <is>
          <t>VÄSTERNORRLANDS LÄN</t>
        </is>
      </c>
      <c r="E141" t="inlineStr">
        <is>
          <t>ÅNGE</t>
        </is>
      </c>
      <c r="F141" t="inlineStr">
        <is>
          <t>SCA</t>
        </is>
      </c>
      <c r="G141" t="n">
        <v>1.4</v>
      </c>
      <c r="H141" t="n">
        <v>0</v>
      </c>
      <c r="I141" t="n">
        <v>0</v>
      </c>
      <c r="J141" t="n">
        <v>2</v>
      </c>
      <c r="K141" t="n">
        <v>0</v>
      </c>
      <c r="L141" t="n">
        <v>0</v>
      </c>
      <c r="M141" t="n">
        <v>0</v>
      </c>
      <c r="N141" t="n">
        <v>0</v>
      </c>
      <c r="O141" t="n">
        <v>2</v>
      </c>
      <c r="P141" t="n">
        <v>0</v>
      </c>
      <c r="Q141" t="n">
        <v>2</v>
      </c>
      <c r="R141" s="2" t="inlineStr">
        <is>
          <t>Dvärgbägarlav
Vedskivlav</t>
        </is>
      </c>
      <c r="S141">
        <f>HYPERLINK("https://klasma.github.io/Logging_2260/artfynd/A 47719-2024 artfynd.xlsx", "A 47719-2024")</f>
        <v/>
      </c>
      <c r="T141">
        <f>HYPERLINK("https://klasma.github.io/Logging_2260/kartor/A 47719-2024 karta.png", "A 47719-2024")</f>
        <v/>
      </c>
      <c r="V141">
        <f>HYPERLINK("https://klasma.github.io/Logging_2260/klagomål/A 47719-2024 FSC-klagomål.docx", "A 47719-2024")</f>
        <v/>
      </c>
      <c r="W141">
        <f>HYPERLINK("https://klasma.github.io/Logging_2260/klagomålsmail/A 47719-2024 FSC-klagomål mail.docx", "A 47719-2024")</f>
        <v/>
      </c>
      <c r="X141">
        <f>HYPERLINK("https://klasma.github.io/Logging_2260/tillsyn/A 47719-2024 tillsynsbegäran.docx", "A 47719-2024")</f>
        <v/>
      </c>
      <c r="Y141">
        <f>HYPERLINK("https://klasma.github.io/Logging_2260/tillsynsmail/A 47719-2024 tillsynsbegäran mail.docx", "A 47719-2024")</f>
        <v/>
      </c>
    </row>
    <row r="142" ht="15" customHeight="1">
      <c r="A142" t="inlineStr">
        <is>
          <t>A 24176-2025</t>
        </is>
      </c>
      <c r="B142" s="1" t="n">
        <v>45796.69832175926</v>
      </c>
      <c r="C142" s="1" t="n">
        <v>45926</v>
      </c>
      <c r="D142" t="inlineStr">
        <is>
          <t>VÄSTERNORRLANDS LÄN</t>
        </is>
      </c>
      <c r="E142" t="inlineStr">
        <is>
          <t>ÅNGE</t>
        </is>
      </c>
      <c r="F142" t="inlineStr">
        <is>
          <t>SCA</t>
        </is>
      </c>
      <c r="G142" t="n">
        <v>3.9</v>
      </c>
      <c r="H142" t="n">
        <v>0</v>
      </c>
      <c r="I142" t="n">
        <v>1</v>
      </c>
      <c r="J142" t="n">
        <v>1</v>
      </c>
      <c r="K142" t="n">
        <v>0</v>
      </c>
      <c r="L142" t="n">
        <v>0</v>
      </c>
      <c r="M142" t="n">
        <v>0</v>
      </c>
      <c r="N142" t="n">
        <v>0</v>
      </c>
      <c r="O142" t="n">
        <v>1</v>
      </c>
      <c r="P142" t="n">
        <v>0</v>
      </c>
      <c r="Q142" t="n">
        <v>2</v>
      </c>
      <c r="R142" s="2" t="inlineStr">
        <is>
          <t>Vitgrynig nållav
Vedticka</t>
        </is>
      </c>
      <c r="S142">
        <f>HYPERLINK("https://klasma.github.io/Logging_2260/artfynd/A 24176-2025 artfynd.xlsx", "A 24176-2025")</f>
        <v/>
      </c>
      <c r="T142">
        <f>HYPERLINK("https://klasma.github.io/Logging_2260/kartor/A 24176-2025 karta.png", "A 24176-2025")</f>
        <v/>
      </c>
      <c r="V142">
        <f>HYPERLINK("https://klasma.github.io/Logging_2260/klagomål/A 24176-2025 FSC-klagomål.docx", "A 24176-2025")</f>
        <v/>
      </c>
      <c r="W142">
        <f>HYPERLINK("https://klasma.github.io/Logging_2260/klagomålsmail/A 24176-2025 FSC-klagomål mail.docx", "A 24176-2025")</f>
        <v/>
      </c>
      <c r="X142">
        <f>HYPERLINK("https://klasma.github.io/Logging_2260/tillsyn/A 24176-2025 tillsynsbegäran.docx", "A 24176-2025")</f>
        <v/>
      </c>
      <c r="Y142">
        <f>HYPERLINK("https://klasma.github.io/Logging_2260/tillsynsmail/A 24176-2025 tillsynsbegäran mail.docx", "A 24176-2025")</f>
        <v/>
      </c>
    </row>
    <row r="143" ht="15" customHeight="1">
      <c r="A143" t="inlineStr">
        <is>
          <t>A 18081-2025</t>
        </is>
      </c>
      <c r="B143" s="1" t="n">
        <v>45761.51086805556</v>
      </c>
      <c r="C143" s="1" t="n">
        <v>45926</v>
      </c>
      <c r="D143" t="inlineStr">
        <is>
          <t>VÄSTERNORRLANDS LÄN</t>
        </is>
      </c>
      <c r="E143" t="inlineStr">
        <is>
          <t>ÅNGE</t>
        </is>
      </c>
      <c r="F143" t="inlineStr">
        <is>
          <t>SCA</t>
        </is>
      </c>
      <c r="G143" t="n">
        <v>2.6</v>
      </c>
      <c r="H143" t="n">
        <v>1</v>
      </c>
      <c r="I143" t="n">
        <v>1</v>
      </c>
      <c r="J143" t="n">
        <v>0</v>
      </c>
      <c r="K143" t="n">
        <v>1</v>
      </c>
      <c r="L143" t="n">
        <v>0</v>
      </c>
      <c r="M143" t="n">
        <v>0</v>
      </c>
      <c r="N143" t="n">
        <v>0</v>
      </c>
      <c r="O143" t="n">
        <v>1</v>
      </c>
      <c r="P143" t="n">
        <v>1</v>
      </c>
      <c r="Q143" t="n">
        <v>2</v>
      </c>
      <c r="R143" s="2" t="inlineStr">
        <is>
          <t>Knärot
Dropptaggsvamp</t>
        </is>
      </c>
      <c r="S143">
        <f>HYPERLINK("https://klasma.github.io/Logging_2260/artfynd/A 18081-2025 artfynd.xlsx", "A 18081-2025")</f>
        <v/>
      </c>
      <c r="T143">
        <f>HYPERLINK("https://klasma.github.io/Logging_2260/kartor/A 18081-2025 karta.png", "A 18081-2025")</f>
        <v/>
      </c>
      <c r="U143">
        <f>HYPERLINK("https://klasma.github.io/Logging_2260/knärot/A 18081-2025 karta knärot.png", "A 18081-2025")</f>
        <v/>
      </c>
      <c r="V143">
        <f>HYPERLINK("https://klasma.github.io/Logging_2260/klagomål/A 18081-2025 FSC-klagomål.docx", "A 18081-2025")</f>
        <v/>
      </c>
      <c r="W143">
        <f>HYPERLINK("https://klasma.github.io/Logging_2260/klagomålsmail/A 18081-2025 FSC-klagomål mail.docx", "A 18081-2025")</f>
        <v/>
      </c>
      <c r="X143">
        <f>HYPERLINK("https://klasma.github.io/Logging_2260/tillsyn/A 18081-2025 tillsynsbegäran.docx", "A 18081-2025")</f>
        <v/>
      </c>
      <c r="Y143">
        <f>HYPERLINK("https://klasma.github.io/Logging_2260/tillsynsmail/A 18081-2025 tillsynsbegäran mail.docx", "A 18081-2025")</f>
        <v/>
      </c>
    </row>
    <row r="144" ht="15" customHeight="1">
      <c r="A144" t="inlineStr">
        <is>
          <t>A 57597-2022</t>
        </is>
      </c>
      <c r="B144" s="1" t="n">
        <v>44896.97878472223</v>
      </c>
      <c r="C144" s="1" t="n">
        <v>45926</v>
      </c>
      <c r="D144" t="inlineStr">
        <is>
          <t>VÄSTERNORRLANDS LÄN</t>
        </is>
      </c>
      <c r="E144" t="inlineStr">
        <is>
          <t>ÅNGE</t>
        </is>
      </c>
      <c r="F144" t="inlineStr">
        <is>
          <t>SCA</t>
        </is>
      </c>
      <c r="G144" t="n">
        <v>6.2</v>
      </c>
      <c r="H144" t="n">
        <v>0</v>
      </c>
      <c r="I144" t="n">
        <v>0</v>
      </c>
      <c r="J144" t="n">
        <v>2</v>
      </c>
      <c r="K144" t="n">
        <v>0</v>
      </c>
      <c r="L144" t="n">
        <v>0</v>
      </c>
      <c r="M144" t="n">
        <v>0</v>
      </c>
      <c r="N144" t="n">
        <v>0</v>
      </c>
      <c r="O144" t="n">
        <v>2</v>
      </c>
      <c r="P144" t="n">
        <v>0</v>
      </c>
      <c r="Q144" t="n">
        <v>2</v>
      </c>
      <c r="R144" s="2" t="inlineStr">
        <is>
          <t>Garnlav
Lunglav</t>
        </is>
      </c>
      <c r="S144">
        <f>HYPERLINK("https://klasma.github.io/Logging_2260/artfynd/A 57597-2022 artfynd.xlsx", "A 57597-2022")</f>
        <v/>
      </c>
      <c r="T144">
        <f>HYPERLINK("https://klasma.github.io/Logging_2260/kartor/A 57597-2022 karta.png", "A 57597-2022")</f>
        <v/>
      </c>
      <c r="V144">
        <f>HYPERLINK("https://klasma.github.io/Logging_2260/klagomål/A 57597-2022 FSC-klagomål.docx", "A 57597-2022")</f>
        <v/>
      </c>
      <c r="W144">
        <f>HYPERLINK("https://klasma.github.io/Logging_2260/klagomålsmail/A 57597-2022 FSC-klagomål mail.docx", "A 57597-2022")</f>
        <v/>
      </c>
      <c r="X144">
        <f>HYPERLINK("https://klasma.github.io/Logging_2260/tillsyn/A 57597-2022 tillsynsbegäran.docx", "A 57597-2022")</f>
        <v/>
      </c>
      <c r="Y144">
        <f>HYPERLINK("https://klasma.github.io/Logging_2260/tillsynsmail/A 57597-2022 tillsynsbegäran mail.docx", "A 57597-2022")</f>
        <v/>
      </c>
    </row>
    <row r="145" ht="15" customHeight="1">
      <c r="A145" t="inlineStr">
        <is>
          <t>A 62861-2021</t>
        </is>
      </c>
      <c r="B145" s="1" t="n">
        <v>44503</v>
      </c>
      <c r="C145" s="1" t="n">
        <v>45926</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26906-2025</t>
        </is>
      </c>
      <c r="B146" s="1" t="n">
        <v>45811.34552083333</v>
      </c>
      <c r="C146" s="1" t="n">
        <v>45926</v>
      </c>
      <c r="D146" t="inlineStr">
        <is>
          <t>VÄSTERNORRLANDS LÄN</t>
        </is>
      </c>
      <c r="E146" t="inlineStr">
        <is>
          <t>ÅNGE</t>
        </is>
      </c>
      <c r="F146" t="inlineStr">
        <is>
          <t>SCA</t>
        </is>
      </c>
      <c r="G146" t="n">
        <v>7</v>
      </c>
      <c r="H146" t="n">
        <v>0</v>
      </c>
      <c r="I146" t="n">
        <v>0</v>
      </c>
      <c r="J146" t="n">
        <v>2</v>
      </c>
      <c r="K146" t="n">
        <v>0</v>
      </c>
      <c r="L146" t="n">
        <v>0</v>
      </c>
      <c r="M146" t="n">
        <v>0</v>
      </c>
      <c r="N146" t="n">
        <v>0</v>
      </c>
      <c r="O146" t="n">
        <v>2</v>
      </c>
      <c r="P146" t="n">
        <v>0</v>
      </c>
      <c r="Q146" t="n">
        <v>2</v>
      </c>
      <c r="R146" s="2" t="inlineStr">
        <is>
          <t>Garnlav
Vitgrynig nållav</t>
        </is>
      </c>
      <c r="S146">
        <f>HYPERLINK("https://klasma.github.io/Logging_2260/artfynd/A 26906-2025 artfynd.xlsx", "A 26906-2025")</f>
        <v/>
      </c>
      <c r="T146">
        <f>HYPERLINK("https://klasma.github.io/Logging_2260/kartor/A 26906-2025 karta.png", "A 26906-2025")</f>
        <v/>
      </c>
      <c r="V146">
        <f>HYPERLINK("https://klasma.github.io/Logging_2260/klagomål/A 26906-2025 FSC-klagomål.docx", "A 26906-2025")</f>
        <v/>
      </c>
      <c r="W146">
        <f>HYPERLINK("https://klasma.github.io/Logging_2260/klagomålsmail/A 26906-2025 FSC-klagomål mail.docx", "A 26906-2025")</f>
        <v/>
      </c>
      <c r="X146">
        <f>HYPERLINK("https://klasma.github.io/Logging_2260/tillsyn/A 26906-2025 tillsynsbegäran.docx", "A 26906-2025")</f>
        <v/>
      </c>
      <c r="Y146">
        <f>HYPERLINK("https://klasma.github.io/Logging_2260/tillsynsmail/A 26906-2025 tillsynsbegäran mail.docx", "A 26906-2025")</f>
        <v/>
      </c>
    </row>
    <row r="147" ht="15" customHeight="1">
      <c r="A147" t="inlineStr">
        <is>
          <t>A 25034-2024</t>
        </is>
      </c>
      <c r="B147" s="1" t="n">
        <v>45461.96458333333</v>
      </c>
      <c r="C147" s="1" t="n">
        <v>45926</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Rosenticka
Ullticka</t>
        </is>
      </c>
      <c r="S147">
        <f>HYPERLINK("https://klasma.github.io/Logging_2260/artfynd/A 25034-2024 artfynd.xlsx", "A 25034-2024")</f>
        <v/>
      </c>
      <c r="T147">
        <f>HYPERLINK("https://klasma.github.io/Logging_2260/kartor/A 25034-2024 karta.png", "A 25034-2024")</f>
        <v/>
      </c>
      <c r="V147">
        <f>HYPERLINK("https://klasma.github.io/Logging_2260/klagomål/A 25034-2024 FSC-klagomål.docx", "A 25034-2024")</f>
        <v/>
      </c>
      <c r="W147">
        <f>HYPERLINK("https://klasma.github.io/Logging_2260/klagomålsmail/A 25034-2024 FSC-klagomål mail.docx", "A 25034-2024")</f>
        <v/>
      </c>
      <c r="X147">
        <f>HYPERLINK("https://klasma.github.io/Logging_2260/tillsyn/A 25034-2024 tillsynsbegäran.docx", "A 25034-2024")</f>
        <v/>
      </c>
      <c r="Y147">
        <f>HYPERLINK("https://klasma.github.io/Logging_2260/tillsynsmail/A 25034-2024 tillsynsbegäran mail.docx", "A 25034-2024")</f>
        <v/>
      </c>
    </row>
    <row r="148" ht="15" customHeight="1">
      <c r="A148" t="inlineStr">
        <is>
          <t>A 48374-2024</t>
        </is>
      </c>
      <c r="B148" s="1" t="n">
        <v>45590.58028935185</v>
      </c>
      <c r="C148" s="1" t="n">
        <v>45926</v>
      </c>
      <c r="D148" t="inlineStr">
        <is>
          <t>VÄSTERNORRLANDS LÄN</t>
        </is>
      </c>
      <c r="E148" t="inlineStr">
        <is>
          <t>ÅNGE</t>
        </is>
      </c>
      <c r="G148" t="n">
        <v>6.6</v>
      </c>
      <c r="H148" t="n">
        <v>0</v>
      </c>
      <c r="I148" t="n">
        <v>1</v>
      </c>
      <c r="J148" t="n">
        <v>1</v>
      </c>
      <c r="K148" t="n">
        <v>0</v>
      </c>
      <c r="L148" t="n">
        <v>0</v>
      </c>
      <c r="M148" t="n">
        <v>0</v>
      </c>
      <c r="N148" t="n">
        <v>0</v>
      </c>
      <c r="O148" t="n">
        <v>1</v>
      </c>
      <c r="P148" t="n">
        <v>0</v>
      </c>
      <c r="Q148" t="n">
        <v>2</v>
      </c>
      <c r="R148" s="2" t="inlineStr">
        <is>
          <t>Kolflarnlav
Bollvitmossa</t>
        </is>
      </c>
      <c r="S148">
        <f>HYPERLINK("https://klasma.github.io/Logging_2260/artfynd/A 48374-2024 artfynd.xlsx", "A 48374-2024")</f>
        <v/>
      </c>
      <c r="T148">
        <f>HYPERLINK("https://klasma.github.io/Logging_2260/kartor/A 48374-2024 karta.png", "A 48374-2024")</f>
        <v/>
      </c>
      <c r="V148">
        <f>HYPERLINK("https://klasma.github.io/Logging_2260/klagomål/A 48374-2024 FSC-klagomål.docx", "A 48374-2024")</f>
        <v/>
      </c>
      <c r="W148">
        <f>HYPERLINK("https://klasma.github.io/Logging_2260/klagomålsmail/A 48374-2024 FSC-klagomål mail.docx", "A 48374-2024")</f>
        <v/>
      </c>
      <c r="X148">
        <f>HYPERLINK("https://klasma.github.io/Logging_2260/tillsyn/A 48374-2024 tillsynsbegäran.docx", "A 48374-2024")</f>
        <v/>
      </c>
      <c r="Y148">
        <f>HYPERLINK("https://klasma.github.io/Logging_2260/tillsynsmail/A 48374-2024 tillsynsbegäran mail.docx", "A 48374-2024")</f>
        <v/>
      </c>
    </row>
    <row r="149" ht="15" customHeight="1">
      <c r="A149" t="inlineStr">
        <is>
          <t>A 55178-2024</t>
        </is>
      </c>
      <c r="B149" s="1" t="n">
        <v>45621</v>
      </c>
      <c r="C149" s="1" t="n">
        <v>45926</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49871-2024</t>
        </is>
      </c>
      <c r="B150" s="1" t="n">
        <v>45597.4903125</v>
      </c>
      <c r="C150" s="1" t="n">
        <v>45926</v>
      </c>
      <c r="D150" t="inlineStr">
        <is>
          <t>VÄSTERNORRLANDS LÄN</t>
        </is>
      </c>
      <c r="E150" t="inlineStr">
        <is>
          <t>ÅNGE</t>
        </is>
      </c>
      <c r="F150" t="inlineStr">
        <is>
          <t>SCA</t>
        </is>
      </c>
      <c r="G150" t="n">
        <v>6.3</v>
      </c>
      <c r="H150" t="n">
        <v>1</v>
      </c>
      <c r="I150" t="n">
        <v>0</v>
      </c>
      <c r="J150" t="n">
        <v>1</v>
      </c>
      <c r="K150" t="n">
        <v>1</v>
      </c>
      <c r="L150" t="n">
        <v>0</v>
      </c>
      <c r="M150" t="n">
        <v>0</v>
      </c>
      <c r="N150" t="n">
        <v>0</v>
      </c>
      <c r="O150" t="n">
        <v>2</v>
      </c>
      <c r="P150" t="n">
        <v>1</v>
      </c>
      <c r="Q150" t="n">
        <v>2</v>
      </c>
      <c r="R150" s="2" t="inlineStr">
        <is>
          <t>Knärot
Garnlav</t>
        </is>
      </c>
      <c r="S150">
        <f>HYPERLINK("https://klasma.github.io/Logging_2260/artfynd/A 49871-2024 artfynd.xlsx", "A 49871-2024")</f>
        <v/>
      </c>
      <c r="T150">
        <f>HYPERLINK("https://klasma.github.io/Logging_2260/kartor/A 49871-2024 karta.png", "A 49871-2024")</f>
        <v/>
      </c>
      <c r="U150">
        <f>HYPERLINK("https://klasma.github.io/Logging_2260/knärot/A 49871-2024 karta knärot.png", "A 49871-2024")</f>
        <v/>
      </c>
      <c r="V150">
        <f>HYPERLINK("https://klasma.github.io/Logging_2260/klagomål/A 49871-2024 FSC-klagomål.docx", "A 49871-2024")</f>
        <v/>
      </c>
      <c r="W150">
        <f>HYPERLINK("https://klasma.github.io/Logging_2260/klagomålsmail/A 49871-2024 FSC-klagomål mail.docx", "A 49871-2024")</f>
        <v/>
      </c>
      <c r="X150">
        <f>HYPERLINK("https://klasma.github.io/Logging_2260/tillsyn/A 49871-2024 tillsynsbegäran.docx", "A 49871-2024")</f>
        <v/>
      </c>
      <c r="Y150">
        <f>HYPERLINK("https://klasma.github.io/Logging_2260/tillsynsmail/A 49871-2024 tillsynsbegäran mail.docx", "A 49871-2024")</f>
        <v/>
      </c>
    </row>
    <row r="151" ht="15" customHeight="1">
      <c r="A151" t="inlineStr">
        <is>
          <t>A 29325-2023</t>
        </is>
      </c>
      <c r="B151" s="1" t="n">
        <v>45105</v>
      </c>
      <c r="C151" s="1" t="n">
        <v>45926</v>
      </c>
      <c r="D151" t="inlineStr">
        <is>
          <t>VÄSTERNORRLANDS LÄN</t>
        </is>
      </c>
      <c r="E151" t="inlineStr">
        <is>
          <t>ÅNGE</t>
        </is>
      </c>
      <c r="G151" t="n">
        <v>12.4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HYPERLINK("https://klasma.github.io/Logging_2260/artfynd/A 29325-2023 artfynd.xlsx", "A 29325-2023")</f>
        <v/>
      </c>
      <c r="T151">
        <f>HYPERLINK("https://klasma.github.io/Logging_2260/kartor/A 29325-2023 karta.png", "A 29325-2023")</f>
        <v/>
      </c>
      <c r="V151">
        <f>HYPERLINK("https://klasma.github.io/Logging_2260/klagomål/A 29325-2023 FSC-klagomål.docx", "A 29325-2023")</f>
        <v/>
      </c>
      <c r="W151">
        <f>HYPERLINK("https://klasma.github.io/Logging_2260/klagomålsmail/A 29325-2023 FSC-klagomål mail.docx", "A 29325-2023")</f>
        <v/>
      </c>
      <c r="X151">
        <f>HYPERLINK("https://klasma.github.io/Logging_2260/tillsyn/A 29325-2023 tillsynsbegäran.docx", "A 29325-2023")</f>
        <v/>
      </c>
      <c r="Y151">
        <f>HYPERLINK("https://klasma.github.io/Logging_2260/tillsynsmail/A 29325-2023 tillsynsbegäran mail.docx", "A 29325-2023")</f>
        <v/>
      </c>
    </row>
    <row r="152" ht="15" customHeight="1">
      <c r="A152" t="inlineStr">
        <is>
          <t>A 26020-2024</t>
        </is>
      </c>
      <c r="B152" s="1" t="n">
        <v>45467.9603125</v>
      </c>
      <c r="C152" s="1" t="n">
        <v>45926</v>
      </c>
      <c r="D152" t="inlineStr">
        <is>
          <t>VÄSTERNORRLANDS LÄN</t>
        </is>
      </c>
      <c r="E152" t="inlineStr">
        <is>
          <t>ÅNGE</t>
        </is>
      </c>
      <c r="F152" t="inlineStr">
        <is>
          <t>SCA</t>
        </is>
      </c>
      <c r="G152" t="n">
        <v>4.8</v>
      </c>
      <c r="H152" t="n">
        <v>0</v>
      </c>
      <c r="I152" t="n">
        <v>1</v>
      </c>
      <c r="J152" t="n">
        <v>1</v>
      </c>
      <c r="K152" t="n">
        <v>0</v>
      </c>
      <c r="L152" t="n">
        <v>0</v>
      </c>
      <c r="M152" t="n">
        <v>0</v>
      </c>
      <c r="N152" t="n">
        <v>0</v>
      </c>
      <c r="O152" t="n">
        <v>1</v>
      </c>
      <c r="P152" t="n">
        <v>0</v>
      </c>
      <c r="Q152" t="n">
        <v>2</v>
      </c>
      <c r="R152" s="2" t="inlineStr">
        <is>
          <t>Lunglav
Stuplav</t>
        </is>
      </c>
      <c r="S152">
        <f>HYPERLINK("https://klasma.github.io/Logging_2260/artfynd/A 26020-2024 artfynd.xlsx", "A 26020-2024")</f>
        <v/>
      </c>
      <c r="T152">
        <f>HYPERLINK("https://klasma.github.io/Logging_2260/kartor/A 26020-2024 karta.png", "A 26020-2024")</f>
        <v/>
      </c>
      <c r="V152">
        <f>HYPERLINK("https://klasma.github.io/Logging_2260/klagomål/A 26020-2024 FSC-klagomål.docx", "A 26020-2024")</f>
        <v/>
      </c>
      <c r="W152">
        <f>HYPERLINK("https://klasma.github.io/Logging_2260/klagomålsmail/A 26020-2024 FSC-klagomål mail.docx", "A 26020-2024")</f>
        <v/>
      </c>
      <c r="X152">
        <f>HYPERLINK("https://klasma.github.io/Logging_2260/tillsyn/A 26020-2024 tillsynsbegäran.docx", "A 26020-2024")</f>
        <v/>
      </c>
      <c r="Y152">
        <f>HYPERLINK("https://klasma.github.io/Logging_2260/tillsynsmail/A 26020-2024 tillsynsbegäran mail.docx", "A 26020-2024")</f>
        <v/>
      </c>
    </row>
    <row r="153" ht="15" customHeight="1">
      <c r="A153" t="inlineStr">
        <is>
          <t>A 57594-2022</t>
        </is>
      </c>
      <c r="B153" s="1" t="n">
        <v>44896.97854166666</v>
      </c>
      <c r="C153" s="1" t="n">
        <v>45926</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51756-2020</t>
        </is>
      </c>
      <c r="B154" s="1" t="n">
        <v>44114</v>
      </c>
      <c r="C154" s="1" t="n">
        <v>45926</v>
      </c>
      <c r="D154" t="inlineStr">
        <is>
          <t>VÄSTERNORRLANDS LÄN</t>
        </is>
      </c>
      <c r="E154" t="inlineStr">
        <is>
          <t>ÅNGE</t>
        </is>
      </c>
      <c r="G154" t="n">
        <v>0.8</v>
      </c>
      <c r="H154" t="n">
        <v>1</v>
      </c>
      <c r="I154" t="n">
        <v>0</v>
      </c>
      <c r="J154" t="n">
        <v>0</v>
      </c>
      <c r="K154" t="n">
        <v>0</v>
      </c>
      <c r="L154" t="n">
        <v>2</v>
      </c>
      <c r="M154" t="n">
        <v>0</v>
      </c>
      <c r="N154" t="n">
        <v>0</v>
      </c>
      <c r="O154" t="n">
        <v>2</v>
      </c>
      <c r="P154" t="n">
        <v>2</v>
      </c>
      <c r="Q154" t="n">
        <v>2</v>
      </c>
      <c r="R154" s="2" t="inlineStr">
        <is>
          <t>Mikroskapania
Timmerskapania</t>
        </is>
      </c>
      <c r="S154">
        <f>HYPERLINK("https://klasma.github.io/Logging_2260/artfynd/A 51756-2020 artfynd.xlsx", "A 51756-2020")</f>
        <v/>
      </c>
      <c r="T154">
        <f>HYPERLINK("https://klasma.github.io/Logging_2260/kartor/A 51756-2020 karta.png", "A 51756-2020")</f>
        <v/>
      </c>
      <c r="V154">
        <f>HYPERLINK("https://klasma.github.io/Logging_2260/klagomål/A 51756-2020 FSC-klagomål.docx", "A 51756-2020")</f>
        <v/>
      </c>
      <c r="W154">
        <f>HYPERLINK("https://klasma.github.io/Logging_2260/klagomålsmail/A 51756-2020 FSC-klagomål mail.docx", "A 51756-2020")</f>
        <v/>
      </c>
      <c r="X154">
        <f>HYPERLINK("https://klasma.github.io/Logging_2260/tillsyn/A 51756-2020 tillsynsbegäran.docx", "A 51756-2020")</f>
        <v/>
      </c>
      <c r="Y154">
        <f>HYPERLINK("https://klasma.github.io/Logging_2260/tillsynsmail/A 51756-2020 tillsynsbegäran mail.docx", "A 51756-2020")</f>
        <v/>
      </c>
    </row>
    <row r="155" ht="15" customHeight="1">
      <c r="A155" t="inlineStr">
        <is>
          <t>A 8324-2025</t>
        </is>
      </c>
      <c r="B155" s="1" t="n">
        <v>45708.63621527778</v>
      </c>
      <c r="C155" s="1" t="n">
        <v>45926</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4093-2025</t>
        </is>
      </c>
      <c r="B156" s="1" t="n">
        <v>45684.67762731481</v>
      </c>
      <c r="C156" s="1" t="n">
        <v>45926</v>
      </c>
      <c r="D156" t="inlineStr">
        <is>
          <t>VÄSTERNORRLANDS LÄN</t>
        </is>
      </c>
      <c r="E156" t="inlineStr">
        <is>
          <t>ÅNGE</t>
        </is>
      </c>
      <c r="F156" t="inlineStr">
        <is>
          <t>SCA</t>
        </is>
      </c>
      <c r="G156" t="n">
        <v>2.6</v>
      </c>
      <c r="H156" t="n">
        <v>1</v>
      </c>
      <c r="I156" t="n">
        <v>2</v>
      </c>
      <c r="J156" t="n">
        <v>0</v>
      </c>
      <c r="K156" t="n">
        <v>0</v>
      </c>
      <c r="L156" t="n">
        <v>0</v>
      </c>
      <c r="M156" t="n">
        <v>0</v>
      </c>
      <c r="N156" t="n">
        <v>0</v>
      </c>
      <c r="O156" t="n">
        <v>0</v>
      </c>
      <c r="P156" t="n">
        <v>0</v>
      </c>
      <c r="Q156" t="n">
        <v>2</v>
      </c>
      <c r="R156" s="2" t="inlineStr">
        <is>
          <t>Kransrams
Spindelblomster</t>
        </is>
      </c>
      <c r="S156">
        <f>HYPERLINK("https://klasma.github.io/Logging_2260/artfynd/A 4093-2025 artfynd.xlsx", "A 4093-2025")</f>
        <v/>
      </c>
      <c r="T156">
        <f>HYPERLINK("https://klasma.github.io/Logging_2260/kartor/A 4093-2025 karta.png", "A 4093-2025")</f>
        <v/>
      </c>
      <c r="V156">
        <f>HYPERLINK("https://klasma.github.io/Logging_2260/klagomål/A 4093-2025 FSC-klagomål.docx", "A 4093-2025")</f>
        <v/>
      </c>
      <c r="W156">
        <f>HYPERLINK("https://klasma.github.io/Logging_2260/klagomålsmail/A 4093-2025 FSC-klagomål mail.docx", "A 4093-2025")</f>
        <v/>
      </c>
      <c r="X156">
        <f>HYPERLINK("https://klasma.github.io/Logging_2260/tillsyn/A 4093-2025 tillsynsbegäran.docx", "A 4093-2025")</f>
        <v/>
      </c>
      <c r="Y156">
        <f>HYPERLINK("https://klasma.github.io/Logging_2260/tillsynsmail/A 4093-2025 tillsynsbegäran mail.docx", "A 4093-2025")</f>
        <v/>
      </c>
    </row>
    <row r="157" ht="15" customHeight="1">
      <c r="A157" t="inlineStr">
        <is>
          <t>A 31493-2024</t>
        </is>
      </c>
      <c r="B157" s="1" t="n">
        <v>45505</v>
      </c>
      <c r="C157" s="1" t="n">
        <v>45926</v>
      </c>
      <c r="D157" t="inlineStr">
        <is>
          <t>VÄSTERNORRLANDS LÄN</t>
        </is>
      </c>
      <c r="E157" t="inlineStr">
        <is>
          <t>ÅNGE</t>
        </is>
      </c>
      <c r="F157" t="inlineStr">
        <is>
          <t>SCA</t>
        </is>
      </c>
      <c r="G157" t="n">
        <v>4.4</v>
      </c>
      <c r="H157" t="n">
        <v>1</v>
      </c>
      <c r="I157" t="n">
        <v>1</v>
      </c>
      <c r="J157" t="n">
        <v>0</v>
      </c>
      <c r="K157" t="n">
        <v>1</v>
      </c>
      <c r="L157" t="n">
        <v>0</v>
      </c>
      <c r="M157" t="n">
        <v>0</v>
      </c>
      <c r="N157" t="n">
        <v>0</v>
      </c>
      <c r="O157" t="n">
        <v>1</v>
      </c>
      <c r="P157" t="n">
        <v>1</v>
      </c>
      <c r="Q157" t="n">
        <v>2</v>
      </c>
      <c r="R157" s="2" t="inlineStr">
        <is>
          <t>Knärot
Korallblylav</t>
        </is>
      </c>
      <c r="S157">
        <f>HYPERLINK("https://klasma.github.io/Logging_2260/artfynd/A 31493-2024 artfynd.xlsx", "A 31493-2024")</f>
        <v/>
      </c>
      <c r="T157">
        <f>HYPERLINK("https://klasma.github.io/Logging_2260/kartor/A 31493-2024 karta.png", "A 31493-2024")</f>
        <v/>
      </c>
      <c r="U157">
        <f>HYPERLINK("https://klasma.github.io/Logging_2260/knärot/A 31493-2024 karta knärot.png", "A 31493-2024")</f>
        <v/>
      </c>
      <c r="V157">
        <f>HYPERLINK("https://klasma.github.io/Logging_2260/klagomål/A 31493-2024 FSC-klagomål.docx", "A 31493-2024")</f>
        <v/>
      </c>
      <c r="W157">
        <f>HYPERLINK("https://klasma.github.io/Logging_2260/klagomålsmail/A 31493-2024 FSC-klagomål mail.docx", "A 31493-2024")</f>
        <v/>
      </c>
      <c r="X157">
        <f>HYPERLINK("https://klasma.github.io/Logging_2260/tillsyn/A 31493-2024 tillsynsbegäran.docx", "A 31493-2024")</f>
        <v/>
      </c>
      <c r="Y157">
        <f>HYPERLINK("https://klasma.github.io/Logging_2260/tillsynsmail/A 31493-2024 tillsynsbegäran mail.docx", "A 31493-2024")</f>
        <v/>
      </c>
    </row>
    <row r="158" ht="15" customHeight="1">
      <c r="A158" t="inlineStr">
        <is>
          <t>A 58902-2020</t>
        </is>
      </c>
      <c r="B158" s="1" t="n">
        <v>44146</v>
      </c>
      <c r="C158" s="1" t="n">
        <v>45926</v>
      </c>
      <c r="D158" t="inlineStr">
        <is>
          <t>VÄSTERNORRLANDS LÄN</t>
        </is>
      </c>
      <c r="E158" t="inlineStr">
        <is>
          <t>ÅNGE</t>
        </is>
      </c>
      <c r="G158" t="n">
        <v>8.199999999999999</v>
      </c>
      <c r="H158" t="n">
        <v>0</v>
      </c>
      <c r="I158" t="n">
        <v>1</v>
      </c>
      <c r="J158" t="n">
        <v>1</v>
      </c>
      <c r="K158" t="n">
        <v>0</v>
      </c>
      <c r="L158" t="n">
        <v>0</v>
      </c>
      <c r="M158" t="n">
        <v>0</v>
      </c>
      <c r="N158" t="n">
        <v>0</v>
      </c>
      <c r="O158" t="n">
        <v>1</v>
      </c>
      <c r="P158" t="n">
        <v>0</v>
      </c>
      <c r="Q158" t="n">
        <v>2</v>
      </c>
      <c r="R158" s="2" t="inlineStr">
        <is>
          <t>Ullticka
Vedticka</t>
        </is>
      </c>
      <c r="S158">
        <f>HYPERLINK("https://klasma.github.io/Logging_2260/artfynd/A 58902-2020 artfynd.xlsx", "A 58902-2020")</f>
        <v/>
      </c>
      <c r="T158">
        <f>HYPERLINK("https://klasma.github.io/Logging_2260/kartor/A 58902-2020 karta.png", "A 58902-2020")</f>
        <v/>
      </c>
      <c r="V158">
        <f>HYPERLINK("https://klasma.github.io/Logging_2260/klagomål/A 58902-2020 FSC-klagomål.docx", "A 58902-2020")</f>
        <v/>
      </c>
      <c r="W158">
        <f>HYPERLINK("https://klasma.github.io/Logging_2260/klagomålsmail/A 58902-2020 FSC-klagomål mail.docx", "A 58902-2020")</f>
        <v/>
      </c>
      <c r="X158">
        <f>HYPERLINK("https://klasma.github.io/Logging_2260/tillsyn/A 58902-2020 tillsynsbegäran.docx", "A 58902-2020")</f>
        <v/>
      </c>
      <c r="Y158">
        <f>HYPERLINK("https://klasma.github.io/Logging_2260/tillsynsmail/A 58902-2020 tillsynsbegäran mail.docx", "A 58902-2020")</f>
        <v/>
      </c>
    </row>
    <row r="159" ht="15" customHeight="1">
      <c r="A159" t="inlineStr">
        <is>
          <t>A 165-2025</t>
        </is>
      </c>
      <c r="B159" s="1" t="n">
        <v>45659</v>
      </c>
      <c r="C159" s="1" t="n">
        <v>45926</v>
      </c>
      <c r="D159" t="inlineStr">
        <is>
          <t>VÄSTERNORRLANDS LÄN</t>
        </is>
      </c>
      <c r="E159" t="inlineStr">
        <is>
          <t>ÅNGE</t>
        </is>
      </c>
      <c r="G159" t="n">
        <v>13.9</v>
      </c>
      <c r="H159" t="n">
        <v>1</v>
      </c>
      <c r="I159" t="n">
        <v>0</v>
      </c>
      <c r="J159" t="n">
        <v>2</v>
      </c>
      <c r="K159" t="n">
        <v>0</v>
      </c>
      <c r="L159" t="n">
        <v>0</v>
      </c>
      <c r="M159" t="n">
        <v>0</v>
      </c>
      <c r="N159" t="n">
        <v>0</v>
      </c>
      <c r="O159" t="n">
        <v>2</v>
      </c>
      <c r="P159" t="n">
        <v>0</v>
      </c>
      <c r="Q159" t="n">
        <v>2</v>
      </c>
      <c r="R159" s="2" t="inlineStr">
        <is>
          <t>Doftskinn
Tretåig hackspett</t>
        </is>
      </c>
      <c r="S159">
        <f>HYPERLINK("https://klasma.github.io/Logging_2260/artfynd/A 165-2025 artfynd.xlsx", "A 165-2025")</f>
        <v/>
      </c>
      <c r="T159">
        <f>HYPERLINK("https://klasma.github.io/Logging_2260/kartor/A 165-2025 karta.png", "A 165-2025")</f>
        <v/>
      </c>
      <c r="V159">
        <f>HYPERLINK("https://klasma.github.io/Logging_2260/klagomål/A 165-2025 FSC-klagomål.docx", "A 165-2025")</f>
        <v/>
      </c>
      <c r="W159">
        <f>HYPERLINK("https://klasma.github.io/Logging_2260/klagomålsmail/A 165-2025 FSC-klagomål mail.docx", "A 165-2025")</f>
        <v/>
      </c>
      <c r="X159">
        <f>HYPERLINK("https://klasma.github.io/Logging_2260/tillsyn/A 165-2025 tillsynsbegäran.docx", "A 165-2025")</f>
        <v/>
      </c>
      <c r="Y159">
        <f>HYPERLINK("https://klasma.github.io/Logging_2260/tillsynsmail/A 165-2025 tillsynsbegäran mail.docx", "A 165-2025")</f>
        <v/>
      </c>
      <c r="Z159">
        <f>HYPERLINK("https://klasma.github.io/Logging_2260/fåglar/A 165-2025 prioriterade fågelarter.docx", "A 165-2025")</f>
        <v/>
      </c>
    </row>
    <row r="160" ht="15" customHeight="1">
      <c r="A160" t="inlineStr">
        <is>
          <t>A 48695-2024</t>
        </is>
      </c>
      <c r="B160" s="1" t="n">
        <v>45593.5109837963</v>
      </c>
      <c r="C160" s="1" t="n">
        <v>45926</v>
      </c>
      <c r="D160" t="inlineStr">
        <is>
          <t>VÄSTERNORRLANDS LÄN</t>
        </is>
      </c>
      <c r="E160" t="inlineStr">
        <is>
          <t>ÅNGE</t>
        </is>
      </c>
      <c r="F160" t="inlineStr">
        <is>
          <t>SCA</t>
        </is>
      </c>
      <c r="G160" t="n">
        <v>1.2</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48695-2024 artfynd.xlsx", "A 48695-2024")</f>
        <v/>
      </c>
      <c r="T160">
        <f>HYPERLINK("https://klasma.github.io/Logging_2260/kartor/A 48695-2024 karta.png", "A 48695-2024")</f>
        <v/>
      </c>
      <c r="V160">
        <f>HYPERLINK("https://klasma.github.io/Logging_2260/klagomål/A 48695-2024 FSC-klagomål.docx", "A 48695-2024")</f>
        <v/>
      </c>
      <c r="W160">
        <f>HYPERLINK("https://klasma.github.io/Logging_2260/klagomålsmail/A 48695-2024 FSC-klagomål mail.docx", "A 48695-2024")</f>
        <v/>
      </c>
      <c r="X160">
        <f>HYPERLINK("https://klasma.github.io/Logging_2260/tillsyn/A 48695-2024 tillsynsbegäran.docx", "A 48695-2024")</f>
        <v/>
      </c>
      <c r="Y160">
        <f>HYPERLINK("https://klasma.github.io/Logging_2260/tillsynsmail/A 48695-2024 tillsynsbegäran mail.docx", "A 48695-2024")</f>
        <v/>
      </c>
    </row>
    <row r="161" ht="15" customHeight="1">
      <c r="A161" t="inlineStr">
        <is>
          <t>A 24795-2024</t>
        </is>
      </c>
      <c r="B161" s="1" t="n">
        <v>45460.95252314815</v>
      </c>
      <c r="C161" s="1" t="n">
        <v>45926</v>
      </c>
      <c r="D161" t="inlineStr">
        <is>
          <t>VÄSTERNORRLANDS LÄN</t>
        </is>
      </c>
      <c r="E161" t="inlineStr">
        <is>
          <t>ÅNGE</t>
        </is>
      </c>
      <c r="F161" t="inlineStr">
        <is>
          <t>SCA</t>
        </is>
      </c>
      <c r="G161" t="n">
        <v>2.2</v>
      </c>
      <c r="H161" t="n">
        <v>0</v>
      </c>
      <c r="I161" t="n">
        <v>1</v>
      </c>
      <c r="J161" t="n">
        <v>1</v>
      </c>
      <c r="K161" t="n">
        <v>0</v>
      </c>
      <c r="L161" t="n">
        <v>0</v>
      </c>
      <c r="M161" t="n">
        <v>0</v>
      </c>
      <c r="N161" t="n">
        <v>0</v>
      </c>
      <c r="O161" t="n">
        <v>1</v>
      </c>
      <c r="P161" t="n">
        <v>0</v>
      </c>
      <c r="Q161" t="n">
        <v>2</v>
      </c>
      <c r="R161" s="2" t="inlineStr">
        <is>
          <t>Lunglav
Skinnlav</t>
        </is>
      </c>
      <c r="S161">
        <f>HYPERLINK("https://klasma.github.io/Logging_2260/artfynd/A 24795-2024 artfynd.xlsx", "A 24795-2024")</f>
        <v/>
      </c>
      <c r="T161">
        <f>HYPERLINK("https://klasma.github.io/Logging_2260/kartor/A 24795-2024 karta.png", "A 24795-2024")</f>
        <v/>
      </c>
      <c r="V161">
        <f>HYPERLINK("https://klasma.github.io/Logging_2260/klagomål/A 24795-2024 FSC-klagomål.docx", "A 24795-2024")</f>
        <v/>
      </c>
      <c r="W161">
        <f>HYPERLINK("https://klasma.github.io/Logging_2260/klagomålsmail/A 24795-2024 FSC-klagomål mail.docx", "A 24795-2024")</f>
        <v/>
      </c>
      <c r="X161">
        <f>HYPERLINK("https://klasma.github.io/Logging_2260/tillsyn/A 24795-2024 tillsynsbegäran.docx", "A 24795-2024")</f>
        <v/>
      </c>
      <c r="Y161">
        <f>HYPERLINK("https://klasma.github.io/Logging_2260/tillsynsmail/A 24795-2024 tillsynsbegäran mail.docx", "A 24795-2024")</f>
        <v/>
      </c>
    </row>
    <row r="162" ht="15" customHeight="1">
      <c r="A162" t="inlineStr">
        <is>
          <t>A 42864-2025</t>
        </is>
      </c>
      <c r="B162" s="1" t="n">
        <v>45908.61540509259</v>
      </c>
      <c r="C162" s="1" t="n">
        <v>45926</v>
      </c>
      <c r="D162" t="inlineStr">
        <is>
          <t>VÄSTERNORRLANDS LÄN</t>
        </is>
      </c>
      <c r="E162" t="inlineStr">
        <is>
          <t>ÅNGE</t>
        </is>
      </c>
      <c r="G162" t="n">
        <v>3.2</v>
      </c>
      <c r="H162" t="n">
        <v>0</v>
      </c>
      <c r="I162" t="n">
        <v>0</v>
      </c>
      <c r="J162" t="n">
        <v>2</v>
      </c>
      <c r="K162" t="n">
        <v>0</v>
      </c>
      <c r="L162" t="n">
        <v>0</v>
      </c>
      <c r="M162" t="n">
        <v>0</v>
      </c>
      <c r="N162" t="n">
        <v>0</v>
      </c>
      <c r="O162" t="n">
        <v>2</v>
      </c>
      <c r="P162" t="n">
        <v>0</v>
      </c>
      <c r="Q162" t="n">
        <v>2</v>
      </c>
      <c r="R162" s="2" t="inlineStr">
        <is>
          <t>Mörk kolflarnlav
Vedflamlav</t>
        </is>
      </c>
      <c r="S162">
        <f>HYPERLINK("https://klasma.github.io/Logging_2260/artfynd/A 42864-2025 artfynd.xlsx", "A 42864-2025")</f>
        <v/>
      </c>
      <c r="T162">
        <f>HYPERLINK("https://klasma.github.io/Logging_2260/kartor/A 42864-2025 karta.png", "A 42864-2025")</f>
        <v/>
      </c>
      <c r="V162">
        <f>HYPERLINK("https://klasma.github.io/Logging_2260/klagomål/A 42864-2025 FSC-klagomål.docx", "A 42864-2025")</f>
        <v/>
      </c>
      <c r="W162">
        <f>HYPERLINK("https://klasma.github.io/Logging_2260/klagomålsmail/A 42864-2025 FSC-klagomål mail.docx", "A 42864-2025")</f>
        <v/>
      </c>
      <c r="X162">
        <f>HYPERLINK("https://klasma.github.io/Logging_2260/tillsyn/A 42864-2025 tillsynsbegäran.docx", "A 42864-2025")</f>
        <v/>
      </c>
      <c r="Y162">
        <f>HYPERLINK("https://klasma.github.io/Logging_2260/tillsynsmail/A 42864-2025 tillsynsbegäran mail.docx", "A 42864-2025")</f>
        <v/>
      </c>
    </row>
    <row r="163" ht="15" customHeight="1">
      <c r="A163" t="inlineStr">
        <is>
          <t>A 17861-2023</t>
        </is>
      </c>
      <c r="B163" s="1" t="n">
        <v>45037.94171296297</v>
      </c>
      <c r="C163" s="1" t="n">
        <v>45926</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32659-2024</t>
        </is>
      </c>
      <c r="B164" s="1" t="n">
        <v>45513</v>
      </c>
      <c r="C164" s="1" t="n">
        <v>45926</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36414-2025</t>
        </is>
      </c>
      <c r="B165" s="1" t="n">
        <v>45868.69246527777</v>
      </c>
      <c r="C165" s="1" t="n">
        <v>45926</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43721-2025</t>
        </is>
      </c>
      <c r="B166" s="1" t="n">
        <v>45912.42800925926</v>
      </c>
      <c r="C166" s="1" t="n">
        <v>45926</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37800-2025</t>
        </is>
      </c>
      <c r="B167" s="1" t="n">
        <v>45881.34420138889</v>
      </c>
      <c r="C167" s="1" t="n">
        <v>45926</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45926</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20367-2022</t>
        </is>
      </c>
      <c r="B169" s="1" t="n">
        <v>44699</v>
      </c>
      <c r="C169" s="1" t="n">
        <v>45926</v>
      </c>
      <c r="D169" t="inlineStr">
        <is>
          <t>VÄSTERNORRLANDS LÄN</t>
        </is>
      </c>
      <c r="E169" t="inlineStr">
        <is>
          <t>ÅNGE</t>
        </is>
      </c>
      <c r="G169" t="n">
        <v>9.6</v>
      </c>
      <c r="H169" t="n">
        <v>1</v>
      </c>
      <c r="I169" t="n">
        <v>0</v>
      </c>
      <c r="J169" t="n">
        <v>0</v>
      </c>
      <c r="K169" t="n">
        <v>0</v>
      </c>
      <c r="L169" t="n">
        <v>0</v>
      </c>
      <c r="M169" t="n">
        <v>0</v>
      </c>
      <c r="N169" t="n">
        <v>0</v>
      </c>
      <c r="O169" t="n">
        <v>0</v>
      </c>
      <c r="P169" t="n">
        <v>0</v>
      </c>
      <c r="Q169" t="n">
        <v>1</v>
      </c>
      <c r="R169" s="2" t="inlineStr">
        <is>
          <t>Fläcknycklar</t>
        </is>
      </c>
      <c r="S169">
        <f>HYPERLINK("https://klasma.github.io/Logging_2260/artfynd/A 20367-2022 artfynd.xlsx", "A 20367-2022")</f>
        <v/>
      </c>
      <c r="T169">
        <f>HYPERLINK("https://klasma.github.io/Logging_2260/kartor/A 20367-2022 karta.png", "A 20367-2022")</f>
        <v/>
      </c>
      <c r="V169">
        <f>HYPERLINK("https://klasma.github.io/Logging_2260/klagomål/A 20367-2022 FSC-klagomål.docx", "A 20367-2022")</f>
        <v/>
      </c>
      <c r="W169">
        <f>HYPERLINK("https://klasma.github.io/Logging_2260/klagomålsmail/A 20367-2022 FSC-klagomål mail.docx", "A 20367-2022")</f>
        <v/>
      </c>
      <c r="X169">
        <f>HYPERLINK("https://klasma.github.io/Logging_2260/tillsyn/A 20367-2022 tillsynsbegäran.docx", "A 20367-2022")</f>
        <v/>
      </c>
      <c r="Y169">
        <f>HYPERLINK("https://klasma.github.io/Logging_2260/tillsynsmail/A 20367-2022 tillsynsbegäran mail.docx", "A 20367-2022")</f>
        <v/>
      </c>
    </row>
    <row r="170" ht="15" customHeight="1">
      <c r="A170" t="inlineStr">
        <is>
          <t>A 31136-2022</t>
        </is>
      </c>
      <c r="B170" s="1" t="n">
        <v>44770.40920138889</v>
      </c>
      <c r="C170" s="1" t="n">
        <v>45926</v>
      </c>
      <c r="D170" t="inlineStr">
        <is>
          <t>VÄSTERNORRLANDS LÄN</t>
        </is>
      </c>
      <c r="E170" t="inlineStr">
        <is>
          <t>ÅNGE</t>
        </is>
      </c>
      <c r="F170" t="inlineStr">
        <is>
          <t>Övriga Aktiebolag</t>
        </is>
      </c>
      <c r="G170" t="n">
        <v>4.4</v>
      </c>
      <c r="H170" t="n">
        <v>1</v>
      </c>
      <c r="I170" t="n">
        <v>0</v>
      </c>
      <c r="J170" t="n">
        <v>0</v>
      </c>
      <c r="K170" t="n">
        <v>0</v>
      </c>
      <c r="L170" t="n">
        <v>0</v>
      </c>
      <c r="M170" t="n">
        <v>0</v>
      </c>
      <c r="N170" t="n">
        <v>0</v>
      </c>
      <c r="O170" t="n">
        <v>0</v>
      </c>
      <c r="P170" t="n">
        <v>0</v>
      </c>
      <c r="Q170" t="n">
        <v>1</v>
      </c>
      <c r="R170" s="2" t="inlineStr">
        <is>
          <t>Tjäder</t>
        </is>
      </c>
      <c r="S170">
        <f>HYPERLINK("https://klasma.github.io/Logging_2260/artfynd/A 31136-2022 artfynd.xlsx", "A 31136-2022")</f>
        <v/>
      </c>
      <c r="T170">
        <f>HYPERLINK("https://klasma.github.io/Logging_2260/kartor/A 31136-2022 karta.png", "A 31136-2022")</f>
        <v/>
      </c>
      <c r="V170">
        <f>HYPERLINK("https://klasma.github.io/Logging_2260/klagomål/A 31136-2022 FSC-klagomål.docx", "A 31136-2022")</f>
        <v/>
      </c>
      <c r="W170">
        <f>HYPERLINK("https://klasma.github.io/Logging_2260/klagomålsmail/A 31136-2022 FSC-klagomål mail.docx", "A 31136-2022")</f>
        <v/>
      </c>
      <c r="X170">
        <f>HYPERLINK("https://klasma.github.io/Logging_2260/tillsyn/A 31136-2022 tillsynsbegäran.docx", "A 31136-2022")</f>
        <v/>
      </c>
      <c r="Y170">
        <f>HYPERLINK("https://klasma.github.io/Logging_2260/tillsynsmail/A 31136-2022 tillsynsbegäran mail.docx", "A 31136-2022")</f>
        <v/>
      </c>
      <c r="Z170">
        <f>HYPERLINK("https://klasma.github.io/Logging_2260/fåglar/A 31136-2022 prioriterade fågelarter.docx", "A 31136-2022")</f>
        <v/>
      </c>
    </row>
    <row r="171" ht="15" customHeight="1">
      <c r="A171" t="inlineStr">
        <is>
          <t>A 61479-2021</t>
        </is>
      </c>
      <c r="B171" s="1" t="n">
        <v>44500</v>
      </c>
      <c r="C171" s="1" t="n">
        <v>45926</v>
      </c>
      <c r="D171" t="inlineStr">
        <is>
          <t>VÄSTERNORRLANDS LÄN</t>
        </is>
      </c>
      <c r="E171" t="inlineStr">
        <is>
          <t>ÅNGE</t>
        </is>
      </c>
      <c r="F171" t="inlineStr">
        <is>
          <t>SCA</t>
        </is>
      </c>
      <c r="G171" t="n">
        <v>7.2</v>
      </c>
      <c r="H171" t="n">
        <v>1</v>
      </c>
      <c r="I171" t="n">
        <v>0</v>
      </c>
      <c r="J171" t="n">
        <v>0</v>
      </c>
      <c r="K171" t="n">
        <v>1</v>
      </c>
      <c r="L171" t="n">
        <v>0</v>
      </c>
      <c r="M171" t="n">
        <v>0</v>
      </c>
      <c r="N171" t="n">
        <v>0</v>
      </c>
      <c r="O171" t="n">
        <v>1</v>
      </c>
      <c r="P171" t="n">
        <v>1</v>
      </c>
      <c r="Q171" t="n">
        <v>1</v>
      </c>
      <c r="R171" s="2" t="inlineStr">
        <is>
          <t>Knärot</t>
        </is>
      </c>
      <c r="S171">
        <f>HYPERLINK("https://klasma.github.io/Logging_2260/artfynd/A 61479-2021 artfynd.xlsx", "A 61479-2021")</f>
        <v/>
      </c>
      <c r="T171">
        <f>HYPERLINK("https://klasma.github.io/Logging_2260/kartor/A 61479-2021 karta.png", "A 61479-2021")</f>
        <v/>
      </c>
      <c r="U171">
        <f>HYPERLINK("https://klasma.github.io/Logging_2260/knärot/A 61479-2021 karta knärot.png", "A 61479-2021")</f>
        <v/>
      </c>
      <c r="V171">
        <f>HYPERLINK("https://klasma.github.io/Logging_2260/klagomål/A 61479-2021 FSC-klagomål.docx", "A 61479-2021")</f>
        <v/>
      </c>
      <c r="W171">
        <f>HYPERLINK("https://klasma.github.io/Logging_2260/klagomålsmail/A 61479-2021 FSC-klagomål mail.docx", "A 61479-2021")</f>
        <v/>
      </c>
      <c r="X171">
        <f>HYPERLINK("https://klasma.github.io/Logging_2260/tillsyn/A 61479-2021 tillsynsbegäran.docx", "A 61479-2021")</f>
        <v/>
      </c>
      <c r="Y171">
        <f>HYPERLINK("https://klasma.github.io/Logging_2260/tillsynsmail/A 61479-2021 tillsynsbegäran mail.docx", "A 61479-2021")</f>
        <v/>
      </c>
    </row>
    <row r="172" ht="15" customHeight="1">
      <c r="A172" t="inlineStr">
        <is>
          <t>A 31578-2021</t>
        </is>
      </c>
      <c r="B172" s="1" t="n">
        <v>44369</v>
      </c>
      <c r="C172" s="1" t="n">
        <v>45926</v>
      </c>
      <c r="D172" t="inlineStr">
        <is>
          <t>VÄSTERNORRLANDS LÄN</t>
        </is>
      </c>
      <c r="E172" t="inlineStr">
        <is>
          <t>ÅNGE</t>
        </is>
      </c>
      <c r="G172" t="n">
        <v>25.8</v>
      </c>
      <c r="H172" t="n">
        <v>1</v>
      </c>
      <c r="I172" t="n">
        <v>0</v>
      </c>
      <c r="J172" t="n">
        <v>0</v>
      </c>
      <c r="K172" t="n">
        <v>1</v>
      </c>
      <c r="L172" t="n">
        <v>0</v>
      </c>
      <c r="M172" t="n">
        <v>0</v>
      </c>
      <c r="N172" t="n">
        <v>0</v>
      </c>
      <c r="O172" t="n">
        <v>1</v>
      </c>
      <c r="P172" t="n">
        <v>1</v>
      </c>
      <c r="Q172" t="n">
        <v>1</v>
      </c>
      <c r="R172" s="2" t="inlineStr">
        <is>
          <t>Knärot</t>
        </is>
      </c>
      <c r="S172">
        <f>HYPERLINK("https://klasma.github.io/Logging_2260/artfynd/A 31578-2021 artfynd.xlsx", "A 31578-2021")</f>
        <v/>
      </c>
      <c r="T172">
        <f>HYPERLINK("https://klasma.github.io/Logging_2260/kartor/A 31578-2021 karta.png", "A 31578-2021")</f>
        <v/>
      </c>
      <c r="U172">
        <f>HYPERLINK("https://klasma.github.io/Logging_2260/knärot/A 31578-2021 karta knärot.png", "A 31578-2021")</f>
        <v/>
      </c>
      <c r="V172">
        <f>HYPERLINK("https://klasma.github.io/Logging_2260/klagomål/A 31578-2021 FSC-klagomål.docx", "A 31578-2021")</f>
        <v/>
      </c>
      <c r="W172">
        <f>HYPERLINK("https://klasma.github.io/Logging_2260/klagomålsmail/A 31578-2021 FSC-klagomål mail.docx", "A 31578-2021")</f>
        <v/>
      </c>
      <c r="X172">
        <f>HYPERLINK("https://klasma.github.io/Logging_2260/tillsyn/A 31578-2021 tillsynsbegäran.docx", "A 31578-2021")</f>
        <v/>
      </c>
      <c r="Y172">
        <f>HYPERLINK("https://klasma.github.io/Logging_2260/tillsynsmail/A 31578-2021 tillsynsbegäran mail.docx", "A 31578-2021")</f>
        <v/>
      </c>
    </row>
    <row r="173" ht="15" customHeight="1">
      <c r="A173" t="inlineStr">
        <is>
          <t>A 35018-2021</t>
        </is>
      </c>
      <c r="B173" s="1" t="n">
        <v>44383.69549768518</v>
      </c>
      <c r="C173" s="1" t="n">
        <v>45926</v>
      </c>
      <c r="D173" t="inlineStr">
        <is>
          <t>VÄSTERNORRLANDS LÄN</t>
        </is>
      </c>
      <c r="E173" t="inlineStr">
        <is>
          <t>ÅNGE</t>
        </is>
      </c>
      <c r="F173" t="inlineStr">
        <is>
          <t>Sveaskog</t>
        </is>
      </c>
      <c r="G173" t="n">
        <v>9.5</v>
      </c>
      <c r="H173" t="n">
        <v>1</v>
      </c>
      <c r="I173" t="n">
        <v>0</v>
      </c>
      <c r="J173" t="n">
        <v>1</v>
      </c>
      <c r="K173" t="n">
        <v>0</v>
      </c>
      <c r="L173" t="n">
        <v>0</v>
      </c>
      <c r="M173" t="n">
        <v>0</v>
      </c>
      <c r="N173" t="n">
        <v>0</v>
      </c>
      <c r="O173" t="n">
        <v>1</v>
      </c>
      <c r="P173" t="n">
        <v>0</v>
      </c>
      <c r="Q173" t="n">
        <v>1</v>
      </c>
      <c r="R173" s="2" t="inlineStr">
        <is>
          <t>Utter</t>
        </is>
      </c>
      <c r="S173">
        <f>HYPERLINK("https://klasma.github.io/Logging_2260/artfynd/A 35018-2021 artfynd.xlsx", "A 35018-2021")</f>
        <v/>
      </c>
      <c r="T173">
        <f>HYPERLINK("https://klasma.github.io/Logging_2260/kartor/A 35018-2021 karta.png", "A 35018-2021")</f>
        <v/>
      </c>
      <c r="V173">
        <f>HYPERLINK("https://klasma.github.io/Logging_2260/klagomål/A 35018-2021 FSC-klagomål.docx", "A 35018-2021")</f>
        <v/>
      </c>
      <c r="W173">
        <f>HYPERLINK("https://klasma.github.io/Logging_2260/klagomålsmail/A 35018-2021 FSC-klagomål mail.docx", "A 35018-2021")</f>
        <v/>
      </c>
      <c r="X173">
        <f>HYPERLINK("https://klasma.github.io/Logging_2260/tillsyn/A 35018-2021 tillsynsbegäran.docx", "A 35018-2021")</f>
        <v/>
      </c>
      <c r="Y173">
        <f>HYPERLINK("https://klasma.github.io/Logging_2260/tillsynsmail/A 35018-2021 tillsynsbegäran mail.docx", "A 35018-2021")</f>
        <v/>
      </c>
    </row>
    <row r="174" ht="15" customHeight="1">
      <c r="A174" t="inlineStr">
        <is>
          <t>A 5558-2021</t>
        </is>
      </c>
      <c r="B174" s="1" t="n">
        <v>44230</v>
      </c>
      <c r="C174" s="1" t="n">
        <v>45926</v>
      </c>
      <c r="D174" t="inlineStr">
        <is>
          <t>VÄSTERNORRLANDS LÄN</t>
        </is>
      </c>
      <c r="E174" t="inlineStr">
        <is>
          <t>ÅNGE</t>
        </is>
      </c>
      <c r="G174" t="n">
        <v>60.6</v>
      </c>
      <c r="H174" t="n">
        <v>0</v>
      </c>
      <c r="I174" t="n">
        <v>0</v>
      </c>
      <c r="J174" t="n">
        <v>1</v>
      </c>
      <c r="K174" t="n">
        <v>0</v>
      </c>
      <c r="L174" t="n">
        <v>0</v>
      </c>
      <c r="M174" t="n">
        <v>0</v>
      </c>
      <c r="N174" t="n">
        <v>0</v>
      </c>
      <c r="O174" t="n">
        <v>1</v>
      </c>
      <c r="P174" t="n">
        <v>0</v>
      </c>
      <c r="Q174" t="n">
        <v>1</v>
      </c>
      <c r="R174" s="2" t="inlineStr">
        <is>
          <t>Garnlav</t>
        </is>
      </c>
      <c r="S174">
        <f>HYPERLINK("https://klasma.github.io/Logging_2260/artfynd/A 5558-2021 artfynd.xlsx", "A 5558-2021")</f>
        <v/>
      </c>
      <c r="T174">
        <f>HYPERLINK("https://klasma.github.io/Logging_2260/kartor/A 5558-2021 karta.png", "A 5558-2021")</f>
        <v/>
      </c>
      <c r="V174">
        <f>HYPERLINK("https://klasma.github.io/Logging_2260/klagomål/A 5558-2021 FSC-klagomål.docx", "A 5558-2021")</f>
        <v/>
      </c>
      <c r="W174">
        <f>HYPERLINK("https://klasma.github.io/Logging_2260/klagomålsmail/A 5558-2021 FSC-klagomål mail.docx", "A 5558-2021")</f>
        <v/>
      </c>
      <c r="X174">
        <f>HYPERLINK("https://klasma.github.io/Logging_2260/tillsyn/A 5558-2021 tillsynsbegäran.docx", "A 5558-2021")</f>
        <v/>
      </c>
      <c r="Y174">
        <f>HYPERLINK("https://klasma.github.io/Logging_2260/tillsynsmail/A 5558-2021 tillsynsbegäran mail.docx", "A 5558-2021")</f>
        <v/>
      </c>
    </row>
    <row r="175" ht="15" customHeight="1">
      <c r="A175" t="inlineStr">
        <is>
          <t>A 31544-2024</t>
        </is>
      </c>
      <c r="B175" s="1" t="n">
        <v>45505</v>
      </c>
      <c r="C175" s="1" t="n">
        <v>45926</v>
      </c>
      <c r="D175" t="inlineStr">
        <is>
          <t>VÄSTERNORRLANDS LÄN</t>
        </is>
      </c>
      <c r="E175" t="inlineStr">
        <is>
          <t>ÅNGE</t>
        </is>
      </c>
      <c r="F175" t="inlineStr">
        <is>
          <t>SCA</t>
        </is>
      </c>
      <c r="G175" t="n">
        <v>3.5</v>
      </c>
      <c r="H175" t="n">
        <v>0</v>
      </c>
      <c r="I175" t="n">
        <v>0</v>
      </c>
      <c r="J175" t="n">
        <v>1</v>
      </c>
      <c r="K175" t="n">
        <v>0</v>
      </c>
      <c r="L175" t="n">
        <v>0</v>
      </c>
      <c r="M175" t="n">
        <v>0</v>
      </c>
      <c r="N175" t="n">
        <v>0</v>
      </c>
      <c r="O175" t="n">
        <v>1</v>
      </c>
      <c r="P175" t="n">
        <v>0</v>
      </c>
      <c r="Q175" t="n">
        <v>1</v>
      </c>
      <c r="R175" s="2" t="inlineStr">
        <is>
          <t>Granticka</t>
        </is>
      </c>
      <c r="S175">
        <f>HYPERLINK("https://klasma.github.io/Logging_2260/artfynd/A 31544-2024 artfynd.xlsx", "A 31544-2024")</f>
        <v/>
      </c>
      <c r="T175">
        <f>HYPERLINK("https://klasma.github.io/Logging_2260/kartor/A 31544-2024 karta.png", "A 31544-2024")</f>
        <v/>
      </c>
      <c r="V175">
        <f>HYPERLINK("https://klasma.github.io/Logging_2260/klagomål/A 31544-2024 FSC-klagomål.docx", "A 31544-2024")</f>
        <v/>
      </c>
      <c r="W175">
        <f>HYPERLINK("https://klasma.github.io/Logging_2260/klagomålsmail/A 31544-2024 FSC-klagomål mail.docx", "A 31544-2024")</f>
        <v/>
      </c>
      <c r="X175">
        <f>HYPERLINK("https://klasma.github.io/Logging_2260/tillsyn/A 31544-2024 tillsynsbegäran.docx", "A 31544-2024")</f>
        <v/>
      </c>
      <c r="Y175">
        <f>HYPERLINK("https://klasma.github.io/Logging_2260/tillsynsmail/A 31544-2024 tillsynsbegäran mail.docx", "A 31544-2024")</f>
        <v/>
      </c>
    </row>
    <row r="176" ht="15" customHeight="1">
      <c r="A176" t="inlineStr">
        <is>
          <t>A 71366-2021</t>
        </is>
      </c>
      <c r="B176" s="1" t="n">
        <v>44539</v>
      </c>
      <c r="C176" s="1" t="n">
        <v>45926</v>
      </c>
      <c r="D176" t="inlineStr">
        <is>
          <t>VÄSTERNORRLANDS LÄN</t>
        </is>
      </c>
      <c r="E176" t="inlineStr">
        <is>
          <t>ÅNGE</t>
        </is>
      </c>
      <c r="F176" t="inlineStr">
        <is>
          <t>SCA</t>
        </is>
      </c>
      <c r="G176" t="n">
        <v>2.3</v>
      </c>
      <c r="H176" t="n">
        <v>1</v>
      </c>
      <c r="I176" t="n">
        <v>0</v>
      </c>
      <c r="J176" t="n">
        <v>0</v>
      </c>
      <c r="K176" t="n">
        <v>1</v>
      </c>
      <c r="L176" t="n">
        <v>0</v>
      </c>
      <c r="M176" t="n">
        <v>0</v>
      </c>
      <c r="N176" t="n">
        <v>0</v>
      </c>
      <c r="O176" t="n">
        <v>1</v>
      </c>
      <c r="P176" t="n">
        <v>1</v>
      </c>
      <c r="Q176" t="n">
        <v>1</v>
      </c>
      <c r="R176" s="2" t="inlineStr">
        <is>
          <t>Knärot</t>
        </is>
      </c>
      <c r="S176">
        <f>HYPERLINK("https://klasma.github.io/Logging_2260/artfynd/A 71366-2021 artfynd.xlsx", "A 71366-2021")</f>
        <v/>
      </c>
      <c r="T176">
        <f>HYPERLINK("https://klasma.github.io/Logging_2260/kartor/A 71366-2021 karta.png", "A 71366-2021")</f>
        <v/>
      </c>
      <c r="U176">
        <f>HYPERLINK("https://klasma.github.io/Logging_2260/knärot/A 71366-2021 karta knärot.png", "A 71366-2021")</f>
        <v/>
      </c>
      <c r="V176">
        <f>HYPERLINK("https://klasma.github.io/Logging_2260/klagomål/A 71366-2021 FSC-klagomål.docx", "A 71366-2021")</f>
        <v/>
      </c>
      <c r="W176">
        <f>HYPERLINK("https://klasma.github.io/Logging_2260/klagomålsmail/A 71366-2021 FSC-klagomål mail.docx", "A 71366-2021")</f>
        <v/>
      </c>
      <c r="X176">
        <f>HYPERLINK("https://klasma.github.io/Logging_2260/tillsyn/A 71366-2021 tillsynsbegäran.docx", "A 71366-2021")</f>
        <v/>
      </c>
      <c r="Y176">
        <f>HYPERLINK("https://klasma.github.io/Logging_2260/tillsynsmail/A 71366-2021 tillsynsbegäran mail.docx", "A 71366-2021")</f>
        <v/>
      </c>
    </row>
    <row r="177" ht="15" customHeight="1">
      <c r="A177" t="inlineStr">
        <is>
          <t>A 32457-2024</t>
        </is>
      </c>
      <c r="B177" s="1" t="n">
        <v>45512</v>
      </c>
      <c r="C177" s="1" t="n">
        <v>45926</v>
      </c>
      <c r="D177" t="inlineStr">
        <is>
          <t>VÄSTERNORRLANDS LÄN</t>
        </is>
      </c>
      <c r="E177" t="inlineStr">
        <is>
          <t>ÅNGE</t>
        </is>
      </c>
      <c r="F177" t="inlineStr">
        <is>
          <t>SCA</t>
        </is>
      </c>
      <c r="G177" t="n">
        <v>1.3</v>
      </c>
      <c r="H177" t="n">
        <v>0</v>
      </c>
      <c r="I177" t="n">
        <v>0</v>
      </c>
      <c r="J177" t="n">
        <v>1</v>
      </c>
      <c r="K177" t="n">
        <v>0</v>
      </c>
      <c r="L177" t="n">
        <v>0</v>
      </c>
      <c r="M177" t="n">
        <v>0</v>
      </c>
      <c r="N177" t="n">
        <v>0</v>
      </c>
      <c r="O177" t="n">
        <v>1</v>
      </c>
      <c r="P177" t="n">
        <v>0</v>
      </c>
      <c r="Q177" t="n">
        <v>1</v>
      </c>
      <c r="R177" s="2" t="inlineStr">
        <is>
          <t>Ullticka</t>
        </is>
      </c>
      <c r="S177">
        <f>HYPERLINK("https://klasma.github.io/Logging_2260/artfynd/A 32457-2024 artfynd.xlsx", "A 32457-2024")</f>
        <v/>
      </c>
      <c r="T177">
        <f>HYPERLINK("https://klasma.github.io/Logging_2260/kartor/A 32457-2024 karta.png", "A 32457-2024")</f>
        <v/>
      </c>
      <c r="V177">
        <f>HYPERLINK("https://klasma.github.io/Logging_2260/klagomål/A 32457-2024 FSC-klagomål.docx", "A 32457-2024")</f>
        <v/>
      </c>
      <c r="W177">
        <f>HYPERLINK("https://klasma.github.io/Logging_2260/klagomålsmail/A 32457-2024 FSC-klagomål mail.docx", "A 32457-2024")</f>
        <v/>
      </c>
      <c r="X177">
        <f>HYPERLINK("https://klasma.github.io/Logging_2260/tillsyn/A 32457-2024 tillsynsbegäran.docx", "A 32457-2024")</f>
        <v/>
      </c>
      <c r="Y177">
        <f>HYPERLINK("https://klasma.github.io/Logging_2260/tillsynsmail/A 32457-2024 tillsynsbegäran mail.docx", "A 32457-2024")</f>
        <v/>
      </c>
    </row>
    <row r="178" ht="15" customHeight="1">
      <c r="A178" t="inlineStr">
        <is>
          <t>A 30774-2024</t>
        </is>
      </c>
      <c r="B178" s="1" t="n">
        <v>45496.949375</v>
      </c>
      <c r="C178" s="1" t="n">
        <v>45926</v>
      </c>
      <c r="D178" t="inlineStr">
        <is>
          <t>VÄSTERNORRLANDS LÄN</t>
        </is>
      </c>
      <c r="E178" t="inlineStr">
        <is>
          <t>ÅNGE</t>
        </is>
      </c>
      <c r="F178" t="inlineStr">
        <is>
          <t>SCA</t>
        </is>
      </c>
      <c r="G178" t="n">
        <v>2.2</v>
      </c>
      <c r="H178" t="n">
        <v>1</v>
      </c>
      <c r="I178" t="n">
        <v>0</v>
      </c>
      <c r="J178" t="n">
        <v>0</v>
      </c>
      <c r="K178" t="n">
        <v>0</v>
      </c>
      <c r="L178" t="n">
        <v>0</v>
      </c>
      <c r="M178" t="n">
        <v>0</v>
      </c>
      <c r="N178" t="n">
        <v>0</v>
      </c>
      <c r="O178" t="n">
        <v>0</v>
      </c>
      <c r="P178" t="n">
        <v>0</v>
      </c>
      <c r="Q178" t="n">
        <v>1</v>
      </c>
      <c r="R178" s="2" t="inlineStr">
        <is>
          <t>Tjäder</t>
        </is>
      </c>
      <c r="S178">
        <f>HYPERLINK("https://klasma.github.io/Logging_2260/artfynd/A 30774-2024 artfynd.xlsx", "A 30774-2024")</f>
        <v/>
      </c>
      <c r="T178">
        <f>HYPERLINK("https://klasma.github.io/Logging_2260/kartor/A 30774-2024 karta.png", "A 30774-2024")</f>
        <v/>
      </c>
      <c r="V178">
        <f>HYPERLINK("https://klasma.github.io/Logging_2260/klagomål/A 30774-2024 FSC-klagomål.docx", "A 30774-2024")</f>
        <v/>
      </c>
      <c r="W178">
        <f>HYPERLINK("https://klasma.github.io/Logging_2260/klagomålsmail/A 30774-2024 FSC-klagomål mail.docx", "A 30774-2024")</f>
        <v/>
      </c>
      <c r="X178">
        <f>HYPERLINK("https://klasma.github.io/Logging_2260/tillsyn/A 30774-2024 tillsynsbegäran.docx", "A 30774-2024")</f>
        <v/>
      </c>
      <c r="Y178">
        <f>HYPERLINK("https://klasma.github.io/Logging_2260/tillsynsmail/A 30774-2024 tillsynsbegäran mail.docx", "A 30774-2024")</f>
        <v/>
      </c>
      <c r="Z178">
        <f>HYPERLINK("https://klasma.github.io/Logging_2260/fåglar/A 30774-2024 prioriterade fågelarter.docx", "A 30774-2024")</f>
        <v/>
      </c>
    </row>
    <row r="179" ht="15" customHeight="1">
      <c r="A179" t="inlineStr">
        <is>
          <t>A 23490-2025</t>
        </is>
      </c>
      <c r="B179" s="1" t="n">
        <v>45792.46907407408</v>
      </c>
      <c r="C179" s="1" t="n">
        <v>45926</v>
      </c>
      <c r="D179" t="inlineStr">
        <is>
          <t>VÄSTERNORRLANDS LÄN</t>
        </is>
      </c>
      <c r="E179" t="inlineStr">
        <is>
          <t>ÅNGE</t>
        </is>
      </c>
      <c r="F179" t="inlineStr">
        <is>
          <t>SCA</t>
        </is>
      </c>
      <c r="G179" t="n">
        <v>3.3</v>
      </c>
      <c r="H179" t="n">
        <v>0</v>
      </c>
      <c r="I179" t="n">
        <v>0</v>
      </c>
      <c r="J179" t="n">
        <v>1</v>
      </c>
      <c r="K179" t="n">
        <v>0</v>
      </c>
      <c r="L179" t="n">
        <v>0</v>
      </c>
      <c r="M179" t="n">
        <v>0</v>
      </c>
      <c r="N179" t="n">
        <v>0</v>
      </c>
      <c r="O179" t="n">
        <v>1</v>
      </c>
      <c r="P179" t="n">
        <v>0</v>
      </c>
      <c r="Q179" t="n">
        <v>1</v>
      </c>
      <c r="R179" s="2" t="inlineStr">
        <is>
          <t>Garnlav</t>
        </is>
      </c>
      <c r="S179">
        <f>HYPERLINK("https://klasma.github.io/Logging_2260/artfynd/A 23490-2025 artfynd.xlsx", "A 23490-2025")</f>
        <v/>
      </c>
      <c r="T179">
        <f>HYPERLINK("https://klasma.github.io/Logging_2260/kartor/A 23490-2025 karta.png", "A 23490-2025")</f>
        <v/>
      </c>
      <c r="V179">
        <f>HYPERLINK("https://klasma.github.io/Logging_2260/klagomål/A 23490-2025 FSC-klagomål.docx", "A 23490-2025")</f>
        <v/>
      </c>
      <c r="W179">
        <f>HYPERLINK("https://klasma.github.io/Logging_2260/klagomålsmail/A 23490-2025 FSC-klagomål mail.docx", "A 23490-2025")</f>
        <v/>
      </c>
      <c r="X179">
        <f>HYPERLINK("https://klasma.github.io/Logging_2260/tillsyn/A 23490-2025 tillsynsbegäran.docx", "A 23490-2025")</f>
        <v/>
      </c>
      <c r="Y179">
        <f>HYPERLINK("https://klasma.github.io/Logging_2260/tillsynsmail/A 23490-2025 tillsynsbegäran mail.docx", "A 23490-2025")</f>
        <v/>
      </c>
    </row>
    <row r="180" ht="15" customHeight="1">
      <c r="A180" t="inlineStr">
        <is>
          <t>A 56091-2024</t>
        </is>
      </c>
      <c r="B180" s="1" t="n">
        <v>45624.40678240741</v>
      </c>
      <c r="C180" s="1" t="n">
        <v>45926</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39933-2022</t>
        </is>
      </c>
      <c r="B181" s="1" t="n">
        <v>44819</v>
      </c>
      <c r="C181" s="1" t="n">
        <v>45926</v>
      </c>
      <c r="D181" t="inlineStr">
        <is>
          <t>VÄSTERNORRLANDS LÄN</t>
        </is>
      </c>
      <c r="E181" t="inlineStr">
        <is>
          <t>ÅNGE</t>
        </is>
      </c>
      <c r="F181" t="inlineStr">
        <is>
          <t>SCA</t>
        </is>
      </c>
      <c r="G181" t="n">
        <v>13.8</v>
      </c>
      <c r="H181" t="n">
        <v>1</v>
      </c>
      <c r="I181" t="n">
        <v>0</v>
      </c>
      <c r="J181" t="n">
        <v>0</v>
      </c>
      <c r="K181" t="n">
        <v>1</v>
      </c>
      <c r="L181" t="n">
        <v>0</v>
      </c>
      <c r="M181" t="n">
        <v>0</v>
      </c>
      <c r="N181" t="n">
        <v>0</v>
      </c>
      <c r="O181" t="n">
        <v>1</v>
      </c>
      <c r="P181" t="n">
        <v>1</v>
      </c>
      <c r="Q181" t="n">
        <v>1</v>
      </c>
      <c r="R181" s="2" t="inlineStr">
        <is>
          <t>Knärot</t>
        </is>
      </c>
      <c r="S181">
        <f>HYPERLINK("https://klasma.github.io/Logging_2260/artfynd/A 39933-2022 artfynd.xlsx", "A 39933-2022")</f>
        <v/>
      </c>
      <c r="T181">
        <f>HYPERLINK("https://klasma.github.io/Logging_2260/kartor/A 39933-2022 karta.png", "A 39933-2022")</f>
        <v/>
      </c>
      <c r="U181">
        <f>HYPERLINK("https://klasma.github.io/Logging_2260/knärot/A 39933-2022 karta knärot.png", "A 39933-2022")</f>
        <v/>
      </c>
      <c r="V181">
        <f>HYPERLINK("https://klasma.github.io/Logging_2260/klagomål/A 39933-2022 FSC-klagomål.docx", "A 39933-2022")</f>
        <v/>
      </c>
      <c r="W181">
        <f>HYPERLINK("https://klasma.github.io/Logging_2260/klagomålsmail/A 39933-2022 FSC-klagomål mail.docx", "A 39933-2022")</f>
        <v/>
      </c>
      <c r="X181">
        <f>HYPERLINK("https://klasma.github.io/Logging_2260/tillsyn/A 39933-2022 tillsynsbegäran.docx", "A 39933-2022")</f>
        <v/>
      </c>
      <c r="Y181">
        <f>HYPERLINK("https://klasma.github.io/Logging_2260/tillsynsmail/A 39933-2022 tillsynsbegäran mail.docx", "A 39933-2022")</f>
        <v/>
      </c>
    </row>
    <row r="182" ht="15" customHeight="1">
      <c r="A182" t="inlineStr">
        <is>
          <t>A 13934-2024</t>
        </is>
      </c>
      <c r="B182" s="1" t="n">
        <v>45391</v>
      </c>
      <c r="C182" s="1" t="n">
        <v>45926</v>
      </c>
      <c r="D182" t="inlineStr">
        <is>
          <t>VÄSTERNORRLANDS LÄN</t>
        </is>
      </c>
      <c r="E182" t="inlineStr">
        <is>
          <t>ÅNGE</t>
        </is>
      </c>
      <c r="F182" t="inlineStr">
        <is>
          <t>SCA</t>
        </is>
      </c>
      <c r="G182" t="n">
        <v>5.8</v>
      </c>
      <c r="H182" t="n">
        <v>0</v>
      </c>
      <c r="I182" t="n">
        <v>0</v>
      </c>
      <c r="J182" t="n">
        <v>1</v>
      </c>
      <c r="K182" t="n">
        <v>0</v>
      </c>
      <c r="L182" t="n">
        <v>0</v>
      </c>
      <c r="M182" t="n">
        <v>0</v>
      </c>
      <c r="N182" t="n">
        <v>0</v>
      </c>
      <c r="O182" t="n">
        <v>1</v>
      </c>
      <c r="P182" t="n">
        <v>0</v>
      </c>
      <c r="Q182" t="n">
        <v>1</v>
      </c>
      <c r="R182" s="2" t="inlineStr">
        <is>
          <t>Ullticka</t>
        </is>
      </c>
      <c r="S182">
        <f>HYPERLINK("https://klasma.github.io/Logging_2260/artfynd/A 13934-2024 artfynd.xlsx", "A 13934-2024")</f>
        <v/>
      </c>
      <c r="T182">
        <f>HYPERLINK("https://klasma.github.io/Logging_2260/kartor/A 13934-2024 karta.png", "A 13934-2024")</f>
        <v/>
      </c>
      <c r="V182">
        <f>HYPERLINK("https://klasma.github.io/Logging_2260/klagomål/A 13934-2024 FSC-klagomål.docx", "A 13934-2024")</f>
        <v/>
      </c>
      <c r="W182">
        <f>HYPERLINK("https://klasma.github.io/Logging_2260/klagomålsmail/A 13934-2024 FSC-klagomål mail.docx", "A 13934-2024")</f>
        <v/>
      </c>
      <c r="X182">
        <f>HYPERLINK("https://klasma.github.io/Logging_2260/tillsyn/A 13934-2024 tillsynsbegäran.docx", "A 13934-2024")</f>
        <v/>
      </c>
      <c r="Y182">
        <f>HYPERLINK("https://klasma.github.io/Logging_2260/tillsynsmail/A 13934-2024 tillsynsbegäran mail.docx", "A 13934-2024")</f>
        <v/>
      </c>
    </row>
    <row r="183" ht="15" customHeight="1">
      <c r="A183" t="inlineStr">
        <is>
          <t>A 54386-2024</t>
        </is>
      </c>
      <c r="B183" s="1" t="n">
        <v>45617.44822916666</v>
      </c>
      <c r="C183" s="1" t="n">
        <v>45926</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38606-2024</t>
        </is>
      </c>
      <c r="B184" s="1" t="n">
        <v>45546.67804398148</v>
      </c>
      <c r="C184" s="1" t="n">
        <v>45926</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43171-2024</t>
        </is>
      </c>
      <c r="B185" s="1" t="n">
        <v>45567</v>
      </c>
      <c r="C185" s="1" t="n">
        <v>45926</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64510-2023</t>
        </is>
      </c>
      <c r="B186" s="1" t="n">
        <v>45281</v>
      </c>
      <c r="C186" s="1" t="n">
        <v>45926</v>
      </c>
      <c r="D186" t="inlineStr">
        <is>
          <t>VÄSTERNORRLANDS LÄN</t>
        </is>
      </c>
      <c r="E186" t="inlineStr">
        <is>
          <t>ÅNGE</t>
        </is>
      </c>
      <c r="G186" t="n">
        <v>3.7</v>
      </c>
      <c r="H186" t="n">
        <v>0</v>
      </c>
      <c r="I186" t="n">
        <v>1</v>
      </c>
      <c r="J186" t="n">
        <v>0</v>
      </c>
      <c r="K186" t="n">
        <v>0</v>
      </c>
      <c r="L186" t="n">
        <v>0</v>
      </c>
      <c r="M186" t="n">
        <v>0</v>
      </c>
      <c r="N186" t="n">
        <v>0</v>
      </c>
      <c r="O186" t="n">
        <v>0</v>
      </c>
      <c r="P186" t="n">
        <v>0</v>
      </c>
      <c r="Q186" t="n">
        <v>1</v>
      </c>
      <c r="R186" s="2" t="inlineStr">
        <is>
          <t>Dropptaggsvamp</t>
        </is>
      </c>
      <c r="S186">
        <f>HYPERLINK("https://klasma.github.io/Logging_2260/artfynd/A 64510-2023 artfynd.xlsx", "A 64510-2023")</f>
        <v/>
      </c>
      <c r="T186">
        <f>HYPERLINK("https://klasma.github.io/Logging_2260/kartor/A 64510-2023 karta.png", "A 64510-2023")</f>
        <v/>
      </c>
      <c r="V186">
        <f>HYPERLINK("https://klasma.github.io/Logging_2260/klagomål/A 64510-2023 FSC-klagomål.docx", "A 64510-2023")</f>
        <v/>
      </c>
      <c r="W186">
        <f>HYPERLINK("https://klasma.github.io/Logging_2260/klagomålsmail/A 64510-2023 FSC-klagomål mail.docx", "A 64510-2023")</f>
        <v/>
      </c>
      <c r="X186">
        <f>HYPERLINK("https://klasma.github.io/Logging_2260/tillsyn/A 64510-2023 tillsynsbegäran.docx", "A 64510-2023")</f>
        <v/>
      </c>
      <c r="Y186">
        <f>HYPERLINK("https://klasma.github.io/Logging_2260/tillsynsmail/A 64510-2023 tillsynsbegäran mail.docx", "A 64510-2023")</f>
        <v/>
      </c>
    </row>
    <row r="187" ht="15" customHeight="1">
      <c r="A187" t="inlineStr">
        <is>
          <t>A 24799-2024</t>
        </is>
      </c>
      <c r="B187" s="1" t="n">
        <v>45460</v>
      </c>
      <c r="C187" s="1" t="n">
        <v>45926</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45926</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38603-2024</t>
        </is>
      </c>
      <c r="B189" s="1" t="n">
        <v>45546</v>
      </c>
      <c r="C189" s="1" t="n">
        <v>45926</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34696-2024</t>
        </is>
      </c>
      <c r="B190" s="1" t="n">
        <v>45526</v>
      </c>
      <c r="C190" s="1" t="n">
        <v>45926</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29327-2023</t>
        </is>
      </c>
      <c r="B191" s="1" t="n">
        <v>45105.94349537037</v>
      </c>
      <c r="C191" s="1" t="n">
        <v>45926</v>
      </c>
      <c r="D191" t="inlineStr">
        <is>
          <t>VÄSTERNORRLANDS LÄN</t>
        </is>
      </c>
      <c r="E191" t="inlineStr">
        <is>
          <t>ÅNGE</t>
        </is>
      </c>
      <c r="G191" t="n">
        <v>7.8</v>
      </c>
      <c r="H191" t="n">
        <v>0</v>
      </c>
      <c r="I191" t="n">
        <v>0</v>
      </c>
      <c r="J191" t="n">
        <v>1</v>
      </c>
      <c r="K191" t="n">
        <v>0</v>
      </c>
      <c r="L191" t="n">
        <v>0</v>
      </c>
      <c r="M191" t="n">
        <v>0</v>
      </c>
      <c r="N191" t="n">
        <v>0</v>
      </c>
      <c r="O191" t="n">
        <v>1</v>
      </c>
      <c r="P191" t="n">
        <v>0</v>
      </c>
      <c r="Q191" t="n">
        <v>1</v>
      </c>
      <c r="R191" s="2" t="inlineStr">
        <is>
          <t>Mörk kolflarnlav</t>
        </is>
      </c>
      <c r="S191">
        <f>HYPERLINK("https://klasma.github.io/Logging_2260/artfynd/A 29327-2023 artfynd.xlsx", "A 29327-2023")</f>
        <v/>
      </c>
      <c r="T191">
        <f>HYPERLINK("https://klasma.github.io/Logging_2260/kartor/A 29327-2023 karta.png", "A 29327-2023")</f>
        <v/>
      </c>
      <c r="V191">
        <f>HYPERLINK("https://klasma.github.io/Logging_2260/klagomål/A 29327-2023 FSC-klagomål.docx", "A 29327-2023")</f>
        <v/>
      </c>
      <c r="W191">
        <f>HYPERLINK("https://klasma.github.io/Logging_2260/klagomålsmail/A 29327-2023 FSC-klagomål mail.docx", "A 29327-2023")</f>
        <v/>
      </c>
      <c r="X191">
        <f>HYPERLINK("https://klasma.github.io/Logging_2260/tillsyn/A 29327-2023 tillsynsbegäran.docx", "A 29327-2023")</f>
        <v/>
      </c>
      <c r="Y191">
        <f>HYPERLINK("https://klasma.github.io/Logging_2260/tillsynsmail/A 29327-2023 tillsynsbegäran mail.docx", "A 29327-2023")</f>
        <v/>
      </c>
    </row>
    <row r="192" ht="15" customHeight="1">
      <c r="A192" t="inlineStr">
        <is>
          <t>A 31878-2024</t>
        </is>
      </c>
      <c r="B192" s="1" t="n">
        <v>45509</v>
      </c>
      <c r="C192" s="1" t="n">
        <v>45926</v>
      </c>
      <c r="D192" t="inlineStr">
        <is>
          <t>VÄSTERNORRLANDS LÄN</t>
        </is>
      </c>
      <c r="E192" t="inlineStr">
        <is>
          <t>ÅNGE</t>
        </is>
      </c>
      <c r="F192" t="inlineStr">
        <is>
          <t>SCA</t>
        </is>
      </c>
      <c r="G192" t="n">
        <v>5.1</v>
      </c>
      <c r="H192" t="n">
        <v>0</v>
      </c>
      <c r="I192" t="n">
        <v>1</v>
      </c>
      <c r="J192" t="n">
        <v>0</v>
      </c>
      <c r="K192" t="n">
        <v>0</v>
      </c>
      <c r="L192" t="n">
        <v>0</v>
      </c>
      <c r="M192" t="n">
        <v>0</v>
      </c>
      <c r="N192" t="n">
        <v>0</v>
      </c>
      <c r="O192" t="n">
        <v>0</v>
      </c>
      <c r="P192" t="n">
        <v>0</v>
      </c>
      <c r="Q192" t="n">
        <v>1</v>
      </c>
      <c r="R192" s="2" t="inlineStr">
        <is>
          <t>Grönpyrola</t>
        </is>
      </c>
      <c r="S192">
        <f>HYPERLINK("https://klasma.github.io/Logging_2260/artfynd/A 31878-2024 artfynd.xlsx", "A 31878-2024")</f>
        <v/>
      </c>
      <c r="T192">
        <f>HYPERLINK("https://klasma.github.io/Logging_2260/kartor/A 31878-2024 karta.png", "A 31878-2024")</f>
        <v/>
      </c>
      <c r="V192">
        <f>HYPERLINK("https://klasma.github.io/Logging_2260/klagomål/A 31878-2024 FSC-klagomål.docx", "A 31878-2024")</f>
        <v/>
      </c>
      <c r="W192">
        <f>HYPERLINK("https://klasma.github.io/Logging_2260/klagomålsmail/A 31878-2024 FSC-klagomål mail.docx", "A 31878-2024")</f>
        <v/>
      </c>
      <c r="X192">
        <f>HYPERLINK("https://klasma.github.io/Logging_2260/tillsyn/A 31878-2024 tillsynsbegäran.docx", "A 31878-2024")</f>
        <v/>
      </c>
      <c r="Y192">
        <f>HYPERLINK("https://klasma.github.io/Logging_2260/tillsynsmail/A 31878-2024 tillsynsbegäran mail.docx", "A 31878-2024")</f>
        <v/>
      </c>
    </row>
    <row r="193" ht="15" customHeight="1">
      <c r="A193" t="inlineStr">
        <is>
          <t>A 55015-2023</t>
        </is>
      </c>
      <c r="B193" s="1" t="n">
        <v>45237.32185185186</v>
      </c>
      <c r="C193" s="1" t="n">
        <v>45926</v>
      </c>
      <c r="D193" t="inlineStr">
        <is>
          <t>VÄSTERNORRLANDS LÄN</t>
        </is>
      </c>
      <c r="E193" t="inlineStr">
        <is>
          <t>ÅNGE</t>
        </is>
      </c>
      <c r="F193" t="inlineStr">
        <is>
          <t>Sveaskog</t>
        </is>
      </c>
      <c r="G193" t="n">
        <v>2.7</v>
      </c>
      <c r="H193" t="n">
        <v>0</v>
      </c>
      <c r="I193" t="n">
        <v>0</v>
      </c>
      <c r="J193" t="n">
        <v>1</v>
      </c>
      <c r="K193" t="n">
        <v>0</v>
      </c>
      <c r="L193" t="n">
        <v>0</v>
      </c>
      <c r="M193" t="n">
        <v>0</v>
      </c>
      <c r="N193" t="n">
        <v>0</v>
      </c>
      <c r="O193" t="n">
        <v>1</v>
      </c>
      <c r="P193" t="n">
        <v>0</v>
      </c>
      <c r="Q193" t="n">
        <v>1</v>
      </c>
      <c r="R193" s="2" t="inlineStr">
        <is>
          <t>Lunglav</t>
        </is>
      </c>
      <c r="S193">
        <f>HYPERLINK("https://klasma.github.io/Logging_2260/artfynd/A 55015-2023 artfynd.xlsx", "A 55015-2023")</f>
        <v/>
      </c>
      <c r="T193">
        <f>HYPERLINK("https://klasma.github.io/Logging_2260/kartor/A 55015-2023 karta.png", "A 55015-2023")</f>
        <v/>
      </c>
      <c r="V193">
        <f>HYPERLINK("https://klasma.github.io/Logging_2260/klagomål/A 55015-2023 FSC-klagomål.docx", "A 55015-2023")</f>
        <v/>
      </c>
      <c r="W193">
        <f>HYPERLINK("https://klasma.github.io/Logging_2260/klagomålsmail/A 55015-2023 FSC-klagomål mail.docx", "A 55015-2023")</f>
        <v/>
      </c>
      <c r="X193">
        <f>HYPERLINK("https://klasma.github.io/Logging_2260/tillsyn/A 55015-2023 tillsynsbegäran.docx", "A 55015-2023")</f>
        <v/>
      </c>
      <c r="Y193">
        <f>HYPERLINK("https://klasma.github.io/Logging_2260/tillsynsmail/A 55015-2023 tillsynsbegäran mail.docx", "A 55015-2023")</f>
        <v/>
      </c>
    </row>
    <row r="194" ht="15" customHeight="1">
      <c r="A194" t="inlineStr">
        <is>
          <t>A 63983-2020</t>
        </is>
      </c>
      <c r="B194" s="1" t="n">
        <v>44167</v>
      </c>
      <c r="C194" s="1" t="n">
        <v>45926</v>
      </c>
      <c r="D194" t="inlineStr">
        <is>
          <t>VÄSTERNORRLANDS LÄN</t>
        </is>
      </c>
      <c r="E194" t="inlineStr">
        <is>
          <t>ÅNGE</t>
        </is>
      </c>
      <c r="F194" t="inlineStr">
        <is>
          <t>Kommuner</t>
        </is>
      </c>
      <c r="G194" t="n">
        <v>27.1</v>
      </c>
      <c r="H194" t="n">
        <v>1</v>
      </c>
      <c r="I194" t="n">
        <v>0</v>
      </c>
      <c r="J194" t="n">
        <v>0</v>
      </c>
      <c r="K194" t="n">
        <v>1</v>
      </c>
      <c r="L194" t="n">
        <v>0</v>
      </c>
      <c r="M194" t="n">
        <v>0</v>
      </c>
      <c r="N194" t="n">
        <v>0</v>
      </c>
      <c r="O194" t="n">
        <v>1</v>
      </c>
      <c r="P194" t="n">
        <v>1</v>
      </c>
      <c r="Q194" t="n">
        <v>1</v>
      </c>
      <c r="R194" s="2" t="inlineStr">
        <is>
          <t>Knärot</t>
        </is>
      </c>
      <c r="S194">
        <f>HYPERLINK("https://klasma.github.io/Logging_2260/artfynd/A 63983-2020 artfynd.xlsx", "A 63983-2020")</f>
        <v/>
      </c>
      <c r="T194">
        <f>HYPERLINK("https://klasma.github.io/Logging_2260/kartor/A 63983-2020 karta.png", "A 63983-2020")</f>
        <v/>
      </c>
      <c r="U194">
        <f>HYPERLINK("https://klasma.github.io/Logging_2260/knärot/A 63983-2020 karta knärot.png", "A 63983-2020")</f>
        <v/>
      </c>
      <c r="V194">
        <f>HYPERLINK("https://klasma.github.io/Logging_2260/klagomål/A 63983-2020 FSC-klagomål.docx", "A 63983-2020")</f>
        <v/>
      </c>
      <c r="W194">
        <f>HYPERLINK("https://klasma.github.io/Logging_2260/klagomålsmail/A 63983-2020 FSC-klagomål mail.docx", "A 63983-2020")</f>
        <v/>
      </c>
      <c r="X194">
        <f>HYPERLINK("https://klasma.github.io/Logging_2260/tillsyn/A 63983-2020 tillsynsbegäran.docx", "A 63983-2020")</f>
        <v/>
      </c>
      <c r="Y194">
        <f>HYPERLINK("https://klasma.github.io/Logging_2260/tillsynsmail/A 63983-2020 tillsynsbegäran mail.docx", "A 63983-2020")</f>
        <v/>
      </c>
    </row>
    <row r="195" ht="15" customHeight="1">
      <c r="A195" t="inlineStr">
        <is>
          <t>A 41493-2021</t>
        </is>
      </c>
      <c r="B195" s="1" t="n">
        <v>44424</v>
      </c>
      <c r="C195" s="1" t="n">
        <v>45926</v>
      </c>
      <c r="D195" t="inlineStr">
        <is>
          <t>VÄSTERNORRLANDS LÄN</t>
        </is>
      </c>
      <c r="E195" t="inlineStr">
        <is>
          <t>ÅNGE</t>
        </is>
      </c>
      <c r="F195" t="inlineStr">
        <is>
          <t>SCA</t>
        </is>
      </c>
      <c r="G195" t="n">
        <v>8</v>
      </c>
      <c r="H195" t="n">
        <v>1</v>
      </c>
      <c r="I195" t="n">
        <v>0</v>
      </c>
      <c r="J195" t="n">
        <v>0</v>
      </c>
      <c r="K195" t="n">
        <v>1</v>
      </c>
      <c r="L195" t="n">
        <v>0</v>
      </c>
      <c r="M195" t="n">
        <v>0</v>
      </c>
      <c r="N195" t="n">
        <v>0</v>
      </c>
      <c r="O195" t="n">
        <v>1</v>
      </c>
      <c r="P195" t="n">
        <v>1</v>
      </c>
      <c r="Q195" t="n">
        <v>1</v>
      </c>
      <c r="R195" s="2" t="inlineStr">
        <is>
          <t>Knärot</t>
        </is>
      </c>
      <c r="S195">
        <f>HYPERLINK("https://klasma.github.io/Logging_2260/artfynd/A 41493-2021 artfynd.xlsx", "A 41493-2021")</f>
        <v/>
      </c>
      <c r="T195">
        <f>HYPERLINK("https://klasma.github.io/Logging_2260/kartor/A 41493-2021 karta.png", "A 41493-2021")</f>
        <v/>
      </c>
      <c r="U195">
        <f>HYPERLINK("https://klasma.github.io/Logging_2260/knärot/A 41493-2021 karta knärot.png", "A 41493-2021")</f>
        <v/>
      </c>
      <c r="V195">
        <f>HYPERLINK("https://klasma.github.io/Logging_2260/klagomål/A 41493-2021 FSC-klagomål.docx", "A 41493-2021")</f>
        <v/>
      </c>
      <c r="W195">
        <f>HYPERLINK("https://klasma.github.io/Logging_2260/klagomålsmail/A 41493-2021 FSC-klagomål mail.docx", "A 41493-2021")</f>
        <v/>
      </c>
      <c r="X195">
        <f>HYPERLINK("https://klasma.github.io/Logging_2260/tillsyn/A 41493-2021 tillsynsbegäran.docx", "A 41493-2021")</f>
        <v/>
      </c>
      <c r="Y195">
        <f>HYPERLINK("https://klasma.github.io/Logging_2260/tillsynsmail/A 41493-2021 tillsynsbegäran mail.docx", "A 41493-2021")</f>
        <v/>
      </c>
    </row>
    <row r="196" ht="15" customHeight="1">
      <c r="A196" t="inlineStr">
        <is>
          <t>A 27025-2025</t>
        </is>
      </c>
      <c r="B196" s="1" t="n">
        <v>45811</v>
      </c>
      <c r="C196" s="1" t="n">
        <v>45926</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25705-2024</t>
        </is>
      </c>
      <c r="B197" s="1" t="n">
        <v>45463.9428587963</v>
      </c>
      <c r="C197" s="1" t="n">
        <v>45926</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20192-2025</t>
        </is>
      </c>
      <c r="B198" s="1" t="n">
        <v>45772.60177083333</v>
      </c>
      <c r="C198" s="1" t="n">
        <v>45926</v>
      </c>
      <c r="D198" t="inlineStr">
        <is>
          <t>VÄSTERNORRLANDS LÄN</t>
        </is>
      </c>
      <c r="E198" t="inlineStr">
        <is>
          <t>ÅNGE</t>
        </is>
      </c>
      <c r="F198" t="inlineStr">
        <is>
          <t>Sveaskog</t>
        </is>
      </c>
      <c r="G198" t="n">
        <v>8.800000000000001</v>
      </c>
      <c r="H198" t="n">
        <v>1</v>
      </c>
      <c r="I198" t="n">
        <v>0</v>
      </c>
      <c r="J198" t="n">
        <v>0</v>
      </c>
      <c r="K198" t="n">
        <v>0</v>
      </c>
      <c r="L198" t="n">
        <v>0</v>
      </c>
      <c r="M198" t="n">
        <v>0</v>
      </c>
      <c r="N198" t="n">
        <v>0</v>
      </c>
      <c r="O198" t="n">
        <v>0</v>
      </c>
      <c r="P198" t="n">
        <v>0</v>
      </c>
      <c r="Q198" t="n">
        <v>1</v>
      </c>
      <c r="R198" s="2" t="inlineStr">
        <is>
          <t>Blåsippa</t>
        </is>
      </c>
      <c r="S198">
        <f>HYPERLINK("https://klasma.github.io/Logging_2260/artfynd/A 20192-2025 artfynd.xlsx", "A 20192-2025")</f>
        <v/>
      </c>
      <c r="T198">
        <f>HYPERLINK("https://klasma.github.io/Logging_2260/kartor/A 20192-2025 karta.png", "A 20192-2025")</f>
        <v/>
      </c>
      <c r="V198">
        <f>HYPERLINK("https://klasma.github.io/Logging_2260/klagomål/A 20192-2025 FSC-klagomål.docx", "A 20192-2025")</f>
        <v/>
      </c>
      <c r="W198">
        <f>HYPERLINK("https://klasma.github.io/Logging_2260/klagomålsmail/A 20192-2025 FSC-klagomål mail.docx", "A 20192-2025")</f>
        <v/>
      </c>
      <c r="X198">
        <f>HYPERLINK("https://klasma.github.io/Logging_2260/tillsyn/A 20192-2025 tillsynsbegäran.docx", "A 20192-2025")</f>
        <v/>
      </c>
      <c r="Y198">
        <f>HYPERLINK("https://klasma.github.io/Logging_2260/tillsynsmail/A 20192-2025 tillsynsbegäran mail.docx", "A 20192-2025")</f>
        <v/>
      </c>
    </row>
    <row r="199" ht="15" customHeight="1">
      <c r="A199" t="inlineStr">
        <is>
          <t>A 31510-2024</t>
        </is>
      </c>
      <c r="B199" s="1" t="n">
        <v>45505</v>
      </c>
      <c r="C199" s="1" t="n">
        <v>45926</v>
      </c>
      <c r="D199" t="inlineStr">
        <is>
          <t>VÄSTERNORRLANDS LÄN</t>
        </is>
      </c>
      <c r="E199" t="inlineStr">
        <is>
          <t>ÅNGE</t>
        </is>
      </c>
      <c r="F199" t="inlineStr">
        <is>
          <t>SCA</t>
        </is>
      </c>
      <c r="G199" t="n">
        <v>6</v>
      </c>
      <c r="H199" t="n">
        <v>1</v>
      </c>
      <c r="I199" t="n">
        <v>0</v>
      </c>
      <c r="J199" t="n">
        <v>0</v>
      </c>
      <c r="K199" t="n">
        <v>1</v>
      </c>
      <c r="L199" t="n">
        <v>0</v>
      </c>
      <c r="M199" t="n">
        <v>0</v>
      </c>
      <c r="N199" t="n">
        <v>0</v>
      </c>
      <c r="O199" t="n">
        <v>1</v>
      </c>
      <c r="P199" t="n">
        <v>1</v>
      </c>
      <c r="Q199" t="n">
        <v>1</v>
      </c>
      <c r="R199" s="2" t="inlineStr">
        <is>
          <t>Doftticka</t>
        </is>
      </c>
      <c r="S199">
        <f>HYPERLINK("https://klasma.github.io/Logging_2260/artfynd/A 31510-2024 artfynd.xlsx", "A 31510-2024")</f>
        <v/>
      </c>
      <c r="T199">
        <f>HYPERLINK("https://klasma.github.io/Logging_2260/kartor/A 31510-2024 karta.png", "A 31510-2024")</f>
        <v/>
      </c>
      <c r="V199">
        <f>HYPERLINK("https://klasma.github.io/Logging_2260/klagomål/A 31510-2024 FSC-klagomål.docx", "A 31510-2024")</f>
        <v/>
      </c>
      <c r="W199">
        <f>HYPERLINK("https://klasma.github.io/Logging_2260/klagomålsmail/A 31510-2024 FSC-klagomål mail.docx", "A 31510-2024")</f>
        <v/>
      </c>
      <c r="X199">
        <f>HYPERLINK("https://klasma.github.io/Logging_2260/tillsyn/A 31510-2024 tillsynsbegäran.docx", "A 31510-2024")</f>
        <v/>
      </c>
      <c r="Y199">
        <f>HYPERLINK("https://klasma.github.io/Logging_2260/tillsynsmail/A 31510-2024 tillsynsbegäran mail.docx", "A 31510-2024")</f>
        <v/>
      </c>
    </row>
    <row r="200" ht="15" customHeight="1">
      <c r="A200" t="inlineStr">
        <is>
          <t>A 39638-2024</t>
        </is>
      </c>
      <c r="B200" s="1" t="n">
        <v>45552</v>
      </c>
      <c r="C200" s="1" t="n">
        <v>45926</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45926</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37914-2024</t>
        </is>
      </c>
      <c r="B202" s="1" t="n">
        <v>45544</v>
      </c>
      <c r="C202" s="1" t="n">
        <v>45926</v>
      </c>
      <c r="D202" t="inlineStr">
        <is>
          <t>VÄSTERNORRLANDS LÄN</t>
        </is>
      </c>
      <c r="E202" t="inlineStr">
        <is>
          <t>ÅNGE</t>
        </is>
      </c>
      <c r="F202" t="inlineStr">
        <is>
          <t>SCA</t>
        </is>
      </c>
      <c r="G202" t="n">
        <v>9</v>
      </c>
      <c r="H202" t="n">
        <v>0</v>
      </c>
      <c r="I202" t="n">
        <v>0</v>
      </c>
      <c r="J202" t="n">
        <v>1</v>
      </c>
      <c r="K202" t="n">
        <v>0</v>
      </c>
      <c r="L202" t="n">
        <v>0</v>
      </c>
      <c r="M202" t="n">
        <v>0</v>
      </c>
      <c r="N202" t="n">
        <v>0</v>
      </c>
      <c r="O202" t="n">
        <v>1</v>
      </c>
      <c r="P202" t="n">
        <v>0</v>
      </c>
      <c r="Q202" t="n">
        <v>1</v>
      </c>
      <c r="R202" s="2" t="inlineStr">
        <is>
          <t>Granticka</t>
        </is>
      </c>
      <c r="S202">
        <f>HYPERLINK("https://klasma.github.io/Logging_2260/artfynd/A 37914-2024 artfynd.xlsx", "A 37914-2024")</f>
        <v/>
      </c>
      <c r="T202">
        <f>HYPERLINK("https://klasma.github.io/Logging_2260/kartor/A 37914-2024 karta.png", "A 37914-2024")</f>
        <v/>
      </c>
      <c r="V202">
        <f>HYPERLINK("https://klasma.github.io/Logging_2260/klagomål/A 37914-2024 FSC-klagomål.docx", "A 37914-2024")</f>
        <v/>
      </c>
      <c r="W202">
        <f>HYPERLINK("https://klasma.github.io/Logging_2260/klagomålsmail/A 37914-2024 FSC-klagomål mail.docx", "A 37914-2024")</f>
        <v/>
      </c>
      <c r="X202">
        <f>HYPERLINK("https://klasma.github.io/Logging_2260/tillsyn/A 37914-2024 tillsynsbegäran.docx", "A 37914-2024")</f>
        <v/>
      </c>
      <c r="Y202">
        <f>HYPERLINK("https://klasma.github.io/Logging_2260/tillsynsmail/A 37914-2024 tillsynsbegäran mail.docx", "A 37914-2024")</f>
        <v/>
      </c>
    </row>
    <row r="203" ht="15" customHeight="1">
      <c r="A203" t="inlineStr">
        <is>
          <t>A 1449-2025</t>
        </is>
      </c>
      <c r="B203" s="1" t="n">
        <v>45670.27537037037</v>
      </c>
      <c r="C203" s="1" t="n">
        <v>45926</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35648-2025</t>
        </is>
      </c>
      <c r="B204" s="1" t="n">
        <v>45859.51670138889</v>
      </c>
      <c r="C204" s="1" t="n">
        <v>45926</v>
      </c>
      <c r="D204" t="inlineStr">
        <is>
          <t>VÄSTERNORRLANDS LÄN</t>
        </is>
      </c>
      <c r="E204" t="inlineStr">
        <is>
          <t>ÅNGE</t>
        </is>
      </c>
      <c r="F204" t="inlineStr">
        <is>
          <t>Sveaskog</t>
        </is>
      </c>
      <c r="G204" t="n">
        <v>9.1</v>
      </c>
      <c r="H204" t="n">
        <v>0</v>
      </c>
      <c r="I204" t="n">
        <v>0</v>
      </c>
      <c r="J204" t="n">
        <v>1</v>
      </c>
      <c r="K204" t="n">
        <v>0</v>
      </c>
      <c r="L204" t="n">
        <v>0</v>
      </c>
      <c r="M204" t="n">
        <v>0</v>
      </c>
      <c r="N204" t="n">
        <v>0</v>
      </c>
      <c r="O204" t="n">
        <v>1</v>
      </c>
      <c r="P204" t="n">
        <v>0</v>
      </c>
      <c r="Q204" t="n">
        <v>1</v>
      </c>
      <c r="R204" s="2" t="inlineStr">
        <is>
          <t>Lunglav</t>
        </is>
      </c>
      <c r="S204">
        <f>HYPERLINK("https://klasma.github.io/Logging_2260/artfynd/A 35648-2025 artfynd.xlsx", "A 35648-2025")</f>
        <v/>
      </c>
      <c r="T204">
        <f>HYPERLINK("https://klasma.github.io/Logging_2260/kartor/A 35648-2025 karta.png", "A 35648-2025")</f>
        <v/>
      </c>
      <c r="V204">
        <f>HYPERLINK("https://klasma.github.io/Logging_2260/klagomål/A 35648-2025 FSC-klagomål.docx", "A 35648-2025")</f>
        <v/>
      </c>
      <c r="W204">
        <f>HYPERLINK("https://klasma.github.io/Logging_2260/klagomålsmail/A 35648-2025 FSC-klagomål mail.docx", "A 35648-2025")</f>
        <v/>
      </c>
      <c r="X204">
        <f>HYPERLINK("https://klasma.github.io/Logging_2260/tillsyn/A 35648-2025 tillsynsbegäran.docx", "A 35648-2025")</f>
        <v/>
      </c>
      <c r="Y204">
        <f>HYPERLINK("https://klasma.github.io/Logging_2260/tillsynsmail/A 35648-2025 tillsynsbegäran mail.docx", "A 35648-2025")</f>
        <v/>
      </c>
    </row>
    <row r="205" ht="15" customHeight="1">
      <c r="A205" t="inlineStr">
        <is>
          <t>A 54751-2021</t>
        </is>
      </c>
      <c r="B205" s="1" t="n">
        <v>44473</v>
      </c>
      <c r="C205" s="1" t="n">
        <v>45926</v>
      </c>
      <c r="D205" t="inlineStr">
        <is>
          <t>VÄSTERNORRLANDS LÄN</t>
        </is>
      </c>
      <c r="E205" t="inlineStr">
        <is>
          <t>ÅNGE</t>
        </is>
      </c>
      <c r="G205" t="n">
        <v>6.5</v>
      </c>
      <c r="H205" t="n">
        <v>0</v>
      </c>
      <c r="I205" t="n">
        <v>0</v>
      </c>
      <c r="J205" t="n">
        <v>0</v>
      </c>
      <c r="K205" t="n">
        <v>1</v>
      </c>
      <c r="L205" t="n">
        <v>0</v>
      </c>
      <c r="M205" t="n">
        <v>0</v>
      </c>
      <c r="N205" t="n">
        <v>0</v>
      </c>
      <c r="O205" t="n">
        <v>1</v>
      </c>
      <c r="P205" t="n">
        <v>1</v>
      </c>
      <c r="Q205" t="n">
        <v>1</v>
      </c>
      <c r="R205" s="2" t="inlineStr">
        <is>
          <t>Gräddporing</t>
        </is>
      </c>
      <c r="S205">
        <f>HYPERLINK("https://klasma.github.io/Logging_2260/artfynd/A 54751-2021 artfynd.xlsx", "A 54751-2021")</f>
        <v/>
      </c>
      <c r="T205">
        <f>HYPERLINK("https://klasma.github.io/Logging_2260/kartor/A 54751-2021 karta.png", "A 54751-2021")</f>
        <v/>
      </c>
      <c r="V205">
        <f>HYPERLINK("https://klasma.github.io/Logging_2260/klagomål/A 54751-2021 FSC-klagomål.docx", "A 54751-2021")</f>
        <v/>
      </c>
      <c r="W205">
        <f>HYPERLINK("https://klasma.github.io/Logging_2260/klagomålsmail/A 54751-2021 FSC-klagomål mail.docx", "A 54751-2021")</f>
        <v/>
      </c>
      <c r="X205">
        <f>HYPERLINK("https://klasma.github.io/Logging_2260/tillsyn/A 54751-2021 tillsynsbegäran.docx", "A 54751-2021")</f>
        <v/>
      </c>
      <c r="Y205">
        <f>HYPERLINK("https://klasma.github.io/Logging_2260/tillsynsmail/A 54751-2021 tillsynsbegäran mail.docx", "A 54751-2021")</f>
        <v/>
      </c>
    </row>
    <row r="206" ht="15" customHeight="1">
      <c r="A206" t="inlineStr">
        <is>
          <t>A 4351-2024</t>
        </is>
      </c>
      <c r="B206" s="1" t="n">
        <v>45324</v>
      </c>
      <c r="C206" s="1" t="n">
        <v>45926</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39180-2024</t>
        </is>
      </c>
      <c r="B207" s="1" t="n">
        <v>45548.6571412037</v>
      </c>
      <c r="C207" s="1" t="n">
        <v>45926</v>
      </c>
      <c r="D207" t="inlineStr">
        <is>
          <t>VÄSTERNORRLANDS LÄN</t>
        </is>
      </c>
      <c r="E207" t="inlineStr">
        <is>
          <t>ÅNGE</t>
        </is>
      </c>
      <c r="F207" t="inlineStr">
        <is>
          <t>SCA</t>
        </is>
      </c>
      <c r="G207" t="n">
        <v>8.699999999999999</v>
      </c>
      <c r="H207" t="n">
        <v>0</v>
      </c>
      <c r="I207" t="n">
        <v>0</v>
      </c>
      <c r="J207" t="n">
        <v>1</v>
      </c>
      <c r="K207" t="n">
        <v>0</v>
      </c>
      <c r="L207" t="n">
        <v>0</v>
      </c>
      <c r="M207" t="n">
        <v>0</v>
      </c>
      <c r="N207" t="n">
        <v>0</v>
      </c>
      <c r="O207" t="n">
        <v>1</v>
      </c>
      <c r="P207" t="n">
        <v>0</v>
      </c>
      <c r="Q207" t="n">
        <v>1</v>
      </c>
      <c r="R207" s="2" t="inlineStr">
        <is>
          <t>Lunglav</t>
        </is>
      </c>
      <c r="S207">
        <f>HYPERLINK("https://klasma.github.io/Logging_2260/artfynd/A 39180-2024 artfynd.xlsx", "A 39180-2024")</f>
        <v/>
      </c>
      <c r="T207">
        <f>HYPERLINK("https://klasma.github.io/Logging_2260/kartor/A 39180-2024 karta.png", "A 39180-2024")</f>
        <v/>
      </c>
      <c r="V207">
        <f>HYPERLINK("https://klasma.github.io/Logging_2260/klagomål/A 39180-2024 FSC-klagomål.docx", "A 39180-2024")</f>
        <v/>
      </c>
      <c r="W207">
        <f>HYPERLINK("https://klasma.github.io/Logging_2260/klagomålsmail/A 39180-2024 FSC-klagomål mail.docx", "A 39180-2024")</f>
        <v/>
      </c>
      <c r="X207">
        <f>HYPERLINK("https://klasma.github.io/Logging_2260/tillsyn/A 39180-2024 tillsynsbegäran.docx", "A 39180-2024")</f>
        <v/>
      </c>
      <c r="Y207">
        <f>HYPERLINK("https://klasma.github.io/Logging_2260/tillsynsmail/A 39180-2024 tillsynsbegäran mail.docx", "A 39180-2024")</f>
        <v/>
      </c>
    </row>
    <row r="208" ht="15" customHeight="1">
      <c r="A208" t="inlineStr">
        <is>
          <t>A 35839-2025</t>
        </is>
      </c>
      <c r="B208" s="1" t="n">
        <v>45861.53943287037</v>
      </c>
      <c r="C208" s="1" t="n">
        <v>45926</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40214-2024</t>
        </is>
      </c>
      <c r="B209" s="1" t="n">
        <v>45554.59460648148</v>
      </c>
      <c r="C209" s="1" t="n">
        <v>45926</v>
      </c>
      <c r="D209" t="inlineStr">
        <is>
          <t>VÄSTERNORRLANDS LÄN</t>
        </is>
      </c>
      <c r="E209" t="inlineStr">
        <is>
          <t>ÅNGE</t>
        </is>
      </c>
      <c r="F209" t="inlineStr">
        <is>
          <t>SCA</t>
        </is>
      </c>
      <c r="G209" t="n">
        <v>7.7</v>
      </c>
      <c r="H209" t="n">
        <v>0</v>
      </c>
      <c r="I209" t="n">
        <v>0</v>
      </c>
      <c r="J209" t="n">
        <v>1</v>
      </c>
      <c r="K209" t="n">
        <v>0</v>
      </c>
      <c r="L209" t="n">
        <v>0</v>
      </c>
      <c r="M209" t="n">
        <v>0</v>
      </c>
      <c r="N209" t="n">
        <v>0</v>
      </c>
      <c r="O209" t="n">
        <v>1</v>
      </c>
      <c r="P209" t="n">
        <v>0</v>
      </c>
      <c r="Q209" t="n">
        <v>1</v>
      </c>
      <c r="R209" s="2" t="inlineStr">
        <is>
          <t>Lunglav</t>
        </is>
      </c>
      <c r="S209">
        <f>HYPERLINK("https://klasma.github.io/Logging_2260/artfynd/A 40214-2024 artfynd.xlsx", "A 40214-2024")</f>
        <v/>
      </c>
      <c r="T209">
        <f>HYPERLINK("https://klasma.github.io/Logging_2260/kartor/A 40214-2024 karta.png", "A 40214-2024")</f>
        <v/>
      </c>
      <c r="V209">
        <f>HYPERLINK("https://klasma.github.io/Logging_2260/klagomål/A 40214-2024 FSC-klagomål.docx", "A 40214-2024")</f>
        <v/>
      </c>
      <c r="W209">
        <f>HYPERLINK("https://klasma.github.io/Logging_2260/klagomålsmail/A 40214-2024 FSC-klagomål mail.docx", "A 40214-2024")</f>
        <v/>
      </c>
      <c r="X209">
        <f>HYPERLINK("https://klasma.github.io/Logging_2260/tillsyn/A 40214-2024 tillsynsbegäran.docx", "A 40214-2024")</f>
        <v/>
      </c>
      <c r="Y209">
        <f>HYPERLINK("https://klasma.github.io/Logging_2260/tillsynsmail/A 40214-2024 tillsynsbegäran mail.docx", "A 40214-2024")</f>
        <v/>
      </c>
    </row>
    <row r="210" ht="15" customHeight="1">
      <c r="A210" t="inlineStr">
        <is>
          <t>A 43590-2025</t>
        </is>
      </c>
      <c r="B210" s="1" t="n">
        <v>45911.65665509259</v>
      </c>
      <c r="C210" s="1" t="n">
        <v>45926</v>
      </c>
      <c r="D210" t="inlineStr">
        <is>
          <t>VÄSTERNORRLANDS LÄN</t>
        </is>
      </c>
      <c r="E210" t="inlineStr">
        <is>
          <t>ÅNGE</t>
        </is>
      </c>
      <c r="F210" t="inlineStr">
        <is>
          <t>SCA</t>
        </is>
      </c>
      <c r="G210" t="n">
        <v>2.9</v>
      </c>
      <c r="H210" t="n">
        <v>0</v>
      </c>
      <c r="I210" t="n">
        <v>0</v>
      </c>
      <c r="J210" t="n">
        <v>1</v>
      </c>
      <c r="K210" t="n">
        <v>0</v>
      </c>
      <c r="L210" t="n">
        <v>0</v>
      </c>
      <c r="M210" t="n">
        <v>0</v>
      </c>
      <c r="N210" t="n">
        <v>0</v>
      </c>
      <c r="O210" t="n">
        <v>1</v>
      </c>
      <c r="P210" t="n">
        <v>0</v>
      </c>
      <c r="Q210" t="n">
        <v>1</v>
      </c>
      <c r="R210" s="2" t="inlineStr">
        <is>
          <t>Granticka</t>
        </is>
      </c>
      <c r="S210">
        <f>HYPERLINK("https://klasma.github.io/Logging_2260/artfynd/A 43590-2025 artfynd.xlsx", "A 43590-2025")</f>
        <v/>
      </c>
      <c r="T210">
        <f>HYPERLINK("https://klasma.github.io/Logging_2260/kartor/A 43590-2025 karta.png", "A 43590-2025")</f>
        <v/>
      </c>
      <c r="V210">
        <f>HYPERLINK("https://klasma.github.io/Logging_2260/klagomål/A 43590-2025 FSC-klagomål.docx", "A 43590-2025")</f>
        <v/>
      </c>
      <c r="W210">
        <f>HYPERLINK("https://klasma.github.io/Logging_2260/klagomålsmail/A 43590-2025 FSC-klagomål mail.docx", "A 43590-2025")</f>
        <v/>
      </c>
      <c r="X210">
        <f>HYPERLINK("https://klasma.github.io/Logging_2260/tillsyn/A 43590-2025 tillsynsbegäran.docx", "A 43590-2025")</f>
        <v/>
      </c>
      <c r="Y210">
        <f>HYPERLINK("https://klasma.github.io/Logging_2260/tillsynsmail/A 43590-2025 tillsynsbegäran mail.docx", "A 43590-2025")</f>
        <v/>
      </c>
    </row>
    <row r="211" ht="15" customHeight="1">
      <c r="A211" t="inlineStr">
        <is>
          <t>A 5-2025</t>
        </is>
      </c>
      <c r="B211" s="1" t="n">
        <v>45658.50527777777</v>
      </c>
      <c r="C211" s="1" t="n">
        <v>45926</v>
      </c>
      <c r="D211" t="inlineStr">
        <is>
          <t>VÄSTERNORRLANDS LÄN</t>
        </is>
      </c>
      <c r="E211" t="inlineStr">
        <is>
          <t>ÅNGE</t>
        </is>
      </c>
      <c r="G211" t="n">
        <v>5.7</v>
      </c>
      <c r="H211" t="n">
        <v>1</v>
      </c>
      <c r="I211" t="n">
        <v>0</v>
      </c>
      <c r="J211" t="n">
        <v>0</v>
      </c>
      <c r="K211" t="n">
        <v>0</v>
      </c>
      <c r="L211" t="n">
        <v>0</v>
      </c>
      <c r="M211" t="n">
        <v>0</v>
      </c>
      <c r="N211" t="n">
        <v>0</v>
      </c>
      <c r="O211" t="n">
        <v>0</v>
      </c>
      <c r="P211" t="n">
        <v>0</v>
      </c>
      <c r="Q211" t="n">
        <v>1</v>
      </c>
      <c r="R211" s="2" t="inlineStr">
        <is>
          <t>Vanlig groda</t>
        </is>
      </c>
      <c r="S211">
        <f>HYPERLINK("https://klasma.github.io/Logging_2260/artfynd/A 5-2025 artfynd.xlsx", "A 5-2025")</f>
        <v/>
      </c>
      <c r="T211">
        <f>HYPERLINK("https://klasma.github.io/Logging_2260/kartor/A 5-2025 karta.png", "A 5-2025")</f>
        <v/>
      </c>
      <c r="V211">
        <f>HYPERLINK("https://klasma.github.io/Logging_2260/klagomål/A 5-2025 FSC-klagomål.docx", "A 5-2025")</f>
        <v/>
      </c>
      <c r="W211">
        <f>HYPERLINK("https://klasma.github.io/Logging_2260/klagomålsmail/A 5-2025 FSC-klagomål mail.docx", "A 5-2025")</f>
        <v/>
      </c>
      <c r="X211">
        <f>HYPERLINK("https://klasma.github.io/Logging_2260/tillsyn/A 5-2025 tillsynsbegäran.docx", "A 5-2025")</f>
        <v/>
      </c>
      <c r="Y211">
        <f>HYPERLINK("https://klasma.github.io/Logging_2260/tillsynsmail/A 5-2025 tillsynsbegäran mail.docx", "A 5-2025")</f>
        <v/>
      </c>
    </row>
    <row r="212" ht="15" customHeight="1">
      <c r="A212" t="inlineStr">
        <is>
          <t>A 52424-2023</t>
        </is>
      </c>
      <c r="B212" s="1" t="n">
        <v>45217</v>
      </c>
      <c r="C212" s="1" t="n">
        <v>45926</v>
      </c>
      <c r="D212" t="inlineStr">
        <is>
          <t>VÄSTERNORRLANDS LÄN</t>
        </is>
      </c>
      <c r="E212" t="inlineStr">
        <is>
          <t>ÅNGE</t>
        </is>
      </c>
      <c r="F212" t="inlineStr">
        <is>
          <t>SCA</t>
        </is>
      </c>
      <c r="G212" t="n">
        <v>3.8</v>
      </c>
      <c r="H212" t="n">
        <v>1</v>
      </c>
      <c r="I212" t="n">
        <v>0</v>
      </c>
      <c r="J212" t="n">
        <v>0</v>
      </c>
      <c r="K212" t="n">
        <v>0</v>
      </c>
      <c r="L212" t="n">
        <v>0</v>
      </c>
      <c r="M212" t="n">
        <v>0</v>
      </c>
      <c r="N212" t="n">
        <v>0</v>
      </c>
      <c r="O212" t="n">
        <v>0</v>
      </c>
      <c r="P212" t="n">
        <v>0</v>
      </c>
      <c r="Q212" t="n">
        <v>1</v>
      </c>
      <c r="R212" s="2" t="inlineStr">
        <is>
          <t>Revlummer</t>
        </is>
      </c>
      <c r="S212">
        <f>HYPERLINK("https://klasma.github.io/Logging_2260/artfynd/A 52424-2023 artfynd.xlsx", "A 52424-2023")</f>
        <v/>
      </c>
      <c r="T212">
        <f>HYPERLINK("https://klasma.github.io/Logging_2260/kartor/A 52424-2023 karta.png", "A 52424-2023")</f>
        <v/>
      </c>
      <c r="V212">
        <f>HYPERLINK("https://klasma.github.io/Logging_2260/klagomål/A 52424-2023 FSC-klagomål.docx", "A 52424-2023")</f>
        <v/>
      </c>
      <c r="W212">
        <f>HYPERLINK("https://klasma.github.io/Logging_2260/klagomålsmail/A 52424-2023 FSC-klagomål mail.docx", "A 52424-2023")</f>
        <v/>
      </c>
      <c r="X212">
        <f>HYPERLINK("https://klasma.github.io/Logging_2260/tillsyn/A 52424-2023 tillsynsbegäran.docx", "A 52424-2023")</f>
        <v/>
      </c>
      <c r="Y212">
        <f>HYPERLINK("https://klasma.github.io/Logging_2260/tillsynsmail/A 52424-2023 tillsynsbegäran mail.docx", "A 52424-2023")</f>
        <v/>
      </c>
    </row>
    <row r="213" ht="15" customHeight="1">
      <c r="A213" t="inlineStr">
        <is>
          <t>A 37432-2025</t>
        </is>
      </c>
      <c r="B213" s="1" t="n">
        <v>45877.51106481482</v>
      </c>
      <c r="C213" s="1" t="n">
        <v>45926</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46094-2025</t>
        </is>
      </c>
      <c r="B214" s="1" t="n">
        <v>45924.53188657408</v>
      </c>
      <c r="C214" s="1" t="n">
        <v>45926</v>
      </c>
      <c r="D214" t="inlineStr">
        <is>
          <t>VÄSTERNORRLANDS LÄN</t>
        </is>
      </c>
      <c r="E214" t="inlineStr">
        <is>
          <t>ÅNGE</t>
        </is>
      </c>
      <c r="F214" t="inlineStr">
        <is>
          <t>SCA</t>
        </is>
      </c>
      <c r="G214" t="n">
        <v>1.1</v>
      </c>
      <c r="H214" t="n">
        <v>1</v>
      </c>
      <c r="I214" t="n">
        <v>0</v>
      </c>
      <c r="J214" t="n">
        <v>1</v>
      </c>
      <c r="K214" t="n">
        <v>0</v>
      </c>
      <c r="L214" t="n">
        <v>0</v>
      </c>
      <c r="M214" t="n">
        <v>0</v>
      </c>
      <c r="N214" t="n">
        <v>0</v>
      </c>
      <c r="O214" t="n">
        <v>1</v>
      </c>
      <c r="P214" t="n">
        <v>0</v>
      </c>
      <c r="Q214" t="n">
        <v>1</v>
      </c>
      <c r="R214" s="2" t="inlineStr">
        <is>
          <t>Utter</t>
        </is>
      </c>
      <c r="S214">
        <f>HYPERLINK("https://klasma.github.io/Logging_2260/artfynd/A 46094-2025 artfynd.xlsx", "A 46094-2025")</f>
        <v/>
      </c>
      <c r="T214">
        <f>HYPERLINK("https://klasma.github.io/Logging_2260/kartor/A 46094-2025 karta.png", "A 46094-2025")</f>
        <v/>
      </c>
      <c r="V214">
        <f>HYPERLINK("https://klasma.github.io/Logging_2260/klagomål/A 46094-2025 FSC-klagomål.docx", "A 46094-2025")</f>
        <v/>
      </c>
      <c r="W214">
        <f>HYPERLINK("https://klasma.github.io/Logging_2260/klagomålsmail/A 46094-2025 FSC-klagomål mail.docx", "A 46094-2025")</f>
        <v/>
      </c>
      <c r="X214">
        <f>HYPERLINK("https://klasma.github.io/Logging_2260/tillsyn/A 46094-2025 tillsynsbegäran.docx", "A 46094-2025")</f>
        <v/>
      </c>
      <c r="Y214">
        <f>HYPERLINK("https://klasma.github.io/Logging_2260/tillsynsmail/A 46094-2025 tillsynsbegäran mail.docx", "A 46094-2025")</f>
        <v/>
      </c>
    </row>
    <row r="215" ht="15" customHeight="1">
      <c r="A215" t="inlineStr">
        <is>
          <t>A 8057-2021</t>
        </is>
      </c>
      <c r="B215" s="1" t="n">
        <v>44238</v>
      </c>
      <c r="C215" s="1" t="n">
        <v>45926</v>
      </c>
      <c r="D215" t="inlineStr">
        <is>
          <t>VÄSTERNORRLANDS LÄN</t>
        </is>
      </c>
      <c r="E215" t="inlineStr">
        <is>
          <t>ÅNGE</t>
        </is>
      </c>
      <c r="G215" t="n">
        <v>1.2</v>
      </c>
      <c r="H215" t="n">
        <v>0</v>
      </c>
      <c r="I215" t="n">
        <v>0</v>
      </c>
      <c r="J215" t="n">
        <v>0</v>
      </c>
      <c r="K215" t="n">
        <v>0</v>
      </c>
      <c r="L215" t="n">
        <v>0</v>
      </c>
      <c r="M215" t="n">
        <v>0</v>
      </c>
      <c r="N215" t="n">
        <v>0</v>
      </c>
      <c r="O215" t="n">
        <v>0</v>
      </c>
      <c r="P215" t="n">
        <v>0</v>
      </c>
      <c r="Q215" t="n">
        <v>0</v>
      </c>
      <c r="R215" s="2" t="inlineStr"/>
    </row>
    <row r="216" ht="15" customHeight="1">
      <c r="A216" t="inlineStr">
        <is>
          <t>A 52627-2020</t>
        </is>
      </c>
      <c r="B216" s="1" t="n">
        <v>44118</v>
      </c>
      <c r="C216" s="1" t="n">
        <v>45926</v>
      </c>
      <c r="D216" t="inlineStr">
        <is>
          <t>VÄSTERNORRLANDS LÄN</t>
        </is>
      </c>
      <c r="E216" t="inlineStr">
        <is>
          <t>ÅNGE</t>
        </is>
      </c>
      <c r="G216" t="n">
        <v>0.8</v>
      </c>
      <c r="H216" t="n">
        <v>0</v>
      </c>
      <c r="I216" t="n">
        <v>0</v>
      </c>
      <c r="J216" t="n">
        <v>0</v>
      </c>
      <c r="K216" t="n">
        <v>0</v>
      </c>
      <c r="L216" t="n">
        <v>0</v>
      </c>
      <c r="M216" t="n">
        <v>0</v>
      </c>
      <c r="N216" t="n">
        <v>0</v>
      </c>
      <c r="O216" t="n">
        <v>0</v>
      </c>
      <c r="P216" t="n">
        <v>0</v>
      </c>
      <c r="Q216" t="n">
        <v>0</v>
      </c>
      <c r="R216" s="2" t="inlineStr"/>
    </row>
    <row r="217" ht="15" customHeight="1">
      <c r="A217" t="inlineStr">
        <is>
          <t>A 52633-2020</t>
        </is>
      </c>
      <c r="B217" s="1" t="n">
        <v>44118</v>
      </c>
      <c r="C217" s="1" t="n">
        <v>45926</v>
      </c>
      <c r="D217" t="inlineStr">
        <is>
          <t>VÄSTERNORRLANDS LÄN</t>
        </is>
      </c>
      <c r="E217" t="inlineStr">
        <is>
          <t>ÅNGE</t>
        </is>
      </c>
      <c r="G217" t="n">
        <v>3.6</v>
      </c>
      <c r="H217" t="n">
        <v>0</v>
      </c>
      <c r="I217" t="n">
        <v>0</v>
      </c>
      <c r="J217" t="n">
        <v>0</v>
      </c>
      <c r="K217" t="n">
        <v>0</v>
      </c>
      <c r="L217" t="n">
        <v>0</v>
      </c>
      <c r="M217" t="n">
        <v>0</v>
      </c>
      <c r="N217" t="n">
        <v>0</v>
      </c>
      <c r="O217" t="n">
        <v>0</v>
      </c>
      <c r="P217" t="n">
        <v>0</v>
      </c>
      <c r="Q217" t="n">
        <v>0</v>
      </c>
      <c r="R217" s="2" t="inlineStr"/>
    </row>
    <row r="218" ht="15" customHeight="1">
      <c r="A218" t="inlineStr">
        <is>
          <t>A 20354-2021</t>
        </is>
      </c>
      <c r="B218" s="1" t="n">
        <v>44312</v>
      </c>
      <c r="C218" s="1" t="n">
        <v>45926</v>
      </c>
      <c r="D218" t="inlineStr">
        <is>
          <t>VÄSTERNORRLANDS LÄN</t>
        </is>
      </c>
      <c r="E218" t="inlineStr">
        <is>
          <t>ÅNGE</t>
        </is>
      </c>
      <c r="G218" t="n">
        <v>1.3</v>
      </c>
      <c r="H218" t="n">
        <v>0</v>
      </c>
      <c r="I218" t="n">
        <v>0</v>
      </c>
      <c r="J218" t="n">
        <v>0</v>
      </c>
      <c r="K218" t="n">
        <v>0</v>
      </c>
      <c r="L218" t="n">
        <v>0</v>
      </c>
      <c r="M218" t="n">
        <v>0</v>
      </c>
      <c r="N218" t="n">
        <v>0</v>
      </c>
      <c r="O218" t="n">
        <v>0</v>
      </c>
      <c r="P218" t="n">
        <v>0</v>
      </c>
      <c r="Q218" t="n">
        <v>0</v>
      </c>
      <c r="R218" s="2" t="inlineStr"/>
    </row>
    <row r="219" ht="15" customHeight="1">
      <c r="A219" t="inlineStr">
        <is>
          <t>A 53474-2020</t>
        </is>
      </c>
      <c r="B219" s="1" t="n">
        <v>44123.68413194444</v>
      </c>
      <c r="C219" s="1" t="n">
        <v>45926</v>
      </c>
      <c r="D219" t="inlineStr">
        <is>
          <t>VÄSTERNORRLANDS LÄN</t>
        </is>
      </c>
      <c r="E219" t="inlineStr">
        <is>
          <t>ÅNGE</t>
        </is>
      </c>
      <c r="G219" t="n">
        <v>1.3</v>
      </c>
      <c r="H219" t="n">
        <v>0</v>
      </c>
      <c r="I219" t="n">
        <v>0</v>
      </c>
      <c r="J219" t="n">
        <v>0</v>
      </c>
      <c r="K219" t="n">
        <v>0</v>
      </c>
      <c r="L219" t="n">
        <v>0</v>
      </c>
      <c r="M219" t="n">
        <v>0</v>
      </c>
      <c r="N219" t="n">
        <v>0</v>
      </c>
      <c r="O219" t="n">
        <v>0</v>
      </c>
      <c r="P219" t="n">
        <v>0</v>
      </c>
      <c r="Q219" t="n">
        <v>0</v>
      </c>
      <c r="R219" s="2" t="inlineStr"/>
    </row>
    <row r="220" ht="15" customHeight="1">
      <c r="A220" t="inlineStr">
        <is>
          <t>A 49343-2020</t>
        </is>
      </c>
      <c r="B220" s="1" t="n">
        <v>44105.56329861111</v>
      </c>
      <c r="C220" s="1" t="n">
        <v>45926</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53660-2020</t>
        </is>
      </c>
      <c r="B221" s="1" t="n">
        <v>44124</v>
      </c>
      <c r="C221" s="1" t="n">
        <v>45926</v>
      </c>
      <c r="D221" t="inlineStr">
        <is>
          <t>VÄSTERNORRLANDS LÄN</t>
        </is>
      </c>
      <c r="E221" t="inlineStr">
        <is>
          <t>ÅNGE</t>
        </is>
      </c>
      <c r="G221" t="n">
        <v>5.4</v>
      </c>
      <c r="H221" t="n">
        <v>0</v>
      </c>
      <c r="I221" t="n">
        <v>0</v>
      </c>
      <c r="J221" t="n">
        <v>0</v>
      </c>
      <c r="K221" t="n">
        <v>0</v>
      </c>
      <c r="L221" t="n">
        <v>0</v>
      </c>
      <c r="M221" t="n">
        <v>0</v>
      </c>
      <c r="N221" t="n">
        <v>0</v>
      </c>
      <c r="O221" t="n">
        <v>0</v>
      </c>
      <c r="P221" t="n">
        <v>0</v>
      </c>
      <c r="Q221" t="n">
        <v>0</v>
      </c>
      <c r="R221" s="2" t="inlineStr"/>
    </row>
    <row r="222" ht="15" customHeight="1">
      <c r="A222" t="inlineStr">
        <is>
          <t>A 68715-2020</t>
        </is>
      </c>
      <c r="B222" s="1" t="n">
        <v>44187</v>
      </c>
      <c r="C222" s="1" t="n">
        <v>45926</v>
      </c>
      <c r="D222" t="inlineStr">
        <is>
          <t>VÄSTERNORRLANDS LÄN</t>
        </is>
      </c>
      <c r="E222" t="inlineStr">
        <is>
          <t>ÅNGE</t>
        </is>
      </c>
      <c r="G222" t="n">
        <v>19.1</v>
      </c>
      <c r="H222" t="n">
        <v>0</v>
      </c>
      <c r="I222" t="n">
        <v>0</v>
      </c>
      <c r="J222" t="n">
        <v>0</v>
      </c>
      <c r="K222" t="n">
        <v>0</v>
      </c>
      <c r="L222" t="n">
        <v>0</v>
      </c>
      <c r="M222" t="n">
        <v>0</v>
      </c>
      <c r="N222" t="n">
        <v>0</v>
      </c>
      <c r="O222" t="n">
        <v>0</v>
      </c>
      <c r="P222" t="n">
        <v>0</v>
      </c>
      <c r="Q222" t="n">
        <v>0</v>
      </c>
      <c r="R222" s="2" t="inlineStr"/>
    </row>
    <row r="223" ht="15" customHeight="1">
      <c r="A223" t="inlineStr">
        <is>
          <t>A 37624-2021</t>
        </is>
      </c>
      <c r="B223" s="1" t="n">
        <v>44399</v>
      </c>
      <c r="C223" s="1" t="n">
        <v>45926</v>
      </c>
      <c r="D223" t="inlineStr">
        <is>
          <t>VÄSTERNORRLANDS LÄN</t>
        </is>
      </c>
      <c r="E223" t="inlineStr">
        <is>
          <t>ÅNGE</t>
        </is>
      </c>
      <c r="G223" t="n">
        <v>4.1</v>
      </c>
      <c r="H223" t="n">
        <v>0</v>
      </c>
      <c r="I223" t="n">
        <v>0</v>
      </c>
      <c r="J223" t="n">
        <v>0</v>
      </c>
      <c r="K223" t="n">
        <v>0</v>
      </c>
      <c r="L223" t="n">
        <v>0</v>
      </c>
      <c r="M223" t="n">
        <v>0</v>
      </c>
      <c r="N223" t="n">
        <v>0</v>
      </c>
      <c r="O223" t="n">
        <v>0</v>
      </c>
      <c r="P223" t="n">
        <v>0</v>
      </c>
      <c r="Q223" t="n">
        <v>0</v>
      </c>
      <c r="R223" s="2" t="inlineStr"/>
    </row>
    <row r="224" ht="15" customHeight="1">
      <c r="A224" t="inlineStr">
        <is>
          <t>A 21740-2022</t>
        </is>
      </c>
      <c r="B224" s="1" t="n">
        <v>44708.37472222222</v>
      </c>
      <c r="C224" s="1" t="n">
        <v>45926</v>
      </c>
      <c r="D224" t="inlineStr">
        <is>
          <t>VÄSTERNORRLANDS LÄN</t>
        </is>
      </c>
      <c r="E224" t="inlineStr">
        <is>
          <t>ÅNGE</t>
        </is>
      </c>
      <c r="G224" t="n">
        <v>2</v>
      </c>
      <c r="H224" t="n">
        <v>0</v>
      </c>
      <c r="I224" t="n">
        <v>0</v>
      </c>
      <c r="J224" t="n">
        <v>0</v>
      </c>
      <c r="K224" t="n">
        <v>0</v>
      </c>
      <c r="L224" t="n">
        <v>0</v>
      </c>
      <c r="M224" t="n">
        <v>0</v>
      </c>
      <c r="N224" t="n">
        <v>0</v>
      </c>
      <c r="O224" t="n">
        <v>0</v>
      </c>
      <c r="P224" t="n">
        <v>0</v>
      </c>
      <c r="Q224" t="n">
        <v>0</v>
      </c>
      <c r="R224" s="2" t="inlineStr"/>
    </row>
    <row r="225" ht="15" customHeight="1">
      <c r="A225" t="inlineStr">
        <is>
          <t>A 24353-2022</t>
        </is>
      </c>
      <c r="B225" s="1" t="n">
        <v>44726.37769675926</v>
      </c>
      <c r="C225" s="1" t="n">
        <v>45926</v>
      </c>
      <c r="D225" t="inlineStr">
        <is>
          <t>VÄSTERNORRLANDS LÄN</t>
        </is>
      </c>
      <c r="E225" t="inlineStr">
        <is>
          <t>ÅNGE</t>
        </is>
      </c>
      <c r="G225" t="n">
        <v>1</v>
      </c>
      <c r="H225" t="n">
        <v>0</v>
      </c>
      <c r="I225" t="n">
        <v>0</v>
      </c>
      <c r="J225" t="n">
        <v>0</v>
      </c>
      <c r="K225" t="n">
        <v>0</v>
      </c>
      <c r="L225" t="n">
        <v>0</v>
      </c>
      <c r="M225" t="n">
        <v>0</v>
      </c>
      <c r="N225" t="n">
        <v>0</v>
      </c>
      <c r="O225" t="n">
        <v>0</v>
      </c>
      <c r="P225" t="n">
        <v>0</v>
      </c>
      <c r="Q225" t="n">
        <v>0</v>
      </c>
      <c r="R225" s="2" t="inlineStr"/>
    </row>
    <row r="226" ht="15" customHeight="1">
      <c r="A226" t="inlineStr">
        <is>
          <t>A 38432-2021</t>
        </is>
      </c>
      <c r="B226" s="1" t="n">
        <v>44406</v>
      </c>
      <c r="C226" s="1" t="n">
        <v>45926</v>
      </c>
      <c r="D226" t="inlineStr">
        <is>
          <t>VÄSTERNORRLANDS LÄN</t>
        </is>
      </c>
      <c r="E226" t="inlineStr">
        <is>
          <t>ÅNGE</t>
        </is>
      </c>
      <c r="G226" t="n">
        <v>0.4</v>
      </c>
      <c r="H226" t="n">
        <v>0</v>
      </c>
      <c r="I226" t="n">
        <v>0</v>
      </c>
      <c r="J226" t="n">
        <v>0</v>
      </c>
      <c r="K226" t="n">
        <v>0</v>
      </c>
      <c r="L226" t="n">
        <v>0</v>
      </c>
      <c r="M226" t="n">
        <v>0</v>
      </c>
      <c r="N226" t="n">
        <v>0</v>
      </c>
      <c r="O226" t="n">
        <v>0</v>
      </c>
      <c r="P226" t="n">
        <v>0</v>
      </c>
      <c r="Q226" t="n">
        <v>0</v>
      </c>
      <c r="R226" s="2" t="inlineStr"/>
    </row>
    <row r="227" ht="15" customHeight="1">
      <c r="A227" t="inlineStr">
        <is>
          <t>A 5381-2022</t>
        </is>
      </c>
      <c r="B227" s="1" t="n">
        <v>44594.9337037037</v>
      </c>
      <c r="C227" s="1" t="n">
        <v>45926</v>
      </c>
      <c r="D227" t="inlineStr">
        <is>
          <t>VÄSTERNORRLANDS LÄN</t>
        </is>
      </c>
      <c r="E227" t="inlineStr">
        <is>
          <t>ÅNGE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48876-2021</t>
        </is>
      </c>
      <c r="B228" s="1" t="n">
        <v>44452</v>
      </c>
      <c r="C228" s="1" t="n">
        <v>45926</v>
      </c>
      <c r="D228" t="inlineStr">
        <is>
          <t>VÄSTERNORRLANDS LÄN</t>
        </is>
      </c>
      <c r="E228" t="inlineStr">
        <is>
          <t>ÅNGE</t>
        </is>
      </c>
      <c r="F228" t="inlineStr">
        <is>
          <t>SCA</t>
        </is>
      </c>
      <c r="G228" t="n">
        <v>3.9</v>
      </c>
      <c r="H228" t="n">
        <v>0</v>
      </c>
      <c r="I228" t="n">
        <v>0</v>
      </c>
      <c r="J228" t="n">
        <v>0</v>
      </c>
      <c r="K228" t="n">
        <v>0</v>
      </c>
      <c r="L228" t="n">
        <v>0</v>
      </c>
      <c r="M228" t="n">
        <v>0</v>
      </c>
      <c r="N228" t="n">
        <v>0</v>
      </c>
      <c r="O228" t="n">
        <v>0</v>
      </c>
      <c r="P228" t="n">
        <v>0</v>
      </c>
      <c r="Q228" t="n">
        <v>0</v>
      </c>
      <c r="R228" s="2" t="inlineStr"/>
    </row>
    <row r="229" ht="15" customHeight="1">
      <c r="A229" t="inlineStr">
        <is>
          <t>A 14433-2022</t>
        </is>
      </c>
      <c r="B229" s="1" t="n">
        <v>44652</v>
      </c>
      <c r="C229" s="1" t="n">
        <v>45926</v>
      </c>
      <c r="D229" t="inlineStr">
        <is>
          <t>VÄSTERNORRLANDS LÄN</t>
        </is>
      </c>
      <c r="E229" t="inlineStr">
        <is>
          <t>ÅNGE</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48990-2021</t>
        </is>
      </c>
      <c r="B230" s="1" t="n">
        <v>44453</v>
      </c>
      <c r="C230" s="1" t="n">
        <v>45926</v>
      </c>
      <c r="D230" t="inlineStr">
        <is>
          <t>VÄSTERNORRLANDS LÄN</t>
        </is>
      </c>
      <c r="E230" t="inlineStr">
        <is>
          <t>ÅNGE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39744-2021</t>
        </is>
      </c>
      <c r="B231" s="1" t="n">
        <v>44417</v>
      </c>
      <c r="C231" s="1" t="n">
        <v>45926</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69271-2020</t>
        </is>
      </c>
      <c r="B232" s="1" t="n">
        <v>44193</v>
      </c>
      <c r="C232" s="1" t="n">
        <v>45926</v>
      </c>
      <c r="D232" t="inlineStr">
        <is>
          <t>VÄSTERNORRLANDS LÄN</t>
        </is>
      </c>
      <c r="E232" t="inlineStr">
        <is>
          <t>ÅNGE</t>
        </is>
      </c>
      <c r="G232" t="n">
        <v>0.8</v>
      </c>
      <c r="H232" t="n">
        <v>0</v>
      </c>
      <c r="I232" t="n">
        <v>0</v>
      </c>
      <c r="J232" t="n">
        <v>0</v>
      </c>
      <c r="K232" t="n">
        <v>0</v>
      </c>
      <c r="L232" t="n">
        <v>0</v>
      </c>
      <c r="M232" t="n">
        <v>0</v>
      </c>
      <c r="N232" t="n">
        <v>0</v>
      </c>
      <c r="O232" t="n">
        <v>0</v>
      </c>
      <c r="P232" t="n">
        <v>0</v>
      </c>
      <c r="Q232" t="n">
        <v>0</v>
      </c>
      <c r="R232" s="2" t="inlineStr"/>
    </row>
    <row r="233" ht="15" customHeight="1">
      <c r="A233" t="inlineStr">
        <is>
          <t>A 74088-2021</t>
        </is>
      </c>
      <c r="B233" s="1" t="n">
        <v>44557.59435185185</v>
      </c>
      <c r="C233" s="1" t="n">
        <v>45926</v>
      </c>
      <c r="D233" t="inlineStr">
        <is>
          <t>VÄSTERNORRLANDS LÄN</t>
        </is>
      </c>
      <c r="E233" t="inlineStr">
        <is>
          <t>ÅNGE</t>
        </is>
      </c>
      <c r="G233" t="n">
        <v>0.6</v>
      </c>
      <c r="H233" t="n">
        <v>0</v>
      </c>
      <c r="I233" t="n">
        <v>0</v>
      </c>
      <c r="J233" t="n">
        <v>0</v>
      </c>
      <c r="K233" t="n">
        <v>0</v>
      </c>
      <c r="L233" t="n">
        <v>0</v>
      </c>
      <c r="M233" t="n">
        <v>0</v>
      </c>
      <c r="N233" t="n">
        <v>0</v>
      </c>
      <c r="O233" t="n">
        <v>0</v>
      </c>
      <c r="P233" t="n">
        <v>0</v>
      </c>
      <c r="Q233" t="n">
        <v>0</v>
      </c>
      <c r="R233" s="2" t="inlineStr"/>
    </row>
    <row r="234" ht="15" customHeight="1">
      <c r="A234" t="inlineStr">
        <is>
          <t>A 19102-2021</t>
        </is>
      </c>
      <c r="B234" s="1" t="n">
        <v>44308</v>
      </c>
      <c r="C234" s="1" t="n">
        <v>45926</v>
      </c>
      <c r="D234" t="inlineStr">
        <is>
          <t>VÄSTERNORRLANDS LÄN</t>
        </is>
      </c>
      <c r="E234" t="inlineStr">
        <is>
          <t>ÅNGE</t>
        </is>
      </c>
      <c r="G234" t="n">
        <v>3.3</v>
      </c>
      <c r="H234" t="n">
        <v>0</v>
      </c>
      <c r="I234" t="n">
        <v>0</v>
      </c>
      <c r="J234" t="n">
        <v>0</v>
      </c>
      <c r="K234" t="n">
        <v>0</v>
      </c>
      <c r="L234" t="n">
        <v>0</v>
      </c>
      <c r="M234" t="n">
        <v>0</v>
      </c>
      <c r="N234" t="n">
        <v>0</v>
      </c>
      <c r="O234" t="n">
        <v>0</v>
      </c>
      <c r="P234" t="n">
        <v>0</v>
      </c>
      <c r="Q234" t="n">
        <v>0</v>
      </c>
      <c r="R234" s="2" t="inlineStr"/>
    </row>
    <row r="235" ht="15" customHeight="1">
      <c r="A235" t="inlineStr">
        <is>
          <t>A 65593-2020</t>
        </is>
      </c>
      <c r="B235" s="1" t="n">
        <v>44173</v>
      </c>
      <c r="C235" s="1" t="n">
        <v>45926</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53173-2020</t>
        </is>
      </c>
      <c r="B236" s="1" t="n">
        <v>44120</v>
      </c>
      <c r="C236" s="1" t="n">
        <v>45926</v>
      </c>
      <c r="D236" t="inlineStr">
        <is>
          <t>VÄSTERNORRLANDS LÄN</t>
        </is>
      </c>
      <c r="E236" t="inlineStr">
        <is>
          <t>ÅNGE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53174-2020</t>
        </is>
      </c>
      <c r="B237" s="1" t="n">
        <v>44120</v>
      </c>
      <c r="C237" s="1" t="n">
        <v>45926</v>
      </c>
      <c r="D237" t="inlineStr">
        <is>
          <t>VÄSTERNORRLANDS LÄN</t>
        </is>
      </c>
      <c r="E237" t="inlineStr">
        <is>
          <t>ÅNGE</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65594-2020</t>
        </is>
      </c>
      <c r="B238" s="1" t="n">
        <v>44173</v>
      </c>
      <c r="C238" s="1" t="n">
        <v>45926</v>
      </c>
      <c r="D238" t="inlineStr">
        <is>
          <t>VÄSTERNORRLANDS LÄN</t>
        </is>
      </c>
      <c r="E238" t="inlineStr">
        <is>
          <t>ÅNGE</t>
        </is>
      </c>
      <c r="G238" t="n">
        <v>5.9</v>
      </c>
      <c r="H238" t="n">
        <v>0</v>
      </c>
      <c r="I238" t="n">
        <v>0</v>
      </c>
      <c r="J238" t="n">
        <v>0</v>
      </c>
      <c r="K238" t="n">
        <v>0</v>
      </c>
      <c r="L238" t="n">
        <v>0</v>
      </c>
      <c r="M238" t="n">
        <v>0</v>
      </c>
      <c r="N238" t="n">
        <v>0</v>
      </c>
      <c r="O238" t="n">
        <v>0</v>
      </c>
      <c r="P238" t="n">
        <v>0</v>
      </c>
      <c r="Q238" t="n">
        <v>0</v>
      </c>
      <c r="R238" s="2" t="inlineStr"/>
    </row>
    <row r="239" ht="15" customHeight="1">
      <c r="A239" t="inlineStr">
        <is>
          <t>A 71396-2021</t>
        </is>
      </c>
      <c r="B239" s="1" t="n">
        <v>44540.35644675926</v>
      </c>
      <c r="C239" s="1" t="n">
        <v>45926</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66265-2021</t>
        </is>
      </c>
      <c r="B240" s="1" t="n">
        <v>44518.45263888889</v>
      </c>
      <c r="C240" s="1" t="n">
        <v>45926</v>
      </c>
      <c r="D240" t="inlineStr">
        <is>
          <t>VÄSTERNORRLANDS LÄN</t>
        </is>
      </c>
      <c r="E240" t="inlineStr">
        <is>
          <t>ÅNGE</t>
        </is>
      </c>
      <c r="G240" t="n">
        <v>6</v>
      </c>
      <c r="H240" t="n">
        <v>0</v>
      </c>
      <c r="I240" t="n">
        <v>0</v>
      </c>
      <c r="J240" t="n">
        <v>0</v>
      </c>
      <c r="K240" t="n">
        <v>0</v>
      </c>
      <c r="L240" t="n">
        <v>0</v>
      </c>
      <c r="M240" t="n">
        <v>0</v>
      </c>
      <c r="N240" t="n">
        <v>0</v>
      </c>
      <c r="O240" t="n">
        <v>0</v>
      </c>
      <c r="P240" t="n">
        <v>0</v>
      </c>
      <c r="Q240" t="n">
        <v>0</v>
      </c>
      <c r="R240" s="2" t="inlineStr"/>
    </row>
    <row r="241" ht="15" customHeight="1">
      <c r="A241" t="inlineStr">
        <is>
          <t>A 71669-2021</t>
        </is>
      </c>
      <c r="B241" s="1" t="n">
        <v>44538</v>
      </c>
      <c r="C241" s="1" t="n">
        <v>45926</v>
      </c>
      <c r="D241" t="inlineStr">
        <is>
          <t>VÄSTERNORRLANDS LÄN</t>
        </is>
      </c>
      <c r="E241" t="inlineStr">
        <is>
          <t>ÅNGE</t>
        </is>
      </c>
      <c r="G241" t="n">
        <v>2.1</v>
      </c>
      <c r="H241" t="n">
        <v>0</v>
      </c>
      <c r="I241" t="n">
        <v>0</v>
      </c>
      <c r="J241" t="n">
        <v>0</v>
      </c>
      <c r="K241" t="n">
        <v>0</v>
      </c>
      <c r="L241" t="n">
        <v>0</v>
      </c>
      <c r="M241" t="n">
        <v>0</v>
      </c>
      <c r="N241" t="n">
        <v>0</v>
      </c>
      <c r="O241" t="n">
        <v>0</v>
      </c>
      <c r="P241" t="n">
        <v>0</v>
      </c>
      <c r="Q241" t="n">
        <v>0</v>
      </c>
      <c r="R241" s="2" t="inlineStr"/>
    </row>
    <row r="242" ht="15" customHeight="1">
      <c r="A242" t="inlineStr">
        <is>
          <t>A 50258-2020</t>
        </is>
      </c>
      <c r="B242" s="1" t="n">
        <v>44109</v>
      </c>
      <c r="C242" s="1" t="n">
        <v>45926</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50259-2020</t>
        </is>
      </c>
      <c r="B243" s="1" t="n">
        <v>44109</v>
      </c>
      <c r="C243" s="1" t="n">
        <v>45926</v>
      </c>
      <c r="D243" t="inlineStr">
        <is>
          <t>VÄSTERNORRLANDS LÄN</t>
        </is>
      </c>
      <c r="E243" t="inlineStr">
        <is>
          <t>ÅNGE</t>
        </is>
      </c>
      <c r="G243" t="n">
        <v>5.1</v>
      </c>
      <c r="H243" t="n">
        <v>0</v>
      </c>
      <c r="I243" t="n">
        <v>0</v>
      </c>
      <c r="J243" t="n">
        <v>0</v>
      </c>
      <c r="K243" t="n">
        <v>0</v>
      </c>
      <c r="L243" t="n">
        <v>0</v>
      </c>
      <c r="M243" t="n">
        <v>0</v>
      </c>
      <c r="N243" t="n">
        <v>0</v>
      </c>
      <c r="O243" t="n">
        <v>0</v>
      </c>
      <c r="P243" t="n">
        <v>0</v>
      </c>
      <c r="Q243" t="n">
        <v>0</v>
      </c>
      <c r="R243" s="2" t="inlineStr"/>
    </row>
    <row r="244" ht="15" customHeight="1">
      <c r="A244" t="inlineStr">
        <is>
          <t>A 9619-2021</t>
        </is>
      </c>
      <c r="B244" s="1" t="n">
        <v>44251</v>
      </c>
      <c r="C244" s="1" t="n">
        <v>45926</v>
      </c>
      <c r="D244" t="inlineStr">
        <is>
          <t>VÄSTERNORRLANDS LÄN</t>
        </is>
      </c>
      <c r="E244" t="inlineStr">
        <is>
          <t>ÅNGE</t>
        </is>
      </c>
      <c r="G244" t="n">
        <v>10.4</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45926</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54105-2020</t>
        </is>
      </c>
      <c r="B246" s="1" t="n">
        <v>44125</v>
      </c>
      <c r="C246" s="1" t="n">
        <v>45926</v>
      </c>
      <c r="D246" t="inlineStr">
        <is>
          <t>VÄSTERNORRLANDS LÄN</t>
        </is>
      </c>
      <c r="E246" t="inlineStr">
        <is>
          <t>ÅNGE</t>
        </is>
      </c>
      <c r="G246" t="n">
        <v>1.1</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45926</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45926</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45926</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45926</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45926</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45926</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45926</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45926</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45926</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45926</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45926</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47282-2022</t>
        </is>
      </c>
      <c r="B258" s="1" t="n">
        <v>44852.95091435185</v>
      </c>
      <c r="C258" s="1" t="n">
        <v>45926</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45926</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45926</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45926</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45926</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45926</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45926</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53170-2020</t>
        </is>
      </c>
      <c r="B265" s="1" t="n">
        <v>44120</v>
      </c>
      <c r="C265" s="1" t="n">
        <v>45926</v>
      </c>
      <c r="D265" t="inlineStr">
        <is>
          <t>VÄSTERNORRLANDS LÄN</t>
        </is>
      </c>
      <c r="E265" t="inlineStr">
        <is>
          <t>ÅNGE</t>
        </is>
      </c>
      <c r="F265" t="inlineStr">
        <is>
          <t>SCA</t>
        </is>
      </c>
      <c r="G265" t="n">
        <v>6.1</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45926</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45926</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45926</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45926</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45926</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45926</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45926</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45926</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45926</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45926</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45926</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45926</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45926</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45926</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45926</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45926</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45926</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45926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45926</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45926</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45926</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45926</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45926</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45926</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45926</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45926</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45926</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45926</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45926</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45926</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45926</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45926</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45926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45926</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45926</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45926</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57111-2020</t>
        </is>
      </c>
      <c r="B302" s="1" t="n">
        <v>44139</v>
      </c>
      <c r="C302" s="1" t="n">
        <v>45926</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45926</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45926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45926</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45926</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45926</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45926</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45926</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45926</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6263-2022</t>
        </is>
      </c>
      <c r="B311" s="1" t="n">
        <v>44600</v>
      </c>
      <c r="C311" s="1" t="n">
        <v>45926</v>
      </c>
      <c r="D311" t="inlineStr">
        <is>
          <t>VÄSTERNORRLANDS LÄN</t>
        </is>
      </c>
      <c r="E311" t="inlineStr">
        <is>
          <t>ÅNGE</t>
        </is>
      </c>
      <c r="G311" t="n">
        <v>1.4</v>
      </c>
      <c r="H311" t="n">
        <v>0</v>
      </c>
      <c r="I311" t="n">
        <v>0</v>
      </c>
      <c r="J311" t="n">
        <v>0</v>
      </c>
      <c r="K311" t="n">
        <v>0</v>
      </c>
      <c r="L311" t="n">
        <v>0</v>
      </c>
      <c r="M311" t="n">
        <v>0</v>
      </c>
      <c r="N311" t="n">
        <v>0</v>
      </c>
      <c r="O311" t="n">
        <v>0</v>
      </c>
      <c r="P311" t="n">
        <v>0</v>
      </c>
      <c r="Q311" t="n">
        <v>0</v>
      </c>
      <c r="R311" s="2" t="inlineStr"/>
    </row>
    <row r="312" ht="15" customHeight="1">
      <c r="A312" t="inlineStr">
        <is>
          <t>A 20369-2022</t>
        </is>
      </c>
      <c r="B312" s="1" t="n">
        <v>44699.41140046297</v>
      </c>
      <c r="C312" s="1" t="n">
        <v>45926</v>
      </c>
      <c r="D312" t="inlineStr">
        <is>
          <t>VÄSTERNORRLANDS LÄN</t>
        </is>
      </c>
      <c r="E312" t="inlineStr">
        <is>
          <t>ÅNGE</t>
        </is>
      </c>
      <c r="G312" t="n">
        <v>5.5</v>
      </c>
      <c r="H312" t="n">
        <v>0</v>
      </c>
      <c r="I312" t="n">
        <v>0</v>
      </c>
      <c r="J312" t="n">
        <v>0</v>
      </c>
      <c r="K312" t="n">
        <v>0</v>
      </c>
      <c r="L312" t="n">
        <v>0</v>
      </c>
      <c r="M312" t="n">
        <v>0</v>
      </c>
      <c r="N312" t="n">
        <v>0</v>
      </c>
      <c r="O312" t="n">
        <v>0</v>
      </c>
      <c r="P312" t="n">
        <v>0</v>
      </c>
      <c r="Q312" t="n">
        <v>0</v>
      </c>
      <c r="R312" s="2" t="inlineStr"/>
    </row>
    <row r="313" ht="15" customHeight="1">
      <c r="A313" t="inlineStr">
        <is>
          <t>A 5113-2022</t>
        </is>
      </c>
      <c r="B313" s="1" t="n">
        <v>44593.93362268519</v>
      </c>
      <c r="C313" s="1" t="n">
        <v>45926</v>
      </c>
      <c r="D313" t="inlineStr">
        <is>
          <t>VÄSTERNORRLANDS LÄN</t>
        </is>
      </c>
      <c r="E313" t="inlineStr">
        <is>
          <t>ÅNGE</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31668-2021</t>
        </is>
      </c>
      <c r="B314" s="1" t="n">
        <v>44369</v>
      </c>
      <c r="C314" s="1" t="n">
        <v>45926</v>
      </c>
      <c r="D314" t="inlineStr">
        <is>
          <t>VÄSTERNORRLANDS LÄN</t>
        </is>
      </c>
      <c r="E314" t="inlineStr">
        <is>
          <t>ÅNGE</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49656-2020</t>
        </is>
      </c>
      <c r="B315" s="1" t="n">
        <v>44106</v>
      </c>
      <c r="C315" s="1" t="n">
        <v>45926</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32328-2021</t>
        </is>
      </c>
      <c r="B316" s="1" t="n">
        <v>44371.55924768518</v>
      </c>
      <c r="C316" s="1" t="n">
        <v>45926</v>
      </c>
      <c r="D316" t="inlineStr">
        <is>
          <t>VÄSTERNORRLANDS LÄN</t>
        </is>
      </c>
      <c r="E316" t="inlineStr">
        <is>
          <t>ÅNGE</t>
        </is>
      </c>
      <c r="G316" t="n">
        <v>0.9</v>
      </c>
      <c r="H316" t="n">
        <v>0</v>
      </c>
      <c r="I316" t="n">
        <v>0</v>
      </c>
      <c r="J316" t="n">
        <v>0</v>
      </c>
      <c r="K316" t="n">
        <v>0</v>
      </c>
      <c r="L316" t="n">
        <v>0</v>
      </c>
      <c r="M316" t="n">
        <v>0</v>
      </c>
      <c r="N316" t="n">
        <v>0</v>
      </c>
      <c r="O316" t="n">
        <v>0</v>
      </c>
      <c r="P316" t="n">
        <v>0</v>
      </c>
      <c r="Q316" t="n">
        <v>0</v>
      </c>
      <c r="R316" s="2" t="inlineStr"/>
    </row>
    <row r="317" ht="15" customHeight="1">
      <c r="A317" t="inlineStr">
        <is>
          <t>A 55907-2022</t>
        </is>
      </c>
      <c r="B317" s="1" t="n">
        <v>44888.95457175926</v>
      </c>
      <c r="C317" s="1" t="n">
        <v>45926</v>
      </c>
      <c r="D317" t="inlineStr">
        <is>
          <t>VÄSTERNORRLANDS LÄN</t>
        </is>
      </c>
      <c r="E317" t="inlineStr">
        <is>
          <t>ÅNGE</t>
        </is>
      </c>
      <c r="F317" t="inlineStr">
        <is>
          <t>SCA</t>
        </is>
      </c>
      <c r="G317" t="n">
        <v>8.4</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45926</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66560-2021</t>
        </is>
      </c>
      <c r="B319" s="1" t="n">
        <v>44519</v>
      </c>
      <c r="C319" s="1" t="n">
        <v>45926</v>
      </c>
      <c r="D319" t="inlineStr">
        <is>
          <t>VÄSTERNORRLANDS LÄN</t>
        </is>
      </c>
      <c r="E319" t="inlineStr">
        <is>
          <t>ÅNGE</t>
        </is>
      </c>
      <c r="G319" t="n">
        <v>2.6</v>
      </c>
      <c r="H319" t="n">
        <v>0</v>
      </c>
      <c r="I319" t="n">
        <v>0</v>
      </c>
      <c r="J319" t="n">
        <v>0</v>
      </c>
      <c r="K319" t="n">
        <v>0</v>
      </c>
      <c r="L319" t="n">
        <v>0</v>
      </c>
      <c r="M319" t="n">
        <v>0</v>
      </c>
      <c r="N319" t="n">
        <v>0</v>
      </c>
      <c r="O319" t="n">
        <v>0</v>
      </c>
      <c r="P319" t="n">
        <v>0</v>
      </c>
      <c r="Q319" t="n">
        <v>0</v>
      </c>
      <c r="R319" s="2" t="inlineStr"/>
    </row>
    <row r="320" ht="15" customHeight="1">
      <c r="A320" t="inlineStr">
        <is>
          <t>A 33408-2021</t>
        </is>
      </c>
      <c r="B320" s="1" t="n">
        <v>44377</v>
      </c>
      <c r="C320" s="1" t="n">
        <v>45926</v>
      </c>
      <c r="D320" t="inlineStr">
        <is>
          <t>VÄSTERNORRLANDS LÄN</t>
        </is>
      </c>
      <c r="E320" t="inlineStr">
        <is>
          <t>ÅNGE</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24355-2022</t>
        </is>
      </c>
      <c r="B321" s="1" t="n">
        <v>44726.3816087963</v>
      </c>
      <c r="C321" s="1" t="n">
        <v>45926</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61761-2021</t>
        </is>
      </c>
      <c r="B322" s="1" t="n">
        <v>44501</v>
      </c>
      <c r="C322" s="1" t="n">
        <v>45926</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row>
    <row r="323" ht="15" customHeight="1">
      <c r="A323" t="inlineStr">
        <is>
          <t>A 35507-2022</t>
        </is>
      </c>
      <c r="B323" s="1" t="n">
        <v>44798</v>
      </c>
      <c r="C323" s="1" t="n">
        <v>45926</v>
      </c>
      <c r="D323" t="inlineStr">
        <is>
          <t>VÄSTERNORRLANDS LÄN</t>
        </is>
      </c>
      <c r="E323" t="inlineStr">
        <is>
          <t>ÅNGE</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10680-2022</t>
        </is>
      </c>
      <c r="B324" s="1" t="n">
        <v>44624</v>
      </c>
      <c r="C324" s="1" t="n">
        <v>45926</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10686-2022</t>
        </is>
      </c>
      <c r="B325" s="1" t="n">
        <v>44624.92680555556</v>
      </c>
      <c r="C325" s="1" t="n">
        <v>45926</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37621-2021</t>
        </is>
      </c>
      <c r="B326" s="1" t="n">
        <v>44399</v>
      </c>
      <c r="C326" s="1" t="n">
        <v>45926</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45926</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62870-2021</t>
        </is>
      </c>
      <c r="B328" s="1" t="n">
        <v>44503</v>
      </c>
      <c r="C328" s="1" t="n">
        <v>45926</v>
      </c>
      <c r="D328" t="inlineStr">
        <is>
          <t>VÄSTERNORRLANDS LÄN</t>
        </is>
      </c>
      <c r="E328" t="inlineStr">
        <is>
          <t>ÅNGE</t>
        </is>
      </c>
      <c r="F328" t="inlineStr">
        <is>
          <t>Övriga statliga verk och myndigheter</t>
        </is>
      </c>
      <c r="G328" t="n">
        <v>3</v>
      </c>
      <c r="H328" t="n">
        <v>0</v>
      </c>
      <c r="I328" t="n">
        <v>0</v>
      </c>
      <c r="J328" t="n">
        <v>0</v>
      </c>
      <c r="K328" t="n">
        <v>0</v>
      </c>
      <c r="L328" t="n">
        <v>0</v>
      </c>
      <c r="M328" t="n">
        <v>0</v>
      </c>
      <c r="N328" t="n">
        <v>0</v>
      </c>
      <c r="O328" t="n">
        <v>0</v>
      </c>
      <c r="P328" t="n">
        <v>0</v>
      </c>
      <c r="Q328" t="n">
        <v>0</v>
      </c>
      <c r="R328" s="2" t="inlineStr"/>
    </row>
    <row r="329" ht="15" customHeight="1">
      <c r="A329" t="inlineStr">
        <is>
          <t>A 70899-2021</t>
        </is>
      </c>
      <c r="B329" s="1" t="n">
        <v>44537</v>
      </c>
      <c r="C329" s="1" t="n">
        <v>45926</v>
      </c>
      <c r="D329" t="inlineStr">
        <is>
          <t>VÄSTERNORRLANDS LÄN</t>
        </is>
      </c>
      <c r="E329" t="inlineStr">
        <is>
          <t>ÅNGE</t>
        </is>
      </c>
      <c r="G329" t="n">
        <v>1.1</v>
      </c>
      <c r="H329" t="n">
        <v>0</v>
      </c>
      <c r="I329" t="n">
        <v>0</v>
      </c>
      <c r="J329" t="n">
        <v>0</v>
      </c>
      <c r="K329" t="n">
        <v>0</v>
      </c>
      <c r="L329" t="n">
        <v>0</v>
      </c>
      <c r="M329" t="n">
        <v>0</v>
      </c>
      <c r="N329" t="n">
        <v>0</v>
      </c>
      <c r="O329" t="n">
        <v>0</v>
      </c>
      <c r="P329" t="n">
        <v>0</v>
      </c>
      <c r="Q329" t="n">
        <v>0</v>
      </c>
      <c r="R329" s="2" t="inlineStr"/>
    </row>
    <row r="330" ht="15" customHeight="1">
      <c r="A330" t="inlineStr">
        <is>
          <t>A 74194-2021</t>
        </is>
      </c>
      <c r="B330" s="1" t="n">
        <v>44558.47333333334</v>
      </c>
      <c r="C330" s="1" t="n">
        <v>45926</v>
      </c>
      <c r="D330" t="inlineStr">
        <is>
          <t>VÄSTERNORRLANDS LÄN</t>
        </is>
      </c>
      <c r="E330" t="inlineStr">
        <is>
          <t>ÅNGE</t>
        </is>
      </c>
      <c r="G330" t="n">
        <v>1.9</v>
      </c>
      <c r="H330" t="n">
        <v>0</v>
      </c>
      <c r="I330" t="n">
        <v>0</v>
      </c>
      <c r="J330" t="n">
        <v>0</v>
      </c>
      <c r="K330" t="n">
        <v>0</v>
      </c>
      <c r="L330" t="n">
        <v>0</v>
      </c>
      <c r="M330" t="n">
        <v>0</v>
      </c>
      <c r="N330" t="n">
        <v>0</v>
      </c>
      <c r="O330" t="n">
        <v>0</v>
      </c>
      <c r="P330" t="n">
        <v>0</v>
      </c>
      <c r="Q330" t="n">
        <v>0</v>
      </c>
      <c r="R330" s="2" t="inlineStr"/>
    </row>
    <row r="331" ht="15" customHeight="1">
      <c r="A331" t="inlineStr">
        <is>
          <t>A 14084-2022</t>
        </is>
      </c>
      <c r="B331" s="1" t="n">
        <v>44651</v>
      </c>
      <c r="C331" s="1" t="n">
        <v>45926</v>
      </c>
      <c r="D331" t="inlineStr">
        <is>
          <t>VÄSTERNORRLANDS LÄN</t>
        </is>
      </c>
      <c r="E331" t="inlineStr">
        <is>
          <t>ÅNGE</t>
        </is>
      </c>
      <c r="G331" t="n">
        <v>1</v>
      </c>
      <c r="H331" t="n">
        <v>0</v>
      </c>
      <c r="I331" t="n">
        <v>0</v>
      </c>
      <c r="J331" t="n">
        <v>0</v>
      </c>
      <c r="K331" t="n">
        <v>0</v>
      </c>
      <c r="L331" t="n">
        <v>0</v>
      </c>
      <c r="M331" t="n">
        <v>0</v>
      </c>
      <c r="N331" t="n">
        <v>0</v>
      </c>
      <c r="O331" t="n">
        <v>0</v>
      </c>
      <c r="P331" t="n">
        <v>0</v>
      </c>
      <c r="Q331" t="n">
        <v>0</v>
      </c>
      <c r="R331" s="2" t="inlineStr"/>
    </row>
    <row r="332" ht="15" customHeight="1">
      <c r="A332" t="inlineStr">
        <is>
          <t>A 14091-2022</t>
        </is>
      </c>
      <c r="B332" s="1" t="n">
        <v>44651</v>
      </c>
      <c r="C332" s="1" t="n">
        <v>45926</v>
      </c>
      <c r="D332" t="inlineStr">
        <is>
          <t>VÄSTERNORRLANDS LÄN</t>
        </is>
      </c>
      <c r="E332" t="inlineStr">
        <is>
          <t>ÅNGE</t>
        </is>
      </c>
      <c r="G332" t="n">
        <v>2.4</v>
      </c>
      <c r="H332" t="n">
        <v>0</v>
      </c>
      <c r="I332" t="n">
        <v>0</v>
      </c>
      <c r="J332" t="n">
        <v>0</v>
      </c>
      <c r="K332" t="n">
        <v>0</v>
      </c>
      <c r="L332" t="n">
        <v>0</v>
      </c>
      <c r="M332" t="n">
        <v>0</v>
      </c>
      <c r="N332" t="n">
        <v>0</v>
      </c>
      <c r="O332" t="n">
        <v>0</v>
      </c>
      <c r="P332" t="n">
        <v>0</v>
      </c>
      <c r="Q332" t="n">
        <v>0</v>
      </c>
      <c r="R332" s="2" t="inlineStr"/>
    </row>
    <row r="333" ht="15" customHeight="1">
      <c r="A333" t="inlineStr">
        <is>
          <t>A 66233-2021</t>
        </is>
      </c>
      <c r="B333" s="1" t="n">
        <v>44518.39234953704</v>
      </c>
      <c r="C333" s="1" t="n">
        <v>45926</v>
      </c>
      <c r="D333" t="inlineStr">
        <is>
          <t>VÄSTERNORRLANDS LÄN</t>
        </is>
      </c>
      <c r="E333" t="inlineStr">
        <is>
          <t>ÅNGE</t>
        </is>
      </c>
      <c r="G333" t="n">
        <v>3.1</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45926</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51555-2022</t>
        </is>
      </c>
      <c r="B335" s="1" t="n">
        <v>44869.9495949074</v>
      </c>
      <c r="C335" s="1" t="n">
        <v>45926</v>
      </c>
      <c r="D335" t="inlineStr">
        <is>
          <t>VÄSTERNORRLANDS LÄN</t>
        </is>
      </c>
      <c r="E335" t="inlineStr">
        <is>
          <t>ÅNGE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21189-2021</t>
        </is>
      </c>
      <c r="B336" s="1" t="n">
        <v>44320</v>
      </c>
      <c r="C336" s="1" t="n">
        <v>45926</v>
      </c>
      <c r="D336" t="inlineStr">
        <is>
          <t>VÄSTERNORRLANDS LÄN</t>
        </is>
      </c>
      <c r="E336" t="inlineStr">
        <is>
          <t>ÅNGE</t>
        </is>
      </c>
      <c r="G336" t="n">
        <v>2.4</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45926</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45926</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5366-2022</t>
        </is>
      </c>
      <c r="B339" s="1" t="n">
        <v>44594.92107638889</v>
      </c>
      <c r="C339" s="1" t="n">
        <v>45926</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60064-2020</t>
        </is>
      </c>
      <c r="B340" s="1" t="n">
        <v>44151</v>
      </c>
      <c r="C340" s="1" t="n">
        <v>45926</v>
      </c>
      <c r="D340" t="inlineStr">
        <is>
          <t>VÄSTERNORRLANDS LÄN</t>
        </is>
      </c>
      <c r="E340" t="inlineStr">
        <is>
          <t>ÅNGE</t>
        </is>
      </c>
      <c r="G340" t="n">
        <v>1.8</v>
      </c>
      <c r="H340" t="n">
        <v>0</v>
      </c>
      <c r="I340" t="n">
        <v>0</v>
      </c>
      <c r="J340" t="n">
        <v>0</v>
      </c>
      <c r="K340" t="n">
        <v>0</v>
      </c>
      <c r="L340" t="n">
        <v>0</v>
      </c>
      <c r="M340" t="n">
        <v>0</v>
      </c>
      <c r="N340" t="n">
        <v>0</v>
      </c>
      <c r="O340" t="n">
        <v>0</v>
      </c>
      <c r="P340" t="n">
        <v>0</v>
      </c>
      <c r="Q340" t="n">
        <v>0</v>
      </c>
      <c r="R340" s="2" t="inlineStr"/>
    </row>
    <row r="341" ht="15" customHeight="1">
      <c r="A341" t="inlineStr">
        <is>
          <t>A 53962-2020</t>
        </is>
      </c>
      <c r="B341" s="1" t="n">
        <v>44125.46759259259</v>
      </c>
      <c r="C341" s="1" t="n">
        <v>45926</v>
      </c>
      <c r="D341" t="inlineStr">
        <is>
          <t>VÄSTERNORRLANDS LÄN</t>
        </is>
      </c>
      <c r="E341" t="inlineStr">
        <is>
          <t>ÅNGE</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45926</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46351-2022</t>
        </is>
      </c>
      <c r="B343" s="1" t="n">
        <v>44847</v>
      </c>
      <c r="C343" s="1" t="n">
        <v>45926</v>
      </c>
      <c r="D343" t="inlineStr">
        <is>
          <t>VÄSTERNORRLANDS LÄN</t>
        </is>
      </c>
      <c r="E343" t="inlineStr">
        <is>
          <t>ÅNGE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45926</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44413-2022</t>
        </is>
      </c>
      <c r="B345" s="1" t="n">
        <v>44839.92630787037</v>
      </c>
      <c r="C345" s="1" t="n">
        <v>45926</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45926</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65280-2020</t>
        </is>
      </c>
      <c r="B347" s="1" t="n">
        <v>44172</v>
      </c>
      <c r="C347" s="1" t="n">
        <v>45926</v>
      </c>
      <c r="D347" t="inlineStr">
        <is>
          <t>VÄSTERNORRLANDS LÄN</t>
        </is>
      </c>
      <c r="E347" t="inlineStr">
        <is>
          <t>ÅNGE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27953-2021</t>
        </is>
      </c>
      <c r="B348" s="1" t="n">
        <v>44354.9209375</v>
      </c>
      <c r="C348" s="1" t="n">
        <v>45926</v>
      </c>
      <c r="D348" t="inlineStr">
        <is>
          <t>VÄSTERNORRLANDS LÄN</t>
        </is>
      </c>
      <c r="E348" t="inlineStr">
        <is>
          <t>ÅNGE</t>
        </is>
      </c>
      <c r="G348" t="n">
        <v>2.9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45926</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45926</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48810-2020</t>
        </is>
      </c>
      <c r="B351" s="1" t="n">
        <v>44103</v>
      </c>
      <c r="C351" s="1" t="n">
        <v>45926</v>
      </c>
      <c r="D351" t="inlineStr">
        <is>
          <t>VÄSTERNORRLANDS LÄN</t>
        </is>
      </c>
      <c r="E351" t="inlineStr">
        <is>
          <t>ÅNGE</t>
        </is>
      </c>
      <c r="F351" t="inlineStr">
        <is>
          <t>SCA</t>
        </is>
      </c>
      <c r="G351" t="n">
        <v>1.8</v>
      </c>
      <c r="H351" t="n">
        <v>0</v>
      </c>
      <c r="I351" t="n">
        <v>0</v>
      </c>
      <c r="J351" t="n">
        <v>0</v>
      </c>
      <c r="K351" t="n">
        <v>0</v>
      </c>
      <c r="L351" t="n">
        <v>0</v>
      </c>
      <c r="M351" t="n">
        <v>0</v>
      </c>
      <c r="N351" t="n">
        <v>0</v>
      </c>
      <c r="O351" t="n">
        <v>0</v>
      </c>
      <c r="P351" t="n">
        <v>0</v>
      </c>
      <c r="Q351" t="n">
        <v>0</v>
      </c>
      <c r="R351" s="2" t="inlineStr"/>
      <c r="U351">
        <f>HYPERLINK("https://klasma.github.io/Logging_2260/knärot/A 48810-2020 karta knärot.png", "A 48810-2020")</f>
        <v/>
      </c>
      <c r="V351">
        <f>HYPERLINK("https://klasma.github.io/Logging_2260/klagomål/A 48810-2020 FSC-klagomål.docx", "A 48810-2020")</f>
        <v/>
      </c>
      <c r="W351">
        <f>HYPERLINK("https://klasma.github.io/Logging_2260/klagomålsmail/A 48810-2020 FSC-klagomål mail.docx", "A 48810-2020")</f>
        <v/>
      </c>
      <c r="X351">
        <f>HYPERLINK("https://klasma.github.io/Logging_2260/tillsyn/A 48810-2020 tillsynsbegäran.docx", "A 48810-2020")</f>
        <v/>
      </c>
      <c r="Y351">
        <f>HYPERLINK("https://klasma.github.io/Logging_2260/tillsynsmail/A 48810-2020 tillsynsbegäran mail.docx", "A 48810-2020")</f>
        <v/>
      </c>
    </row>
    <row r="352" ht="15" customHeight="1">
      <c r="A352" t="inlineStr">
        <is>
          <t>A 33274-2022</t>
        </is>
      </c>
      <c r="B352" s="1" t="n">
        <v>44788</v>
      </c>
      <c r="C352" s="1" t="n">
        <v>45926</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45926</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45926</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45926</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56907-2021</t>
        </is>
      </c>
      <c r="B356" s="1" t="n">
        <v>44481.93837962963</v>
      </c>
      <c r="C356" s="1" t="n">
        <v>45926</v>
      </c>
      <c r="D356" t="inlineStr">
        <is>
          <t>VÄSTERNORRLANDS LÄN</t>
        </is>
      </c>
      <c r="E356" t="inlineStr">
        <is>
          <t>ÅNGE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40476-2022</t>
        </is>
      </c>
      <c r="B357" s="1" t="n">
        <v>44823.54685185185</v>
      </c>
      <c r="C357" s="1" t="n">
        <v>45926</v>
      </c>
      <c r="D357" t="inlineStr">
        <is>
          <t>VÄSTERNORRLANDS LÄN</t>
        </is>
      </c>
      <c r="E357" t="inlineStr">
        <is>
          <t>ÅNGE</t>
        </is>
      </c>
      <c r="G357" t="n">
        <v>0.5</v>
      </c>
      <c r="H357" t="n">
        <v>0</v>
      </c>
      <c r="I357" t="n">
        <v>0</v>
      </c>
      <c r="J357" t="n">
        <v>0</v>
      </c>
      <c r="K357" t="n">
        <v>0</v>
      </c>
      <c r="L357" t="n">
        <v>0</v>
      </c>
      <c r="M357" t="n">
        <v>0</v>
      </c>
      <c r="N357" t="n">
        <v>0</v>
      </c>
      <c r="O357" t="n">
        <v>0</v>
      </c>
      <c r="P357" t="n">
        <v>0</v>
      </c>
      <c r="Q357" t="n">
        <v>0</v>
      </c>
      <c r="R357" s="2" t="inlineStr"/>
    </row>
    <row r="358" ht="15" customHeight="1">
      <c r="A358" t="inlineStr">
        <is>
          <t>A 12800-2021</t>
        </is>
      </c>
      <c r="B358" s="1" t="n">
        <v>44270.92056712963</v>
      </c>
      <c r="C358" s="1" t="n">
        <v>45926</v>
      </c>
      <c r="D358" t="inlineStr">
        <is>
          <t>VÄSTERNORRLANDS LÄN</t>
        </is>
      </c>
      <c r="E358" t="inlineStr">
        <is>
          <t>ÅNGE</t>
        </is>
      </c>
      <c r="G358" t="n">
        <v>0.6</v>
      </c>
      <c r="H358" t="n">
        <v>0</v>
      </c>
      <c r="I358" t="n">
        <v>0</v>
      </c>
      <c r="J358" t="n">
        <v>0</v>
      </c>
      <c r="K358" t="n">
        <v>0</v>
      </c>
      <c r="L358" t="n">
        <v>0</v>
      </c>
      <c r="M358" t="n">
        <v>0</v>
      </c>
      <c r="N358" t="n">
        <v>0</v>
      </c>
      <c r="O358" t="n">
        <v>0</v>
      </c>
      <c r="P358" t="n">
        <v>0</v>
      </c>
      <c r="Q358" t="n">
        <v>0</v>
      </c>
      <c r="R358" s="2" t="inlineStr"/>
    </row>
    <row r="359" ht="15" customHeight="1">
      <c r="A359" t="inlineStr">
        <is>
          <t>A 14813-2022</t>
        </is>
      </c>
      <c r="B359" s="1" t="n">
        <v>44656</v>
      </c>
      <c r="C359" s="1" t="n">
        <v>45926</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57418-2021</t>
        </is>
      </c>
      <c r="B360" s="1" t="n">
        <v>44483</v>
      </c>
      <c r="C360" s="1" t="n">
        <v>45926</v>
      </c>
      <c r="D360" t="inlineStr">
        <is>
          <t>VÄSTERNORRLANDS LÄN</t>
        </is>
      </c>
      <c r="E360" t="inlineStr">
        <is>
          <t>ÅNGE</t>
        </is>
      </c>
      <c r="G360" t="n">
        <v>4.4</v>
      </c>
      <c r="H360" t="n">
        <v>0</v>
      </c>
      <c r="I360" t="n">
        <v>0</v>
      </c>
      <c r="J360" t="n">
        <v>0</v>
      </c>
      <c r="K360" t="n">
        <v>0</v>
      </c>
      <c r="L360" t="n">
        <v>0</v>
      </c>
      <c r="M360" t="n">
        <v>0</v>
      </c>
      <c r="N360" t="n">
        <v>0</v>
      </c>
      <c r="O360" t="n">
        <v>0</v>
      </c>
      <c r="P360" t="n">
        <v>0</v>
      </c>
      <c r="Q360" t="n">
        <v>0</v>
      </c>
      <c r="R360" s="2" t="inlineStr"/>
    </row>
    <row r="361" ht="15" customHeight="1">
      <c r="A361" t="inlineStr">
        <is>
          <t>A 53010-2022</t>
        </is>
      </c>
      <c r="B361" s="1" t="n">
        <v>44875</v>
      </c>
      <c r="C361" s="1" t="n">
        <v>45926</v>
      </c>
      <c r="D361" t="inlineStr">
        <is>
          <t>VÄSTERNORRLANDS LÄN</t>
        </is>
      </c>
      <c r="E361" t="inlineStr">
        <is>
          <t>ÅNGE</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50265-2020</t>
        </is>
      </c>
      <c r="B362" s="1" t="n">
        <v>44109</v>
      </c>
      <c r="C362" s="1" t="n">
        <v>45926</v>
      </c>
      <c r="D362" t="inlineStr">
        <is>
          <t>VÄSTERNORRLANDS LÄN</t>
        </is>
      </c>
      <c r="E362" t="inlineStr">
        <is>
          <t>ÅNGE</t>
        </is>
      </c>
      <c r="G362" t="n">
        <v>1.5</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45926</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45926</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53664-2022</t>
        </is>
      </c>
      <c r="B365" s="1" t="n">
        <v>44879.95643518519</v>
      </c>
      <c r="C365" s="1" t="n">
        <v>45926</v>
      </c>
      <c r="D365" t="inlineStr">
        <is>
          <t>VÄSTERNORRLANDS LÄN</t>
        </is>
      </c>
      <c r="E365" t="inlineStr">
        <is>
          <t>ÅNGE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21642-2021</t>
        </is>
      </c>
      <c r="B366" s="1" t="n">
        <v>44321.94239583334</v>
      </c>
      <c r="C366" s="1" t="n">
        <v>45926</v>
      </c>
      <c r="D366" t="inlineStr">
        <is>
          <t>VÄSTERNORRLANDS LÄN</t>
        </is>
      </c>
      <c r="E366" t="inlineStr">
        <is>
          <t>ÅNGE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30365-2021</t>
        </is>
      </c>
      <c r="B367" s="1" t="n">
        <v>44364.45164351852</v>
      </c>
      <c r="C367" s="1" t="n">
        <v>45926</v>
      </c>
      <c r="D367" t="inlineStr">
        <is>
          <t>VÄSTERNORRLANDS LÄN</t>
        </is>
      </c>
      <c r="E367" t="inlineStr">
        <is>
          <t>ÅNGE</t>
        </is>
      </c>
      <c r="G367" t="n">
        <v>3.9</v>
      </c>
      <c r="H367" t="n">
        <v>0</v>
      </c>
      <c r="I367" t="n">
        <v>0</v>
      </c>
      <c r="J367" t="n">
        <v>0</v>
      </c>
      <c r="K367" t="n">
        <v>0</v>
      </c>
      <c r="L367" t="n">
        <v>0</v>
      </c>
      <c r="M367" t="n">
        <v>0</v>
      </c>
      <c r="N367" t="n">
        <v>0</v>
      </c>
      <c r="O367" t="n">
        <v>0</v>
      </c>
      <c r="P367" t="n">
        <v>0</v>
      </c>
      <c r="Q367" t="n">
        <v>0</v>
      </c>
      <c r="R367" s="2" t="inlineStr"/>
    </row>
    <row r="368" ht="15" customHeight="1">
      <c r="A368" t="inlineStr">
        <is>
          <t>A 17044-2022</t>
        </is>
      </c>
      <c r="B368" s="1" t="n">
        <v>44676</v>
      </c>
      <c r="C368" s="1" t="n">
        <v>45926</v>
      </c>
      <c r="D368" t="inlineStr">
        <is>
          <t>VÄSTERNORRLANDS LÄN</t>
        </is>
      </c>
      <c r="E368" t="inlineStr">
        <is>
          <t>ÅNGE</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2327-2021</t>
        </is>
      </c>
      <c r="B369" s="1" t="n">
        <v>44214</v>
      </c>
      <c r="C369" s="1" t="n">
        <v>45926</v>
      </c>
      <c r="D369" t="inlineStr">
        <is>
          <t>VÄSTERNORRLANDS LÄN</t>
        </is>
      </c>
      <c r="E369" t="inlineStr">
        <is>
          <t>ÅNGE</t>
        </is>
      </c>
      <c r="G369" t="n">
        <v>6.7</v>
      </c>
      <c r="H369" t="n">
        <v>0</v>
      </c>
      <c r="I369" t="n">
        <v>0</v>
      </c>
      <c r="J369" t="n">
        <v>0</v>
      </c>
      <c r="K369" t="n">
        <v>0</v>
      </c>
      <c r="L369" t="n">
        <v>0</v>
      </c>
      <c r="M369" t="n">
        <v>0</v>
      </c>
      <c r="N369" t="n">
        <v>0</v>
      </c>
      <c r="O369" t="n">
        <v>0</v>
      </c>
      <c r="P369" t="n">
        <v>0</v>
      </c>
      <c r="Q369" t="n">
        <v>0</v>
      </c>
      <c r="R369" s="2" t="inlineStr"/>
    </row>
    <row r="370" ht="15" customHeight="1">
      <c r="A370" t="inlineStr">
        <is>
          <t>A 55905-2021</t>
        </is>
      </c>
      <c r="B370" s="1" t="n">
        <v>44476.91895833334</v>
      </c>
      <c r="C370" s="1" t="n">
        <v>45926</v>
      </c>
      <c r="D370" t="inlineStr">
        <is>
          <t>VÄSTERNORRLANDS LÄN</t>
        </is>
      </c>
      <c r="E370" t="inlineStr">
        <is>
          <t>ÅNGE</t>
        </is>
      </c>
      <c r="G370" t="n">
        <v>0.9</v>
      </c>
      <c r="H370" t="n">
        <v>0</v>
      </c>
      <c r="I370" t="n">
        <v>0</v>
      </c>
      <c r="J370" t="n">
        <v>0</v>
      </c>
      <c r="K370" t="n">
        <v>0</v>
      </c>
      <c r="L370" t="n">
        <v>0</v>
      </c>
      <c r="M370" t="n">
        <v>0</v>
      </c>
      <c r="N370" t="n">
        <v>0</v>
      </c>
      <c r="O370" t="n">
        <v>0</v>
      </c>
      <c r="P370" t="n">
        <v>0</v>
      </c>
      <c r="Q370" t="n">
        <v>0</v>
      </c>
      <c r="R370" s="2" t="inlineStr"/>
    </row>
    <row r="371" ht="15" customHeight="1">
      <c r="A371" t="inlineStr">
        <is>
          <t>A 17580-2022</t>
        </is>
      </c>
      <c r="B371" s="1" t="n">
        <v>44679</v>
      </c>
      <c r="C371" s="1" t="n">
        <v>45926</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14587-2021</t>
        </is>
      </c>
      <c r="B372" s="1" t="n">
        <v>44279.91825231481</v>
      </c>
      <c r="C372" s="1" t="n">
        <v>45926</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45926</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46053-2021</t>
        </is>
      </c>
      <c r="B374" s="1" t="n">
        <v>44441</v>
      </c>
      <c r="C374" s="1" t="n">
        <v>45926</v>
      </c>
      <c r="D374" t="inlineStr">
        <is>
          <t>VÄSTERNORRLANDS LÄN</t>
        </is>
      </c>
      <c r="E374" t="inlineStr">
        <is>
          <t>ÅNGE</t>
        </is>
      </c>
      <c r="F374" t="inlineStr">
        <is>
          <t>SCA</t>
        </is>
      </c>
      <c r="G374" t="n">
        <v>0.2</v>
      </c>
      <c r="H374" t="n">
        <v>0</v>
      </c>
      <c r="I374" t="n">
        <v>0</v>
      </c>
      <c r="J374" t="n">
        <v>0</v>
      </c>
      <c r="K374" t="n">
        <v>0</v>
      </c>
      <c r="L374" t="n">
        <v>0</v>
      </c>
      <c r="M374" t="n">
        <v>0</v>
      </c>
      <c r="N374" t="n">
        <v>0</v>
      </c>
      <c r="O374" t="n">
        <v>0</v>
      </c>
      <c r="P374" t="n">
        <v>0</v>
      </c>
      <c r="Q374" t="n">
        <v>0</v>
      </c>
      <c r="R374" s="2" t="inlineStr"/>
    </row>
    <row r="375" ht="15" customHeight="1">
      <c r="A375" t="inlineStr">
        <is>
          <t>A 45145-2021</t>
        </is>
      </c>
      <c r="B375" s="1" t="n">
        <v>44439</v>
      </c>
      <c r="C375" s="1" t="n">
        <v>45926</v>
      </c>
      <c r="D375" t="inlineStr">
        <is>
          <t>VÄSTERNORRLANDS LÄN</t>
        </is>
      </c>
      <c r="E375" t="inlineStr">
        <is>
          <t>ÅNGE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10342-2021</t>
        </is>
      </c>
      <c r="B376" s="1" t="n">
        <v>44257</v>
      </c>
      <c r="C376" s="1" t="n">
        <v>45926</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71302-2021</t>
        </is>
      </c>
      <c r="B377" s="1" t="n">
        <v>44539.63871527778</v>
      </c>
      <c r="C377" s="1" t="n">
        <v>45926</v>
      </c>
      <c r="D377" t="inlineStr">
        <is>
          <t>VÄSTERNORRLANDS LÄN</t>
        </is>
      </c>
      <c r="E377" t="inlineStr">
        <is>
          <t>ÅNGE</t>
        </is>
      </c>
      <c r="G377" t="n">
        <v>0.5</v>
      </c>
      <c r="H377" t="n">
        <v>0</v>
      </c>
      <c r="I377" t="n">
        <v>0</v>
      </c>
      <c r="J377" t="n">
        <v>0</v>
      </c>
      <c r="K377" t="n">
        <v>0</v>
      </c>
      <c r="L377" t="n">
        <v>0</v>
      </c>
      <c r="M377" t="n">
        <v>0</v>
      </c>
      <c r="N377" t="n">
        <v>0</v>
      </c>
      <c r="O377" t="n">
        <v>0</v>
      </c>
      <c r="P377" t="n">
        <v>0</v>
      </c>
      <c r="Q377" t="n">
        <v>0</v>
      </c>
      <c r="R377" s="2" t="inlineStr"/>
    </row>
    <row r="378" ht="15" customHeight="1">
      <c r="A378" t="inlineStr">
        <is>
          <t>A 6732-2022</t>
        </is>
      </c>
      <c r="B378" s="1" t="n">
        <v>44602.46072916667</v>
      </c>
      <c r="C378" s="1" t="n">
        <v>45926</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52232-2020</t>
        </is>
      </c>
      <c r="B379" s="1" t="n">
        <v>44111</v>
      </c>
      <c r="C379" s="1" t="n">
        <v>45926</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37605-2021</t>
        </is>
      </c>
      <c r="B380" s="1" t="n">
        <v>44399</v>
      </c>
      <c r="C380" s="1" t="n">
        <v>45926</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37620-2021</t>
        </is>
      </c>
      <c r="B381" s="1" t="n">
        <v>44399</v>
      </c>
      <c r="C381" s="1" t="n">
        <v>45926</v>
      </c>
      <c r="D381" t="inlineStr">
        <is>
          <t>VÄSTERNORRLANDS LÄN</t>
        </is>
      </c>
      <c r="E381" t="inlineStr">
        <is>
          <t>ÅNGE</t>
        </is>
      </c>
      <c r="G381" t="n">
        <v>4.3</v>
      </c>
      <c r="H381" t="n">
        <v>0</v>
      </c>
      <c r="I381" t="n">
        <v>0</v>
      </c>
      <c r="J381" t="n">
        <v>0</v>
      </c>
      <c r="K381" t="n">
        <v>0</v>
      </c>
      <c r="L381" t="n">
        <v>0</v>
      </c>
      <c r="M381" t="n">
        <v>0</v>
      </c>
      <c r="N381" t="n">
        <v>0</v>
      </c>
      <c r="O381" t="n">
        <v>0</v>
      </c>
      <c r="P381" t="n">
        <v>0</v>
      </c>
      <c r="Q381" t="n">
        <v>0</v>
      </c>
      <c r="R381" s="2" t="inlineStr"/>
    </row>
    <row r="382" ht="15" customHeight="1">
      <c r="A382" t="inlineStr">
        <is>
          <t>A 44412-2022</t>
        </is>
      </c>
      <c r="B382" s="1" t="n">
        <v>44839.92626157407</v>
      </c>
      <c r="C382" s="1" t="n">
        <v>45926</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20807-2021</t>
        </is>
      </c>
      <c r="B383" s="1" t="n">
        <v>44316.93965277778</v>
      </c>
      <c r="C383" s="1" t="n">
        <v>45926</v>
      </c>
      <c r="D383" t="inlineStr">
        <is>
          <t>VÄSTERNORRLANDS LÄN</t>
        </is>
      </c>
      <c r="E383" t="inlineStr">
        <is>
          <t>ÅNGE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17594-2021</t>
        </is>
      </c>
      <c r="B384" s="1" t="n">
        <v>44299</v>
      </c>
      <c r="C384" s="1" t="n">
        <v>45926</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70893-2021</t>
        </is>
      </c>
      <c r="B385" s="1" t="n">
        <v>44538</v>
      </c>
      <c r="C385" s="1" t="n">
        <v>45926</v>
      </c>
      <c r="D385" t="inlineStr">
        <is>
          <t>VÄSTERNORRLANDS LÄN</t>
        </is>
      </c>
      <c r="E385" t="inlineStr">
        <is>
          <t>ÅNGE</t>
        </is>
      </c>
      <c r="G385" t="n">
        <v>6.2</v>
      </c>
      <c r="H385" t="n">
        <v>0</v>
      </c>
      <c r="I385" t="n">
        <v>0</v>
      </c>
      <c r="J385" t="n">
        <v>0</v>
      </c>
      <c r="K385" t="n">
        <v>0</v>
      </c>
      <c r="L385" t="n">
        <v>0</v>
      </c>
      <c r="M385" t="n">
        <v>0</v>
      </c>
      <c r="N385" t="n">
        <v>0</v>
      </c>
      <c r="O385" t="n">
        <v>0</v>
      </c>
      <c r="P385" t="n">
        <v>0</v>
      </c>
      <c r="Q385" t="n">
        <v>0</v>
      </c>
      <c r="R385" s="2" t="inlineStr"/>
    </row>
    <row r="386" ht="15" customHeight="1">
      <c r="A386" t="inlineStr">
        <is>
          <t>A 19829-2025</t>
        </is>
      </c>
      <c r="B386" s="1" t="n">
        <v>45771.46944444445</v>
      </c>
      <c r="C386" s="1" t="n">
        <v>45926</v>
      </c>
      <c r="D386" t="inlineStr">
        <is>
          <t>VÄSTERNORRLANDS LÄN</t>
        </is>
      </c>
      <c r="E386" t="inlineStr">
        <is>
          <t>ÅNGE</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16362-2023</t>
        </is>
      </c>
      <c r="B387" s="1" t="n">
        <v>45028.9250462963</v>
      </c>
      <c r="C387" s="1" t="n">
        <v>45926</v>
      </c>
      <c r="D387" t="inlineStr">
        <is>
          <t>VÄSTERNORRLANDS LÄN</t>
        </is>
      </c>
      <c r="E387" t="inlineStr">
        <is>
          <t>ÅNGE</t>
        </is>
      </c>
      <c r="G387" t="n">
        <v>4.8</v>
      </c>
      <c r="H387" t="n">
        <v>0</v>
      </c>
      <c r="I387" t="n">
        <v>0</v>
      </c>
      <c r="J387" t="n">
        <v>0</v>
      </c>
      <c r="K387" t="n">
        <v>0</v>
      </c>
      <c r="L387" t="n">
        <v>0</v>
      </c>
      <c r="M387" t="n">
        <v>0</v>
      </c>
      <c r="N387" t="n">
        <v>0</v>
      </c>
      <c r="O387" t="n">
        <v>0</v>
      </c>
      <c r="P387" t="n">
        <v>0</v>
      </c>
      <c r="Q387" t="n">
        <v>0</v>
      </c>
      <c r="R387" s="2" t="inlineStr"/>
    </row>
    <row r="388" ht="15" customHeight="1">
      <c r="A388" t="inlineStr">
        <is>
          <t>A 16657-2025</t>
        </is>
      </c>
      <c r="B388" s="1" t="n">
        <v>45754.40700231482</v>
      </c>
      <c r="C388" s="1" t="n">
        <v>45926</v>
      </c>
      <c r="D388" t="inlineStr">
        <is>
          <t>VÄSTERNORRLANDS LÄN</t>
        </is>
      </c>
      <c r="E388" t="inlineStr">
        <is>
          <t>ÅNGE</t>
        </is>
      </c>
      <c r="F388" t="inlineStr">
        <is>
          <t>SCA</t>
        </is>
      </c>
      <c r="G388" t="n">
        <v>5.1</v>
      </c>
      <c r="H388" t="n">
        <v>0</v>
      </c>
      <c r="I388" t="n">
        <v>0</v>
      </c>
      <c r="J388" t="n">
        <v>0</v>
      </c>
      <c r="K388" t="n">
        <v>0</v>
      </c>
      <c r="L388" t="n">
        <v>0</v>
      </c>
      <c r="M388" t="n">
        <v>0</v>
      </c>
      <c r="N388" t="n">
        <v>0</v>
      </c>
      <c r="O388" t="n">
        <v>0</v>
      </c>
      <c r="P388" t="n">
        <v>0</v>
      </c>
      <c r="Q388" t="n">
        <v>0</v>
      </c>
      <c r="R388" s="2" t="inlineStr"/>
    </row>
    <row r="389" ht="15" customHeight="1">
      <c r="A389" t="inlineStr">
        <is>
          <t>A 63709-2023</t>
        </is>
      </c>
      <c r="B389" s="1" t="n">
        <v>45275.95069444444</v>
      </c>
      <c r="C389" s="1" t="n">
        <v>45926</v>
      </c>
      <c r="D389" t="inlineStr">
        <is>
          <t>VÄSTERNORRLANDS LÄN</t>
        </is>
      </c>
      <c r="E389" t="inlineStr">
        <is>
          <t>ÅNGE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30353-2024</t>
        </is>
      </c>
      <c r="B390" s="1" t="n">
        <v>45490.95567129629</v>
      </c>
      <c r="C390" s="1" t="n">
        <v>45926</v>
      </c>
      <c r="D390" t="inlineStr">
        <is>
          <t>VÄSTERNORRLANDS LÄN</t>
        </is>
      </c>
      <c r="E390" t="inlineStr">
        <is>
          <t>ÅNGE</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4187-2025</t>
        </is>
      </c>
      <c r="B391" s="1" t="n">
        <v>45685.44842592593</v>
      </c>
      <c r="C391" s="1" t="n">
        <v>45926</v>
      </c>
      <c r="D391" t="inlineStr">
        <is>
          <t>VÄSTERNORRLANDS LÄN</t>
        </is>
      </c>
      <c r="E391" t="inlineStr">
        <is>
          <t>ÅNGE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58929-2024</t>
        </is>
      </c>
      <c r="B392" s="1" t="n">
        <v>45636.51090277778</v>
      </c>
      <c r="C392" s="1" t="n">
        <v>45926</v>
      </c>
      <c r="D392" t="inlineStr">
        <is>
          <t>VÄSTERNORRLANDS LÄN</t>
        </is>
      </c>
      <c r="E392" t="inlineStr">
        <is>
          <t>ÅNGE</t>
        </is>
      </c>
      <c r="F392" t="inlineStr">
        <is>
          <t>SCA</t>
        </is>
      </c>
      <c r="G392" t="n">
        <v>3.9</v>
      </c>
      <c r="H392" t="n">
        <v>0</v>
      </c>
      <c r="I392" t="n">
        <v>0</v>
      </c>
      <c r="J392" t="n">
        <v>0</v>
      </c>
      <c r="K392" t="n">
        <v>0</v>
      </c>
      <c r="L392" t="n">
        <v>0</v>
      </c>
      <c r="M392" t="n">
        <v>0</v>
      </c>
      <c r="N392" t="n">
        <v>0</v>
      </c>
      <c r="O392" t="n">
        <v>0</v>
      </c>
      <c r="P392" t="n">
        <v>0</v>
      </c>
      <c r="Q392" t="n">
        <v>0</v>
      </c>
      <c r="R392" s="2" t="inlineStr"/>
    </row>
    <row r="393" ht="15" customHeight="1">
      <c r="A393" t="inlineStr">
        <is>
          <t>A 42100-2023</t>
        </is>
      </c>
      <c r="B393" s="1" t="n">
        <v>45174</v>
      </c>
      <c r="C393" s="1" t="n">
        <v>45926</v>
      </c>
      <c r="D393" t="inlineStr">
        <is>
          <t>VÄSTERNORRLANDS LÄN</t>
        </is>
      </c>
      <c r="E393" t="inlineStr">
        <is>
          <t>ÅNGE</t>
        </is>
      </c>
      <c r="G393" t="n">
        <v>0.6</v>
      </c>
      <c r="H393" t="n">
        <v>0</v>
      </c>
      <c r="I393" t="n">
        <v>0</v>
      </c>
      <c r="J393" t="n">
        <v>0</v>
      </c>
      <c r="K393" t="n">
        <v>0</v>
      </c>
      <c r="L393" t="n">
        <v>0</v>
      </c>
      <c r="M393" t="n">
        <v>0</v>
      </c>
      <c r="N393" t="n">
        <v>0</v>
      </c>
      <c r="O393" t="n">
        <v>0</v>
      </c>
      <c r="P393" t="n">
        <v>0</v>
      </c>
      <c r="Q393" t="n">
        <v>0</v>
      </c>
      <c r="R393" s="2" t="inlineStr"/>
    </row>
    <row r="394" ht="15" customHeight="1">
      <c r="A394" t="inlineStr">
        <is>
          <t>A 39973-2023</t>
        </is>
      </c>
      <c r="B394" s="1" t="n">
        <v>45168.5858912037</v>
      </c>
      <c r="C394" s="1" t="n">
        <v>45926</v>
      </c>
      <c r="D394" t="inlineStr">
        <is>
          <t>VÄSTERNORRLANDS LÄN</t>
        </is>
      </c>
      <c r="E394" t="inlineStr">
        <is>
          <t>ÅNGE</t>
        </is>
      </c>
      <c r="G394" t="n">
        <v>3.6</v>
      </c>
      <c r="H394" t="n">
        <v>0</v>
      </c>
      <c r="I394" t="n">
        <v>0</v>
      </c>
      <c r="J394" t="n">
        <v>0</v>
      </c>
      <c r="K394" t="n">
        <v>0</v>
      </c>
      <c r="L394" t="n">
        <v>0</v>
      </c>
      <c r="M394" t="n">
        <v>0</v>
      </c>
      <c r="N394" t="n">
        <v>0</v>
      </c>
      <c r="O394" t="n">
        <v>0</v>
      </c>
      <c r="P394" t="n">
        <v>0</v>
      </c>
      <c r="Q394" t="n">
        <v>0</v>
      </c>
      <c r="R394" s="2" t="inlineStr"/>
    </row>
    <row r="395" ht="15" customHeight="1">
      <c r="A395" t="inlineStr">
        <is>
          <t>A 33747-2024</t>
        </is>
      </c>
      <c r="B395" s="1" t="n">
        <v>45520</v>
      </c>
      <c r="C395" s="1" t="n">
        <v>45926</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2365-2024</t>
        </is>
      </c>
      <c r="B396" s="1" t="n">
        <v>45310.59778935185</v>
      </c>
      <c r="C396" s="1" t="n">
        <v>45926</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2372-2024</t>
        </is>
      </c>
      <c r="B397" s="1" t="n">
        <v>45310.6115625</v>
      </c>
      <c r="C397" s="1" t="n">
        <v>45926</v>
      </c>
      <c r="D397" t="inlineStr">
        <is>
          <t>VÄSTERNORRLANDS LÄN</t>
        </is>
      </c>
      <c r="E397" t="inlineStr">
        <is>
          <t>ÅNGE</t>
        </is>
      </c>
      <c r="G397" t="n">
        <v>5.6</v>
      </c>
      <c r="H397" t="n">
        <v>0</v>
      </c>
      <c r="I397" t="n">
        <v>0</v>
      </c>
      <c r="J397" t="n">
        <v>0</v>
      </c>
      <c r="K397" t="n">
        <v>0</v>
      </c>
      <c r="L397" t="n">
        <v>0</v>
      </c>
      <c r="M397" t="n">
        <v>0</v>
      </c>
      <c r="N397" t="n">
        <v>0</v>
      </c>
      <c r="O397" t="n">
        <v>0</v>
      </c>
      <c r="P397" t="n">
        <v>0</v>
      </c>
      <c r="Q397" t="n">
        <v>0</v>
      </c>
      <c r="R397" s="2" t="inlineStr"/>
    </row>
    <row r="398" ht="15" customHeight="1">
      <c r="A398" t="inlineStr">
        <is>
          <t>A 34851-2023</t>
        </is>
      </c>
      <c r="B398" s="1" t="n">
        <v>45141</v>
      </c>
      <c r="C398" s="1" t="n">
        <v>45926</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113-2025</t>
        </is>
      </c>
      <c r="B399" s="1" t="n">
        <v>45659.5106712963</v>
      </c>
      <c r="C399" s="1" t="n">
        <v>45926</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57271-2024</t>
        </is>
      </c>
      <c r="B400" s="1" t="n">
        <v>45629.57364583333</v>
      </c>
      <c r="C400" s="1" t="n">
        <v>45926</v>
      </c>
      <c r="D400" t="inlineStr">
        <is>
          <t>VÄSTERNORRLANDS LÄN</t>
        </is>
      </c>
      <c r="E400" t="inlineStr">
        <is>
          <t>ÅNGE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27002-2023</t>
        </is>
      </c>
      <c r="B401" s="1" t="n">
        <v>45093</v>
      </c>
      <c r="C401" s="1" t="n">
        <v>45926</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20717-2025</t>
        </is>
      </c>
      <c r="B402" s="1" t="n">
        <v>45776.49040509259</v>
      </c>
      <c r="C402" s="1" t="n">
        <v>45926</v>
      </c>
      <c r="D402" t="inlineStr">
        <is>
          <t>VÄSTERNORRLANDS LÄN</t>
        </is>
      </c>
      <c r="E402" t="inlineStr">
        <is>
          <t>ÅNGE</t>
        </is>
      </c>
      <c r="F402" t="inlineStr">
        <is>
          <t>SCA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9480-2022</t>
        </is>
      </c>
      <c r="B403" s="1" t="n">
        <v>44616</v>
      </c>
      <c r="C403" s="1" t="n">
        <v>45926</v>
      </c>
      <c r="D403" t="inlineStr">
        <is>
          <t>VÄSTERNORRLANDS LÄN</t>
        </is>
      </c>
      <c r="E403" t="inlineStr">
        <is>
          <t>ÅNGE</t>
        </is>
      </c>
      <c r="G403" t="n">
        <v>0.3</v>
      </c>
      <c r="H403" t="n">
        <v>0</v>
      </c>
      <c r="I403" t="n">
        <v>0</v>
      </c>
      <c r="J403" t="n">
        <v>0</v>
      </c>
      <c r="K403" t="n">
        <v>0</v>
      </c>
      <c r="L403" t="n">
        <v>0</v>
      </c>
      <c r="M403" t="n">
        <v>0</v>
      </c>
      <c r="N403" t="n">
        <v>0</v>
      </c>
      <c r="O403" t="n">
        <v>0</v>
      </c>
      <c r="P403" t="n">
        <v>0</v>
      </c>
      <c r="Q403" t="n">
        <v>0</v>
      </c>
      <c r="R403" s="2" t="inlineStr"/>
    </row>
    <row r="404" ht="15" customHeight="1">
      <c r="A404" t="inlineStr">
        <is>
          <t>A 37503-2023</t>
        </is>
      </c>
      <c r="B404" s="1" t="n">
        <v>45157.5796875</v>
      </c>
      <c r="C404" s="1" t="n">
        <v>45926</v>
      </c>
      <c r="D404" t="inlineStr">
        <is>
          <t>VÄSTERNORRLANDS LÄN</t>
        </is>
      </c>
      <c r="E404" t="inlineStr">
        <is>
          <t>ÅNGE</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21068-2025</t>
        </is>
      </c>
      <c r="B405" s="1" t="n">
        <v>45777.59413194445</v>
      </c>
      <c r="C405" s="1" t="n">
        <v>45926</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51124-2024</t>
        </is>
      </c>
      <c r="B406" s="1" t="n">
        <v>45603.50716435185</v>
      </c>
      <c r="C406" s="1" t="n">
        <v>45926</v>
      </c>
      <c r="D406" t="inlineStr">
        <is>
          <t>VÄSTERNORRLANDS LÄN</t>
        </is>
      </c>
      <c r="E406" t="inlineStr">
        <is>
          <t>ÅNGE</t>
        </is>
      </c>
      <c r="G406" t="n">
        <v>0.6</v>
      </c>
      <c r="H406" t="n">
        <v>0</v>
      </c>
      <c r="I406" t="n">
        <v>0</v>
      </c>
      <c r="J406" t="n">
        <v>0</v>
      </c>
      <c r="K406" t="n">
        <v>0</v>
      </c>
      <c r="L406" t="n">
        <v>0</v>
      </c>
      <c r="M406" t="n">
        <v>0</v>
      </c>
      <c r="N406" t="n">
        <v>0</v>
      </c>
      <c r="O406" t="n">
        <v>0</v>
      </c>
      <c r="P406" t="n">
        <v>0</v>
      </c>
      <c r="Q406" t="n">
        <v>0</v>
      </c>
      <c r="R406" s="2" t="inlineStr"/>
    </row>
    <row r="407" ht="15" customHeight="1">
      <c r="A407" t="inlineStr">
        <is>
          <t>A 20864-2025</t>
        </is>
      </c>
      <c r="B407" s="1" t="n">
        <v>45777.34417824074</v>
      </c>
      <c r="C407" s="1" t="n">
        <v>45926</v>
      </c>
      <c r="D407" t="inlineStr">
        <is>
          <t>VÄSTERNORRLANDS LÄN</t>
        </is>
      </c>
      <c r="E407" t="inlineStr">
        <is>
          <t>ÅNGE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20868-2025</t>
        </is>
      </c>
      <c r="B408" s="1" t="n">
        <v>45777.34483796296</v>
      </c>
      <c r="C408" s="1" t="n">
        <v>45926</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20718-2025</t>
        </is>
      </c>
      <c r="B409" s="1" t="n">
        <v>45776.49047453704</v>
      </c>
      <c r="C409" s="1" t="n">
        <v>45926</v>
      </c>
      <c r="D409" t="inlineStr">
        <is>
          <t>VÄSTERNORRLANDS LÄN</t>
        </is>
      </c>
      <c r="E409" t="inlineStr">
        <is>
          <t>ÅNGE</t>
        </is>
      </c>
      <c r="G409" t="n">
        <v>4.7</v>
      </c>
      <c r="H409" t="n">
        <v>0</v>
      </c>
      <c r="I409" t="n">
        <v>0</v>
      </c>
      <c r="J409" t="n">
        <v>0</v>
      </c>
      <c r="K409" t="n">
        <v>0</v>
      </c>
      <c r="L409" t="n">
        <v>0</v>
      </c>
      <c r="M409" t="n">
        <v>0</v>
      </c>
      <c r="N409" t="n">
        <v>0</v>
      </c>
      <c r="O409" t="n">
        <v>0</v>
      </c>
      <c r="P409" t="n">
        <v>0</v>
      </c>
      <c r="Q409" t="n">
        <v>0</v>
      </c>
      <c r="R409" s="2" t="inlineStr"/>
    </row>
    <row r="410" ht="15" customHeight="1">
      <c r="A410" t="inlineStr">
        <is>
          <t>A 54946-2021</t>
        </is>
      </c>
      <c r="B410" s="1" t="n">
        <v>44474.46466435185</v>
      </c>
      <c r="C410" s="1" t="n">
        <v>45926</v>
      </c>
      <c r="D410" t="inlineStr">
        <is>
          <t>VÄSTERNORRLANDS LÄN</t>
        </is>
      </c>
      <c r="E410" t="inlineStr">
        <is>
          <t>ÅNGE</t>
        </is>
      </c>
      <c r="G410" t="n">
        <v>5.4</v>
      </c>
      <c r="H410" t="n">
        <v>0</v>
      </c>
      <c r="I410" t="n">
        <v>0</v>
      </c>
      <c r="J410" t="n">
        <v>0</v>
      </c>
      <c r="K410" t="n">
        <v>0</v>
      </c>
      <c r="L410" t="n">
        <v>0</v>
      </c>
      <c r="M410" t="n">
        <v>0</v>
      </c>
      <c r="N410" t="n">
        <v>0</v>
      </c>
      <c r="O410" t="n">
        <v>0</v>
      </c>
      <c r="P410" t="n">
        <v>0</v>
      </c>
      <c r="Q410" t="n">
        <v>0</v>
      </c>
      <c r="R410" s="2" t="inlineStr"/>
    </row>
    <row r="411" ht="15" customHeight="1">
      <c r="A411" t="inlineStr">
        <is>
          <t>A 38960-2021</t>
        </is>
      </c>
      <c r="B411" s="1" t="n">
        <v>44411</v>
      </c>
      <c r="C411" s="1" t="n">
        <v>45926</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20776-2025</t>
        </is>
      </c>
      <c r="B412" s="1" t="n">
        <v>45776.59410879629</v>
      </c>
      <c r="C412" s="1" t="n">
        <v>45926</v>
      </c>
      <c r="D412" t="inlineStr">
        <is>
          <t>VÄSTERNORRLANDS LÄN</t>
        </is>
      </c>
      <c r="E412" t="inlineStr">
        <is>
          <t>ÅNGE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51377-2024</t>
        </is>
      </c>
      <c r="B413" s="1" t="n">
        <v>45604.38142361111</v>
      </c>
      <c r="C413" s="1" t="n">
        <v>45926</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44876-2024</t>
        </is>
      </c>
      <c r="B414" s="1" t="n">
        <v>45575.34474537037</v>
      </c>
      <c r="C414" s="1" t="n">
        <v>45926</v>
      </c>
      <c r="D414" t="inlineStr">
        <is>
          <t>VÄSTERNORRLANDS LÄN</t>
        </is>
      </c>
      <c r="E414" t="inlineStr">
        <is>
          <t>ÅNGE</t>
        </is>
      </c>
      <c r="F414" t="inlineStr">
        <is>
          <t>SCA</t>
        </is>
      </c>
      <c r="G414" t="n">
        <v>12.4</v>
      </c>
      <c r="H414" t="n">
        <v>0</v>
      </c>
      <c r="I414" t="n">
        <v>0</v>
      </c>
      <c r="J414" t="n">
        <v>0</v>
      </c>
      <c r="K414" t="n">
        <v>0</v>
      </c>
      <c r="L414" t="n">
        <v>0</v>
      </c>
      <c r="M414" t="n">
        <v>0</v>
      </c>
      <c r="N414" t="n">
        <v>0</v>
      </c>
      <c r="O414" t="n">
        <v>0</v>
      </c>
      <c r="P414" t="n">
        <v>0</v>
      </c>
      <c r="Q414" t="n">
        <v>0</v>
      </c>
      <c r="R414" s="2" t="inlineStr"/>
    </row>
    <row r="415" ht="15" customHeight="1">
      <c r="A415" t="inlineStr">
        <is>
          <t>A 20716-2025</t>
        </is>
      </c>
      <c r="B415" s="1" t="n">
        <v>45776.49026620371</v>
      </c>
      <c r="C415" s="1" t="n">
        <v>45926</v>
      </c>
      <c r="D415" t="inlineStr">
        <is>
          <t>VÄSTERNORRLANDS LÄN</t>
        </is>
      </c>
      <c r="E415" t="inlineStr">
        <is>
          <t>ÅNGE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20229-2022</t>
        </is>
      </c>
      <c r="B416" s="1" t="n">
        <v>44698.61150462963</v>
      </c>
      <c r="C416" s="1" t="n">
        <v>45926</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14097-2022</t>
        </is>
      </c>
      <c r="B417" s="1" t="n">
        <v>44651</v>
      </c>
      <c r="C417" s="1" t="n">
        <v>45926</v>
      </c>
      <c r="D417" t="inlineStr">
        <is>
          <t>VÄSTERNORRLANDS LÄN</t>
        </is>
      </c>
      <c r="E417" t="inlineStr">
        <is>
          <t>ÅNGE</t>
        </is>
      </c>
      <c r="G417" t="n">
        <v>1.4</v>
      </c>
      <c r="H417" t="n">
        <v>0</v>
      </c>
      <c r="I417" t="n">
        <v>0</v>
      </c>
      <c r="J417" t="n">
        <v>0</v>
      </c>
      <c r="K417" t="n">
        <v>0</v>
      </c>
      <c r="L417" t="n">
        <v>0</v>
      </c>
      <c r="M417" t="n">
        <v>0</v>
      </c>
      <c r="N417" t="n">
        <v>0</v>
      </c>
      <c r="O417" t="n">
        <v>0</v>
      </c>
      <c r="P417" t="n">
        <v>0</v>
      </c>
      <c r="Q417" t="n">
        <v>0</v>
      </c>
      <c r="R417" s="2" t="inlineStr"/>
    </row>
    <row r="418" ht="15" customHeight="1">
      <c r="A418" t="inlineStr">
        <is>
          <t>A 45027-2023</t>
        </is>
      </c>
      <c r="B418" s="1" t="n">
        <v>45190.96303240741</v>
      </c>
      <c r="C418" s="1" t="n">
        <v>45926</v>
      </c>
      <c r="D418" t="inlineStr">
        <is>
          <t>VÄSTERNORRLANDS LÄN</t>
        </is>
      </c>
      <c r="E418" t="inlineStr">
        <is>
          <t>ÅNGE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21174-2025</t>
        </is>
      </c>
      <c r="B419" s="1" t="n">
        <v>45779.42746527777</v>
      </c>
      <c r="C419" s="1" t="n">
        <v>45926</v>
      </c>
      <c r="D419" t="inlineStr">
        <is>
          <t>VÄSTERNORRLANDS LÄN</t>
        </is>
      </c>
      <c r="E419" t="inlineStr">
        <is>
          <t>ÅNGE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32901-2023</t>
        </is>
      </c>
      <c r="B420" s="1" t="n">
        <v>45124.95063657407</v>
      </c>
      <c r="C420" s="1" t="n">
        <v>45926</v>
      </c>
      <c r="D420" t="inlineStr">
        <is>
          <t>VÄSTERNORRLANDS LÄN</t>
        </is>
      </c>
      <c r="E420" t="inlineStr">
        <is>
          <t>ÅNGE</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21197-2025</t>
        </is>
      </c>
      <c r="B421" s="1" t="n">
        <v>45779.46949074074</v>
      </c>
      <c r="C421" s="1" t="n">
        <v>45926</v>
      </c>
      <c r="D421" t="inlineStr">
        <is>
          <t>VÄSTERNORRLANDS LÄN</t>
        </is>
      </c>
      <c r="E421" t="inlineStr">
        <is>
          <t>ÅNGE</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45030-2024</t>
        </is>
      </c>
      <c r="B422" s="1" t="n">
        <v>45575.52089120371</v>
      </c>
      <c r="C422" s="1" t="n">
        <v>45926</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15603-2024</t>
        </is>
      </c>
      <c r="B423" s="1" t="n">
        <v>45401.92501157407</v>
      </c>
      <c r="C423" s="1" t="n">
        <v>45926</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21263-2025</t>
        </is>
      </c>
      <c r="B424" s="1" t="n">
        <v>45779.61233796296</v>
      </c>
      <c r="C424" s="1" t="n">
        <v>45926</v>
      </c>
      <c r="D424" t="inlineStr">
        <is>
          <t>VÄSTERNORRLANDS LÄN</t>
        </is>
      </c>
      <c r="E424" t="inlineStr">
        <is>
          <t>ÅNGE</t>
        </is>
      </c>
      <c r="F424" t="inlineStr">
        <is>
          <t>Sveaskog</t>
        </is>
      </c>
      <c r="G424" t="n">
        <v>14.9</v>
      </c>
      <c r="H424" t="n">
        <v>0</v>
      </c>
      <c r="I424" t="n">
        <v>0</v>
      </c>
      <c r="J424" t="n">
        <v>0</v>
      </c>
      <c r="K424" t="n">
        <v>0</v>
      </c>
      <c r="L424" t="n">
        <v>0</v>
      </c>
      <c r="M424" t="n">
        <v>0</v>
      </c>
      <c r="N424" t="n">
        <v>0</v>
      </c>
      <c r="O424" t="n">
        <v>0</v>
      </c>
      <c r="P424" t="n">
        <v>0</v>
      </c>
      <c r="Q424" t="n">
        <v>0</v>
      </c>
      <c r="R424" s="2" t="inlineStr"/>
    </row>
    <row r="425" ht="15" customHeight="1">
      <c r="A425" t="inlineStr">
        <is>
          <t>A 21251-2025</t>
        </is>
      </c>
      <c r="B425" s="1" t="n">
        <v>45779.57417824074</v>
      </c>
      <c r="C425" s="1" t="n">
        <v>45926</v>
      </c>
      <c r="D425" t="inlineStr">
        <is>
          <t>VÄSTERNORRLANDS LÄN</t>
        </is>
      </c>
      <c r="E425" t="inlineStr">
        <is>
          <t>ÅNGE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21176-2025</t>
        </is>
      </c>
      <c r="B426" s="1" t="n">
        <v>45779.42798611111</v>
      </c>
      <c r="C426" s="1" t="n">
        <v>45926</v>
      </c>
      <c r="D426" t="inlineStr">
        <is>
          <t>VÄSTERNORRLANDS LÄN</t>
        </is>
      </c>
      <c r="E426" t="inlineStr">
        <is>
          <t>ÅNGE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24231-2024</t>
        </is>
      </c>
      <c r="B427" s="1" t="n">
        <v>45457.34393518518</v>
      </c>
      <c r="C427" s="1" t="n">
        <v>45926</v>
      </c>
      <c r="D427" t="inlineStr">
        <is>
          <t>VÄSTERNORRLANDS LÄN</t>
        </is>
      </c>
      <c r="E427" t="inlineStr">
        <is>
          <t>ÅNGE</t>
        </is>
      </c>
      <c r="F427" t="inlineStr">
        <is>
          <t>Sveaskog</t>
        </is>
      </c>
      <c r="G427" t="n">
        <v>7</v>
      </c>
      <c r="H427" t="n">
        <v>0</v>
      </c>
      <c r="I427" t="n">
        <v>0</v>
      </c>
      <c r="J427" t="n">
        <v>0</v>
      </c>
      <c r="K427" t="n">
        <v>0</v>
      </c>
      <c r="L427" t="n">
        <v>0</v>
      </c>
      <c r="M427" t="n">
        <v>0</v>
      </c>
      <c r="N427" t="n">
        <v>0</v>
      </c>
      <c r="O427" t="n">
        <v>0</v>
      </c>
      <c r="P427" t="n">
        <v>0</v>
      </c>
      <c r="Q427" t="n">
        <v>0</v>
      </c>
      <c r="R427" s="2" t="inlineStr"/>
    </row>
    <row r="428" ht="15" customHeight="1">
      <c r="A428" t="inlineStr">
        <is>
          <t>A 36290-2023</t>
        </is>
      </c>
      <c r="B428" s="1" t="n">
        <v>45152.35467592593</v>
      </c>
      <c r="C428" s="1" t="n">
        <v>45926</v>
      </c>
      <c r="D428" t="inlineStr">
        <is>
          <t>VÄSTERNORRLANDS LÄN</t>
        </is>
      </c>
      <c r="E428" t="inlineStr">
        <is>
          <t>ÅNGE</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21741-2025</t>
        </is>
      </c>
      <c r="B429" s="1" t="n">
        <v>45783.59415509259</v>
      </c>
      <c r="C429" s="1" t="n">
        <v>45926</v>
      </c>
      <c r="D429" t="inlineStr">
        <is>
          <t>VÄSTERNORRLANDS LÄN</t>
        </is>
      </c>
      <c r="E429" t="inlineStr">
        <is>
          <t>ÅNGE</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21685-2025</t>
        </is>
      </c>
      <c r="B430" s="1" t="n">
        <v>45783.49050925926</v>
      </c>
      <c r="C430" s="1" t="n">
        <v>45926</v>
      </c>
      <c r="D430" t="inlineStr">
        <is>
          <t>VÄSTERNORRLANDS LÄN</t>
        </is>
      </c>
      <c r="E430" t="inlineStr">
        <is>
          <t>ÅNGE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50640-2022</t>
        </is>
      </c>
      <c r="B431" s="1" t="n">
        <v>44866.94734953704</v>
      </c>
      <c r="C431" s="1" t="n">
        <v>45926</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21597-2025</t>
        </is>
      </c>
      <c r="B432" s="1" t="n">
        <v>45783.34493055556</v>
      </c>
      <c r="C432" s="1" t="n">
        <v>45926</v>
      </c>
      <c r="D432" t="inlineStr">
        <is>
          <t>VÄSTERNORRLANDS LÄN</t>
        </is>
      </c>
      <c r="E432" t="inlineStr">
        <is>
          <t>ÅNGE</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17669-2023</t>
        </is>
      </c>
      <c r="B433" s="1" t="n">
        <v>45036.94457175926</v>
      </c>
      <c r="C433" s="1" t="n">
        <v>45926</v>
      </c>
      <c r="D433" t="inlineStr">
        <is>
          <t>VÄSTERNORRLANDS LÄN</t>
        </is>
      </c>
      <c r="E433" t="inlineStr">
        <is>
          <t>ÅNGE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21791-2025</t>
        </is>
      </c>
      <c r="B434" s="1" t="n">
        <v>45783.67771990741</v>
      </c>
      <c r="C434" s="1" t="n">
        <v>45926</v>
      </c>
      <c r="D434" t="inlineStr">
        <is>
          <t>VÄSTERNORRLANDS LÄN</t>
        </is>
      </c>
      <c r="E434" t="inlineStr">
        <is>
          <t>ÅNGE</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25867-2024</t>
        </is>
      </c>
      <c r="B435" s="1" t="n">
        <v>45463</v>
      </c>
      <c r="C435" s="1" t="n">
        <v>45926</v>
      </c>
      <c r="D435" t="inlineStr">
        <is>
          <t>VÄSTERNORRLANDS LÄN</t>
        </is>
      </c>
      <c r="E435" t="inlineStr">
        <is>
          <t>ÅNGE</t>
        </is>
      </c>
      <c r="G435" t="n">
        <v>2.7</v>
      </c>
      <c r="H435" t="n">
        <v>0</v>
      </c>
      <c r="I435" t="n">
        <v>0</v>
      </c>
      <c r="J435" t="n">
        <v>0</v>
      </c>
      <c r="K435" t="n">
        <v>0</v>
      </c>
      <c r="L435" t="n">
        <v>0</v>
      </c>
      <c r="M435" t="n">
        <v>0</v>
      </c>
      <c r="N435" t="n">
        <v>0</v>
      </c>
      <c r="O435" t="n">
        <v>0</v>
      </c>
      <c r="P435" t="n">
        <v>0</v>
      </c>
      <c r="Q435" t="n">
        <v>0</v>
      </c>
      <c r="R435" s="2" t="inlineStr"/>
    </row>
    <row r="436" ht="15" customHeight="1">
      <c r="A436" t="inlineStr">
        <is>
          <t>A 2539-2025</t>
        </is>
      </c>
      <c r="B436" s="1" t="n">
        <v>45674.61581018518</v>
      </c>
      <c r="C436" s="1" t="n">
        <v>45926</v>
      </c>
      <c r="D436" t="inlineStr">
        <is>
          <t>VÄSTERNORRLANDS LÄN</t>
        </is>
      </c>
      <c r="E436" t="inlineStr">
        <is>
          <t>ÅNGE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21454-2025</t>
        </is>
      </c>
      <c r="B437" s="1" t="n">
        <v>45782.55322916667</v>
      </c>
      <c r="C437" s="1" t="n">
        <v>45926</v>
      </c>
      <c r="D437" t="inlineStr">
        <is>
          <t>VÄSTERNORRLANDS LÄN</t>
        </is>
      </c>
      <c r="E437" t="inlineStr">
        <is>
          <t>ÅNGE</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21686-2025</t>
        </is>
      </c>
      <c r="B438" s="1" t="n">
        <v>45783.490625</v>
      </c>
      <c r="C438" s="1" t="n">
        <v>45926</v>
      </c>
      <c r="D438" t="inlineStr">
        <is>
          <t>VÄSTERNORRLANDS LÄN</t>
        </is>
      </c>
      <c r="E438" t="inlineStr">
        <is>
          <t>ÅNGE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54295-2024</t>
        </is>
      </c>
      <c r="B439" s="1" t="n">
        <v>45617</v>
      </c>
      <c r="C439" s="1" t="n">
        <v>45926</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30273-2023</t>
        </is>
      </c>
      <c r="B440" s="1" t="n">
        <v>45099</v>
      </c>
      <c r="C440" s="1" t="n">
        <v>45926</v>
      </c>
      <c r="D440" t="inlineStr">
        <is>
          <t>VÄSTERNORRLANDS LÄN</t>
        </is>
      </c>
      <c r="E440" t="inlineStr">
        <is>
          <t>ÅNGE</t>
        </is>
      </c>
      <c r="G440" t="n">
        <v>3.9</v>
      </c>
      <c r="H440" t="n">
        <v>0</v>
      </c>
      <c r="I440" t="n">
        <v>0</v>
      </c>
      <c r="J440" t="n">
        <v>0</v>
      </c>
      <c r="K440" t="n">
        <v>0</v>
      </c>
      <c r="L440" t="n">
        <v>0</v>
      </c>
      <c r="M440" t="n">
        <v>0</v>
      </c>
      <c r="N440" t="n">
        <v>0</v>
      </c>
      <c r="O440" t="n">
        <v>0</v>
      </c>
      <c r="P440" t="n">
        <v>0</v>
      </c>
      <c r="Q440" t="n">
        <v>0</v>
      </c>
      <c r="R440" s="2" t="inlineStr"/>
    </row>
    <row r="441" ht="15" customHeight="1">
      <c r="A441" t="inlineStr">
        <is>
          <t>A 29048-2021</t>
        </is>
      </c>
      <c r="B441" s="1" t="n">
        <v>44358</v>
      </c>
      <c r="C441" s="1" t="n">
        <v>45926</v>
      </c>
      <c r="D441" t="inlineStr">
        <is>
          <t>VÄSTERNORRLANDS LÄN</t>
        </is>
      </c>
      <c r="E441" t="inlineStr">
        <is>
          <t>ÅNGE</t>
        </is>
      </c>
      <c r="G441" t="n">
        <v>2.5</v>
      </c>
      <c r="H441" t="n">
        <v>0</v>
      </c>
      <c r="I441" t="n">
        <v>0</v>
      </c>
      <c r="J441" t="n">
        <v>0</v>
      </c>
      <c r="K441" t="n">
        <v>0</v>
      </c>
      <c r="L441" t="n">
        <v>0</v>
      </c>
      <c r="M441" t="n">
        <v>0</v>
      </c>
      <c r="N441" t="n">
        <v>0</v>
      </c>
      <c r="O441" t="n">
        <v>0</v>
      </c>
      <c r="P441" t="n">
        <v>0</v>
      </c>
      <c r="Q441" t="n">
        <v>0</v>
      </c>
      <c r="R441" s="2" t="inlineStr"/>
    </row>
    <row r="442" ht="15" customHeight="1">
      <c r="A442" t="inlineStr">
        <is>
          <t>A 14889-2022</t>
        </is>
      </c>
      <c r="B442" s="1" t="n">
        <v>44656</v>
      </c>
      <c r="C442" s="1" t="n">
        <v>45926</v>
      </c>
      <c r="D442" t="inlineStr">
        <is>
          <t>VÄSTERNORRLANDS LÄN</t>
        </is>
      </c>
      <c r="E442" t="inlineStr">
        <is>
          <t>ÅNGE</t>
        </is>
      </c>
      <c r="G442" t="n">
        <v>14</v>
      </c>
      <c r="H442" t="n">
        <v>0</v>
      </c>
      <c r="I442" t="n">
        <v>0</v>
      </c>
      <c r="J442" t="n">
        <v>0</v>
      </c>
      <c r="K442" t="n">
        <v>0</v>
      </c>
      <c r="L442" t="n">
        <v>0</v>
      </c>
      <c r="M442" t="n">
        <v>0</v>
      </c>
      <c r="N442" t="n">
        <v>0</v>
      </c>
      <c r="O442" t="n">
        <v>0</v>
      </c>
      <c r="P442" t="n">
        <v>0</v>
      </c>
      <c r="Q442" t="n">
        <v>0</v>
      </c>
      <c r="R442" s="2" t="inlineStr"/>
    </row>
    <row r="443" ht="15" customHeight="1">
      <c r="A443" t="inlineStr">
        <is>
          <t>A 21563-2025</t>
        </is>
      </c>
      <c r="B443" s="1" t="n">
        <v>45782.69822916666</v>
      </c>
      <c r="C443" s="1" t="n">
        <v>45926</v>
      </c>
      <c r="D443" t="inlineStr">
        <is>
          <t>VÄSTERNORRLANDS LÄN</t>
        </is>
      </c>
      <c r="E443" t="inlineStr">
        <is>
          <t>ÅNGE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21456-2025</t>
        </is>
      </c>
      <c r="B444" s="1" t="n">
        <v>45782.55342592593</v>
      </c>
      <c r="C444" s="1" t="n">
        <v>45926</v>
      </c>
      <c r="D444" t="inlineStr">
        <is>
          <t>VÄSTERNORRLANDS LÄN</t>
        </is>
      </c>
      <c r="E444" t="inlineStr">
        <is>
          <t>ÅNGE</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21712-2025</t>
        </is>
      </c>
      <c r="B445" s="1" t="n">
        <v>45783.53210648148</v>
      </c>
      <c r="C445" s="1" t="n">
        <v>45926</v>
      </c>
      <c r="D445" t="inlineStr">
        <is>
          <t>VÄSTERNORRLANDS LÄN</t>
        </is>
      </c>
      <c r="E445" t="inlineStr">
        <is>
          <t>ÅNGE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11310-2023</t>
        </is>
      </c>
      <c r="B446" s="1" t="n">
        <v>44993.01190972222</v>
      </c>
      <c r="C446" s="1" t="n">
        <v>45926</v>
      </c>
      <c r="D446" t="inlineStr">
        <is>
          <t>VÄSTERNORRLANDS LÄN</t>
        </is>
      </c>
      <c r="E446" t="inlineStr">
        <is>
          <t>ÅNGE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26640-2024</t>
        </is>
      </c>
      <c r="B447" s="1" t="n">
        <v>45469.92831018518</v>
      </c>
      <c r="C447" s="1" t="n">
        <v>45926</v>
      </c>
      <c r="D447" t="inlineStr">
        <is>
          <t>VÄSTERNORRLANDS LÄN</t>
        </is>
      </c>
      <c r="E447" t="inlineStr">
        <is>
          <t>ÅNGE</t>
        </is>
      </c>
      <c r="G447" t="n">
        <v>9.9</v>
      </c>
      <c r="H447" t="n">
        <v>0</v>
      </c>
      <c r="I447" t="n">
        <v>0</v>
      </c>
      <c r="J447" t="n">
        <v>0</v>
      </c>
      <c r="K447" t="n">
        <v>0</v>
      </c>
      <c r="L447" t="n">
        <v>0</v>
      </c>
      <c r="M447" t="n">
        <v>0</v>
      </c>
      <c r="N447" t="n">
        <v>0</v>
      </c>
      <c r="O447" t="n">
        <v>0</v>
      </c>
      <c r="P447" t="n">
        <v>0</v>
      </c>
      <c r="Q447" t="n">
        <v>0</v>
      </c>
      <c r="R447" s="2" t="inlineStr"/>
    </row>
    <row r="448" ht="15" customHeight="1">
      <c r="A448" t="inlineStr">
        <is>
          <t>A 21409-2022</t>
        </is>
      </c>
      <c r="B448" s="1" t="n">
        <v>44705.9406712963</v>
      </c>
      <c r="C448" s="1" t="n">
        <v>45926</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17044-2023</t>
        </is>
      </c>
      <c r="B449" s="1" t="n">
        <v>45034</v>
      </c>
      <c r="C449" s="1" t="n">
        <v>45926</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48632-2023</t>
        </is>
      </c>
      <c r="B450" s="1" t="n">
        <v>45208.57944444445</v>
      </c>
      <c r="C450" s="1" t="n">
        <v>45926</v>
      </c>
      <c r="D450" t="inlineStr">
        <is>
          <t>VÄSTERNORRLANDS LÄN</t>
        </is>
      </c>
      <c r="E450" t="inlineStr">
        <is>
          <t>ÅNGE</t>
        </is>
      </c>
      <c r="G450" t="n">
        <v>2.2</v>
      </c>
      <c r="H450" t="n">
        <v>0</v>
      </c>
      <c r="I450" t="n">
        <v>0</v>
      </c>
      <c r="J450" t="n">
        <v>0</v>
      </c>
      <c r="K450" t="n">
        <v>0</v>
      </c>
      <c r="L450" t="n">
        <v>0</v>
      </c>
      <c r="M450" t="n">
        <v>0</v>
      </c>
      <c r="N450" t="n">
        <v>0</v>
      </c>
      <c r="O450" t="n">
        <v>0</v>
      </c>
      <c r="P450" t="n">
        <v>0</v>
      </c>
      <c r="Q450" t="n">
        <v>0</v>
      </c>
      <c r="R450" s="2" t="inlineStr"/>
    </row>
    <row r="451" ht="15" customHeight="1">
      <c r="A451" t="inlineStr">
        <is>
          <t>A 39119-2024</t>
        </is>
      </c>
      <c r="B451" s="1" t="n">
        <v>45548.58939814815</v>
      </c>
      <c r="C451" s="1" t="n">
        <v>45926</v>
      </c>
      <c r="D451" t="inlineStr">
        <is>
          <t>VÄSTERNORRLANDS LÄN</t>
        </is>
      </c>
      <c r="E451" t="inlineStr">
        <is>
          <t>ÅNGE</t>
        </is>
      </c>
      <c r="G451" t="n">
        <v>8</v>
      </c>
      <c r="H451" t="n">
        <v>0</v>
      </c>
      <c r="I451" t="n">
        <v>0</v>
      </c>
      <c r="J451" t="n">
        <v>0</v>
      </c>
      <c r="K451" t="n">
        <v>0</v>
      </c>
      <c r="L451" t="n">
        <v>0</v>
      </c>
      <c r="M451" t="n">
        <v>0</v>
      </c>
      <c r="N451" t="n">
        <v>0</v>
      </c>
      <c r="O451" t="n">
        <v>0</v>
      </c>
      <c r="P451" t="n">
        <v>0</v>
      </c>
      <c r="Q451" t="n">
        <v>0</v>
      </c>
      <c r="R451" s="2" t="inlineStr"/>
    </row>
    <row r="452" ht="15" customHeight="1">
      <c r="A452" t="inlineStr">
        <is>
          <t>A 32257-2024</t>
        </is>
      </c>
      <c r="B452" s="1" t="n">
        <v>45511</v>
      </c>
      <c r="C452" s="1" t="n">
        <v>45926</v>
      </c>
      <c r="D452" t="inlineStr">
        <is>
          <t>VÄSTERNORRLANDS LÄN</t>
        </is>
      </c>
      <c r="E452" t="inlineStr">
        <is>
          <t>ÅNGE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20761-2024</t>
        </is>
      </c>
      <c r="B453" s="1" t="n">
        <v>45436</v>
      </c>
      <c r="C453" s="1" t="n">
        <v>45926</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6619-2025</t>
        </is>
      </c>
      <c r="B454" s="1" t="n">
        <v>45700.36541666667</v>
      </c>
      <c r="C454" s="1" t="n">
        <v>45926</v>
      </c>
      <c r="D454" t="inlineStr">
        <is>
          <t>VÄSTERNORRLANDS LÄN</t>
        </is>
      </c>
      <c r="E454" t="inlineStr">
        <is>
          <t>ÅNGE</t>
        </is>
      </c>
      <c r="F454" t="inlineStr">
        <is>
          <t>SCA</t>
        </is>
      </c>
      <c r="G454" t="n">
        <v>10.3</v>
      </c>
      <c r="H454" t="n">
        <v>0</v>
      </c>
      <c r="I454" t="n">
        <v>0</v>
      </c>
      <c r="J454" t="n">
        <v>0</v>
      </c>
      <c r="K454" t="n">
        <v>0</v>
      </c>
      <c r="L454" t="n">
        <v>0</v>
      </c>
      <c r="M454" t="n">
        <v>0</v>
      </c>
      <c r="N454" t="n">
        <v>0</v>
      </c>
      <c r="O454" t="n">
        <v>0</v>
      </c>
      <c r="P454" t="n">
        <v>0</v>
      </c>
      <c r="Q454" t="n">
        <v>0</v>
      </c>
      <c r="R454" s="2" t="inlineStr"/>
    </row>
    <row r="455" ht="15" customHeight="1">
      <c r="A455" t="inlineStr">
        <is>
          <t>A 10087-2023</t>
        </is>
      </c>
      <c r="B455" s="1" t="n">
        <v>44985</v>
      </c>
      <c r="C455" s="1" t="n">
        <v>45926</v>
      </c>
      <c r="D455" t="inlineStr">
        <is>
          <t>VÄSTERNORRLANDS LÄN</t>
        </is>
      </c>
      <c r="E455" t="inlineStr">
        <is>
          <t>ÅNGE</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15288-2025</t>
        </is>
      </c>
      <c r="B456" s="1" t="n">
        <v>45745.34423611111</v>
      </c>
      <c r="C456" s="1" t="n">
        <v>45926</v>
      </c>
      <c r="D456" t="inlineStr">
        <is>
          <t>VÄSTERNORRLANDS LÄN</t>
        </is>
      </c>
      <c r="E456" t="inlineStr">
        <is>
          <t>ÅNGE</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20880-2025</t>
        </is>
      </c>
      <c r="B457" s="1" t="n">
        <v>45777</v>
      </c>
      <c r="C457" s="1" t="n">
        <v>45926</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22219-2025</t>
        </is>
      </c>
      <c r="B458" s="1" t="n">
        <v>45785.65849537037</v>
      </c>
      <c r="C458" s="1" t="n">
        <v>45926</v>
      </c>
      <c r="D458" t="inlineStr">
        <is>
          <t>VÄSTERNORRLANDS LÄN</t>
        </is>
      </c>
      <c r="E458" t="inlineStr">
        <is>
          <t>ÅNGE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17670-2023</t>
        </is>
      </c>
      <c r="B459" s="1" t="n">
        <v>45036</v>
      </c>
      <c r="C459" s="1" t="n">
        <v>45926</v>
      </c>
      <c r="D459" t="inlineStr">
        <is>
          <t>VÄSTERNORRLANDS LÄN</t>
        </is>
      </c>
      <c r="E459" t="inlineStr">
        <is>
          <t>ÅNGE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57109-2023</t>
        </is>
      </c>
      <c r="B460" s="1" t="n">
        <v>45239</v>
      </c>
      <c r="C460" s="1" t="n">
        <v>45926</v>
      </c>
      <c r="D460" t="inlineStr">
        <is>
          <t>VÄSTERNORRLANDS LÄN</t>
        </is>
      </c>
      <c r="E460" t="inlineStr">
        <is>
          <t>ÅNGE</t>
        </is>
      </c>
      <c r="G460" t="n">
        <v>7</v>
      </c>
      <c r="H460" t="n">
        <v>0</v>
      </c>
      <c r="I460" t="n">
        <v>0</v>
      </c>
      <c r="J460" t="n">
        <v>0</v>
      </c>
      <c r="K460" t="n">
        <v>0</v>
      </c>
      <c r="L460" t="n">
        <v>0</v>
      </c>
      <c r="M460" t="n">
        <v>0</v>
      </c>
      <c r="N460" t="n">
        <v>0</v>
      </c>
      <c r="O460" t="n">
        <v>0</v>
      </c>
      <c r="P460" t="n">
        <v>0</v>
      </c>
      <c r="Q460" t="n">
        <v>0</v>
      </c>
      <c r="R460" s="2" t="inlineStr"/>
    </row>
    <row r="461" ht="15" customHeight="1">
      <c r="A461" t="inlineStr">
        <is>
          <t>A 10339-2025</t>
        </is>
      </c>
      <c r="B461" s="1" t="n">
        <v>45720</v>
      </c>
      <c r="C461" s="1" t="n">
        <v>45926</v>
      </c>
      <c r="D461" t="inlineStr">
        <is>
          <t>VÄSTERNORRLANDS LÄN</t>
        </is>
      </c>
      <c r="E461" t="inlineStr">
        <is>
          <t>ÅNGE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21862-2025</t>
        </is>
      </c>
      <c r="B462" s="1" t="n">
        <v>45784.36519675926</v>
      </c>
      <c r="C462" s="1" t="n">
        <v>45926</v>
      </c>
      <c r="D462" t="inlineStr">
        <is>
          <t>VÄSTERNORRLANDS LÄN</t>
        </is>
      </c>
      <c r="E462" t="inlineStr">
        <is>
          <t>ÅNGE</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22206-2025</t>
        </is>
      </c>
      <c r="B463" s="1" t="n">
        <v>45785.65699074074</v>
      </c>
      <c r="C463" s="1" t="n">
        <v>45926</v>
      </c>
      <c r="D463" t="inlineStr">
        <is>
          <t>VÄSTERNORRLANDS LÄN</t>
        </is>
      </c>
      <c r="E463" t="inlineStr">
        <is>
          <t>ÅNGE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29395-2023</t>
        </is>
      </c>
      <c r="B464" s="1" t="n">
        <v>45106.4359837963</v>
      </c>
      <c r="C464" s="1" t="n">
        <v>45926</v>
      </c>
      <c r="D464" t="inlineStr">
        <is>
          <t>VÄSTERNORRLANDS LÄN</t>
        </is>
      </c>
      <c r="E464" t="inlineStr">
        <is>
          <t>ÅNGE</t>
        </is>
      </c>
      <c r="G464" t="n">
        <v>3.5</v>
      </c>
      <c r="H464" t="n">
        <v>0</v>
      </c>
      <c r="I464" t="n">
        <v>0</v>
      </c>
      <c r="J464" t="n">
        <v>0</v>
      </c>
      <c r="K464" t="n">
        <v>0</v>
      </c>
      <c r="L464" t="n">
        <v>0</v>
      </c>
      <c r="M464" t="n">
        <v>0</v>
      </c>
      <c r="N464" t="n">
        <v>0</v>
      </c>
      <c r="O464" t="n">
        <v>0</v>
      </c>
      <c r="P464" t="n">
        <v>0</v>
      </c>
      <c r="Q464" t="n">
        <v>0</v>
      </c>
      <c r="R464" s="2" t="inlineStr"/>
    </row>
    <row r="465" ht="15" customHeight="1">
      <c r="A465" t="inlineStr">
        <is>
          <t>A 38800-2024</t>
        </is>
      </c>
      <c r="B465" s="1" t="n">
        <v>45547</v>
      </c>
      <c r="C465" s="1" t="n">
        <v>45926</v>
      </c>
      <c r="D465" t="inlineStr">
        <is>
          <t>VÄSTERNORRLANDS LÄN</t>
        </is>
      </c>
      <c r="E465" t="inlineStr">
        <is>
          <t>ÅNGE</t>
        </is>
      </c>
      <c r="G465" t="n">
        <v>2.6</v>
      </c>
      <c r="H465" t="n">
        <v>0</v>
      </c>
      <c r="I465" t="n">
        <v>0</v>
      </c>
      <c r="J465" t="n">
        <v>0</v>
      </c>
      <c r="K465" t="n">
        <v>0</v>
      </c>
      <c r="L465" t="n">
        <v>0</v>
      </c>
      <c r="M465" t="n">
        <v>0</v>
      </c>
      <c r="N465" t="n">
        <v>0</v>
      </c>
      <c r="O465" t="n">
        <v>0</v>
      </c>
      <c r="P465" t="n">
        <v>0</v>
      </c>
      <c r="Q465" t="n">
        <v>0</v>
      </c>
      <c r="R465" s="2" t="inlineStr"/>
    </row>
    <row r="466" ht="15" customHeight="1">
      <c r="A466" t="inlineStr">
        <is>
          <t>A 21883-2025</t>
        </is>
      </c>
      <c r="B466" s="1" t="n">
        <v>45784.41361111111</v>
      </c>
      <c r="C466" s="1" t="n">
        <v>45926</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31492-2024</t>
        </is>
      </c>
      <c r="B467" s="1" t="n">
        <v>45505</v>
      </c>
      <c r="C467" s="1" t="n">
        <v>45926</v>
      </c>
      <c r="D467" t="inlineStr">
        <is>
          <t>VÄSTERNORRLANDS LÄN</t>
        </is>
      </c>
      <c r="E467" t="inlineStr">
        <is>
          <t>ÅNGE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12581-2024</t>
        </is>
      </c>
      <c r="B468" s="1" t="n">
        <v>45379</v>
      </c>
      <c r="C468" s="1" t="n">
        <v>45926</v>
      </c>
      <c r="D468" t="inlineStr">
        <is>
          <t>VÄSTERNORRLANDS LÄN</t>
        </is>
      </c>
      <c r="E468" t="inlineStr">
        <is>
          <t>ÅNGE</t>
        </is>
      </c>
      <c r="G468" t="n">
        <v>1.7</v>
      </c>
      <c r="H468" t="n">
        <v>0</v>
      </c>
      <c r="I468" t="n">
        <v>0</v>
      </c>
      <c r="J468" t="n">
        <v>0</v>
      </c>
      <c r="K468" t="n">
        <v>0</v>
      </c>
      <c r="L468" t="n">
        <v>0</v>
      </c>
      <c r="M468" t="n">
        <v>0</v>
      </c>
      <c r="N468" t="n">
        <v>0</v>
      </c>
      <c r="O468" t="n">
        <v>0</v>
      </c>
      <c r="P468" t="n">
        <v>0</v>
      </c>
      <c r="Q468" t="n">
        <v>0</v>
      </c>
      <c r="R468" s="2" t="inlineStr"/>
    </row>
    <row r="469" ht="15" customHeight="1">
      <c r="A469" t="inlineStr">
        <is>
          <t>A 61577-2023</t>
        </is>
      </c>
      <c r="B469" s="1" t="n">
        <v>45265.47366898148</v>
      </c>
      <c r="C469" s="1" t="n">
        <v>45926</v>
      </c>
      <c r="D469" t="inlineStr">
        <is>
          <t>VÄSTERNORRLANDS LÄN</t>
        </is>
      </c>
      <c r="E469" t="inlineStr">
        <is>
          <t>ÅNGE</t>
        </is>
      </c>
      <c r="G469" t="n">
        <v>2.9</v>
      </c>
      <c r="H469" t="n">
        <v>0</v>
      </c>
      <c r="I469" t="n">
        <v>0</v>
      </c>
      <c r="J469" t="n">
        <v>0</v>
      </c>
      <c r="K469" t="n">
        <v>0</v>
      </c>
      <c r="L469" t="n">
        <v>0</v>
      </c>
      <c r="M469" t="n">
        <v>0</v>
      </c>
      <c r="N469" t="n">
        <v>0</v>
      </c>
      <c r="O469" t="n">
        <v>0</v>
      </c>
      <c r="P469" t="n">
        <v>0</v>
      </c>
      <c r="Q469" t="n">
        <v>0</v>
      </c>
      <c r="R469" s="2" t="inlineStr"/>
    </row>
    <row r="470" ht="15" customHeight="1">
      <c r="A470" t="inlineStr">
        <is>
          <t>A 55558-2024</t>
        </is>
      </c>
      <c r="B470" s="1" t="n">
        <v>45622.52586805556</v>
      </c>
      <c r="C470" s="1" t="n">
        <v>45926</v>
      </c>
      <c r="D470" t="inlineStr">
        <is>
          <t>VÄSTERNORRLANDS LÄN</t>
        </is>
      </c>
      <c r="E470" t="inlineStr">
        <is>
          <t>ÅNGE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52665-2024</t>
        </is>
      </c>
      <c r="B471" s="1" t="n">
        <v>45610.36549768518</v>
      </c>
      <c r="C471" s="1" t="n">
        <v>45926</v>
      </c>
      <c r="D471" t="inlineStr">
        <is>
          <t>VÄSTERNORRLANDS LÄN</t>
        </is>
      </c>
      <c r="E471" t="inlineStr">
        <is>
          <t>ÅNGE</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20338-2025</t>
        </is>
      </c>
      <c r="B472" s="1" t="n">
        <v>45775</v>
      </c>
      <c r="C472" s="1" t="n">
        <v>45926</v>
      </c>
      <c r="D472" t="inlineStr">
        <is>
          <t>VÄSTERNORRLANDS LÄN</t>
        </is>
      </c>
      <c r="E472" t="inlineStr">
        <is>
          <t>ÅNGE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14751-2025</t>
        </is>
      </c>
      <c r="B473" s="1" t="n">
        <v>45742.65863425926</v>
      </c>
      <c r="C473" s="1" t="n">
        <v>45926</v>
      </c>
      <c r="D473" t="inlineStr">
        <is>
          <t>VÄSTERNORRLANDS LÄN</t>
        </is>
      </c>
      <c r="E473" t="inlineStr">
        <is>
          <t>ÅNGE</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54342-2023</t>
        </is>
      </c>
      <c r="B474" s="1" t="n">
        <v>45232</v>
      </c>
      <c r="C474" s="1" t="n">
        <v>45926</v>
      </c>
      <c r="D474" t="inlineStr">
        <is>
          <t>VÄSTERNORRLANDS LÄN</t>
        </is>
      </c>
      <c r="E474" t="inlineStr">
        <is>
          <t>ÅNGE</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21982-2025</t>
        </is>
      </c>
      <c r="B475" s="1" t="n">
        <v>45784.65660879629</v>
      </c>
      <c r="C475" s="1" t="n">
        <v>45926</v>
      </c>
      <c r="D475" t="inlineStr">
        <is>
          <t>VÄSTERNORRLANDS LÄN</t>
        </is>
      </c>
      <c r="E475" t="inlineStr">
        <is>
          <t>ÅNGE</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34091-2022</t>
        </is>
      </c>
      <c r="B476" s="1" t="n">
        <v>44791</v>
      </c>
      <c r="C476" s="1" t="n">
        <v>45926</v>
      </c>
      <c r="D476" t="inlineStr">
        <is>
          <t>VÄSTERNORRLANDS LÄN</t>
        </is>
      </c>
      <c r="E476" t="inlineStr">
        <is>
          <t>ÅNGE</t>
        </is>
      </c>
      <c r="G476" t="n">
        <v>10.1</v>
      </c>
      <c r="H476" t="n">
        <v>0</v>
      </c>
      <c r="I476" t="n">
        <v>0</v>
      </c>
      <c r="J476" t="n">
        <v>0</v>
      </c>
      <c r="K476" t="n">
        <v>0</v>
      </c>
      <c r="L476" t="n">
        <v>0</v>
      </c>
      <c r="M476" t="n">
        <v>0</v>
      </c>
      <c r="N476" t="n">
        <v>0</v>
      </c>
      <c r="O476" t="n">
        <v>0</v>
      </c>
      <c r="P476" t="n">
        <v>0</v>
      </c>
      <c r="Q476" t="n">
        <v>0</v>
      </c>
      <c r="R476" s="2" t="inlineStr"/>
    </row>
    <row r="477" ht="15" customHeight="1">
      <c r="A477" t="inlineStr">
        <is>
          <t>A 22187-2024</t>
        </is>
      </c>
      <c r="B477" s="1" t="n">
        <v>45446.35222222222</v>
      </c>
      <c r="C477" s="1" t="n">
        <v>45926</v>
      </c>
      <c r="D477" t="inlineStr">
        <is>
          <t>VÄSTERNORRLANDS LÄN</t>
        </is>
      </c>
      <c r="E477" t="inlineStr">
        <is>
          <t>ÅNGE</t>
        </is>
      </c>
      <c r="G477" t="n">
        <v>2.3</v>
      </c>
      <c r="H477" t="n">
        <v>0</v>
      </c>
      <c r="I477" t="n">
        <v>0</v>
      </c>
      <c r="J477" t="n">
        <v>0</v>
      </c>
      <c r="K477" t="n">
        <v>0</v>
      </c>
      <c r="L477" t="n">
        <v>0</v>
      </c>
      <c r="M477" t="n">
        <v>0</v>
      </c>
      <c r="N477" t="n">
        <v>0</v>
      </c>
      <c r="O477" t="n">
        <v>0</v>
      </c>
      <c r="P477" t="n">
        <v>0</v>
      </c>
      <c r="Q477" t="n">
        <v>0</v>
      </c>
      <c r="R477" s="2" t="inlineStr"/>
    </row>
    <row r="478" ht="15" customHeight="1">
      <c r="A478" t="inlineStr">
        <is>
          <t>A 51024-2024</t>
        </is>
      </c>
      <c r="B478" s="1" t="n">
        <v>45603.4141087963</v>
      </c>
      <c r="C478" s="1" t="n">
        <v>45926</v>
      </c>
      <c r="D478" t="inlineStr">
        <is>
          <t>VÄSTERNORRLANDS LÄN</t>
        </is>
      </c>
      <c r="E478" t="inlineStr">
        <is>
          <t>ÅNGE</t>
        </is>
      </c>
      <c r="G478" t="n">
        <v>8.9</v>
      </c>
      <c r="H478" t="n">
        <v>0</v>
      </c>
      <c r="I478" t="n">
        <v>0</v>
      </c>
      <c r="J478" t="n">
        <v>0</v>
      </c>
      <c r="K478" t="n">
        <v>0</v>
      </c>
      <c r="L478" t="n">
        <v>0</v>
      </c>
      <c r="M478" t="n">
        <v>0</v>
      </c>
      <c r="N478" t="n">
        <v>0</v>
      </c>
      <c r="O478" t="n">
        <v>0</v>
      </c>
      <c r="P478" t="n">
        <v>0</v>
      </c>
      <c r="Q478" t="n">
        <v>0</v>
      </c>
      <c r="R478" s="2" t="inlineStr"/>
    </row>
    <row r="479" ht="15" customHeight="1">
      <c r="A479" t="inlineStr">
        <is>
          <t>A 19066-2024</t>
        </is>
      </c>
      <c r="B479" s="1" t="n">
        <v>45427</v>
      </c>
      <c r="C479" s="1" t="n">
        <v>45926</v>
      </c>
      <c r="D479" t="inlineStr">
        <is>
          <t>VÄSTERNORRLANDS LÄN</t>
        </is>
      </c>
      <c r="E479" t="inlineStr">
        <is>
          <t>ÅNGE</t>
        </is>
      </c>
      <c r="G479" t="n">
        <v>0.8</v>
      </c>
      <c r="H479" t="n">
        <v>0</v>
      </c>
      <c r="I479" t="n">
        <v>0</v>
      </c>
      <c r="J479" t="n">
        <v>0</v>
      </c>
      <c r="K479" t="n">
        <v>0</v>
      </c>
      <c r="L479" t="n">
        <v>0</v>
      </c>
      <c r="M479" t="n">
        <v>0</v>
      </c>
      <c r="N479" t="n">
        <v>0</v>
      </c>
      <c r="O479" t="n">
        <v>0</v>
      </c>
      <c r="P479" t="n">
        <v>0</v>
      </c>
      <c r="Q479" t="n">
        <v>0</v>
      </c>
      <c r="R479" s="2" t="inlineStr"/>
    </row>
    <row r="480" ht="15" customHeight="1">
      <c r="A480" t="inlineStr">
        <is>
          <t>A 54456-2024</t>
        </is>
      </c>
      <c r="B480" s="1" t="n">
        <v>45617.53160879629</v>
      </c>
      <c r="C480" s="1" t="n">
        <v>45926</v>
      </c>
      <c r="D480" t="inlineStr">
        <is>
          <t>VÄSTERNORRLANDS LÄN</t>
        </is>
      </c>
      <c r="E480" t="inlineStr">
        <is>
          <t>ÅNGE</t>
        </is>
      </c>
      <c r="F480" t="inlineStr">
        <is>
          <t>SCA</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14976-2025</t>
        </is>
      </c>
      <c r="B481" s="1" t="n">
        <v>45743</v>
      </c>
      <c r="C481" s="1" t="n">
        <v>45926</v>
      </c>
      <c r="D481" t="inlineStr">
        <is>
          <t>VÄSTERNORRLANDS LÄN</t>
        </is>
      </c>
      <c r="E481" t="inlineStr">
        <is>
          <t>ÅNGE</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8070-2022</t>
        </is>
      </c>
      <c r="B482" s="1" t="n">
        <v>44609.48665509259</v>
      </c>
      <c r="C482" s="1" t="n">
        <v>45926</v>
      </c>
      <c r="D482" t="inlineStr">
        <is>
          <t>VÄSTERNORRLANDS LÄN</t>
        </is>
      </c>
      <c r="E482" t="inlineStr">
        <is>
          <t>ÅNGE</t>
        </is>
      </c>
      <c r="G482" t="n">
        <v>3.5</v>
      </c>
      <c r="H482" t="n">
        <v>0</v>
      </c>
      <c r="I482" t="n">
        <v>0</v>
      </c>
      <c r="J482" t="n">
        <v>0</v>
      </c>
      <c r="K482" t="n">
        <v>0</v>
      </c>
      <c r="L482" t="n">
        <v>0</v>
      </c>
      <c r="M482" t="n">
        <v>0</v>
      </c>
      <c r="N482" t="n">
        <v>0</v>
      </c>
      <c r="O482" t="n">
        <v>0</v>
      </c>
      <c r="P482" t="n">
        <v>0</v>
      </c>
      <c r="Q482" t="n">
        <v>0</v>
      </c>
      <c r="R482" s="2" t="inlineStr"/>
    </row>
    <row r="483" ht="15" customHeight="1">
      <c r="A483" t="inlineStr">
        <is>
          <t>A 23035-2024</t>
        </is>
      </c>
      <c r="B483" s="1" t="n">
        <v>45450.39016203704</v>
      </c>
      <c r="C483" s="1" t="n">
        <v>45926</v>
      </c>
      <c r="D483" t="inlineStr">
        <is>
          <t>VÄSTERNORRLANDS LÄN</t>
        </is>
      </c>
      <c r="E483" t="inlineStr">
        <is>
          <t>ÅNGE</t>
        </is>
      </c>
      <c r="G483" t="n">
        <v>12.1</v>
      </c>
      <c r="H483" t="n">
        <v>0</v>
      </c>
      <c r="I483" t="n">
        <v>0</v>
      </c>
      <c r="J483" t="n">
        <v>0</v>
      </c>
      <c r="K483" t="n">
        <v>0</v>
      </c>
      <c r="L483" t="n">
        <v>0</v>
      </c>
      <c r="M483" t="n">
        <v>0</v>
      </c>
      <c r="N483" t="n">
        <v>0</v>
      </c>
      <c r="O483" t="n">
        <v>0</v>
      </c>
      <c r="P483" t="n">
        <v>0</v>
      </c>
      <c r="Q483" t="n">
        <v>0</v>
      </c>
      <c r="R483" s="2" t="inlineStr"/>
    </row>
    <row r="484" ht="15" customHeight="1">
      <c r="A484" t="inlineStr">
        <is>
          <t>A 52805-2024</t>
        </is>
      </c>
      <c r="B484" s="1" t="n">
        <v>45610.57344907407</v>
      </c>
      <c r="C484" s="1" t="n">
        <v>45926</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4651-2022</t>
        </is>
      </c>
      <c r="B485" s="1" t="n">
        <v>44592</v>
      </c>
      <c r="C485" s="1" t="n">
        <v>45926</v>
      </c>
      <c r="D485" t="inlineStr">
        <is>
          <t>VÄSTERNORRLANDS LÄN</t>
        </is>
      </c>
      <c r="E485" t="inlineStr">
        <is>
          <t>ÅNGE</t>
        </is>
      </c>
      <c r="G485" t="n">
        <v>1.7</v>
      </c>
      <c r="H485" t="n">
        <v>0</v>
      </c>
      <c r="I485" t="n">
        <v>0</v>
      </c>
      <c r="J485" t="n">
        <v>0</v>
      </c>
      <c r="K485" t="n">
        <v>0</v>
      </c>
      <c r="L485" t="n">
        <v>0</v>
      </c>
      <c r="M485" t="n">
        <v>0</v>
      </c>
      <c r="N485" t="n">
        <v>0</v>
      </c>
      <c r="O485" t="n">
        <v>0</v>
      </c>
      <c r="P485" t="n">
        <v>0</v>
      </c>
      <c r="Q485" t="n">
        <v>0</v>
      </c>
      <c r="R485" s="2" t="inlineStr"/>
    </row>
    <row r="486" ht="15" customHeight="1">
      <c r="A486" t="inlineStr">
        <is>
          <t>A 19342-2024</t>
        </is>
      </c>
      <c r="B486" s="1" t="n">
        <v>45428</v>
      </c>
      <c r="C486" s="1" t="n">
        <v>45926</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34959-2023</t>
        </is>
      </c>
      <c r="B487" s="1" t="n">
        <v>45142</v>
      </c>
      <c r="C487" s="1" t="n">
        <v>45926</v>
      </c>
      <c r="D487" t="inlineStr">
        <is>
          <t>VÄSTERNORRLANDS LÄN</t>
        </is>
      </c>
      <c r="E487" t="inlineStr">
        <is>
          <t>ÅNGE</t>
        </is>
      </c>
      <c r="F487" t="inlineStr">
        <is>
          <t>Sveaskog</t>
        </is>
      </c>
      <c r="G487" t="n">
        <v>6.6</v>
      </c>
      <c r="H487" t="n">
        <v>0</v>
      </c>
      <c r="I487" t="n">
        <v>0</v>
      </c>
      <c r="J487" t="n">
        <v>0</v>
      </c>
      <c r="K487" t="n">
        <v>0</v>
      </c>
      <c r="L487" t="n">
        <v>0</v>
      </c>
      <c r="M487" t="n">
        <v>0</v>
      </c>
      <c r="N487" t="n">
        <v>0</v>
      </c>
      <c r="O487" t="n">
        <v>0</v>
      </c>
      <c r="P487" t="n">
        <v>0</v>
      </c>
      <c r="Q487" t="n">
        <v>0</v>
      </c>
      <c r="R487" s="2" t="inlineStr"/>
    </row>
    <row r="488" ht="15" customHeight="1">
      <c r="A488" t="inlineStr">
        <is>
          <t>A 24977-2021</t>
        </is>
      </c>
      <c r="B488" s="1" t="n">
        <v>44341.51386574074</v>
      </c>
      <c r="C488" s="1" t="n">
        <v>45926</v>
      </c>
      <c r="D488" t="inlineStr">
        <is>
          <t>VÄSTERNORRLANDS LÄN</t>
        </is>
      </c>
      <c r="E488" t="inlineStr">
        <is>
          <t>ÅNGE</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5246-2025</t>
        </is>
      </c>
      <c r="B489" s="1" t="n">
        <v>45692.34427083333</v>
      </c>
      <c r="C489" s="1" t="n">
        <v>45926</v>
      </c>
      <c r="D489" t="inlineStr">
        <is>
          <t>VÄSTERNORRLANDS LÄN</t>
        </is>
      </c>
      <c r="E489" t="inlineStr">
        <is>
          <t>ÅNGE</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16973-2025</t>
        </is>
      </c>
      <c r="B490" s="1" t="n">
        <v>45755.46967592592</v>
      </c>
      <c r="C490" s="1" t="n">
        <v>45926</v>
      </c>
      <c r="D490" t="inlineStr">
        <is>
          <t>VÄSTERNORRLANDS LÄN</t>
        </is>
      </c>
      <c r="E490" t="inlineStr">
        <is>
          <t>ÅNGE</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34679-2024</t>
        </is>
      </c>
      <c r="B491" s="1" t="n">
        <v>45526</v>
      </c>
      <c r="C491" s="1" t="n">
        <v>45926</v>
      </c>
      <c r="D491" t="inlineStr">
        <is>
          <t>VÄSTERNORRLANDS LÄN</t>
        </is>
      </c>
      <c r="E491" t="inlineStr">
        <is>
          <t>ÅNGE</t>
        </is>
      </c>
      <c r="G491" t="n">
        <v>1.4</v>
      </c>
      <c r="H491" t="n">
        <v>0</v>
      </c>
      <c r="I491" t="n">
        <v>0</v>
      </c>
      <c r="J491" t="n">
        <v>0</v>
      </c>
      <c r="K491" t="n">
        <v>0</v>
      </c>
      <c r="L491" t="n">
        <v>0</v>
      </c>
      <c r="M491" t="n">
        <v>0</v>
      </c>
      <c r="N491" t="n">
        <v>0</v>
      </c>
      <c r="O491" t="n">
        <v>0</v>
      </c>
      <c r="P491" t="n">
        <v>0</v>
      </c>
      <c r="Q491" t="n">
        <v>0</v>
      </c>
      <c r="R491" s="2" t="inlineStr"/>
    </row>
    <row r="492" ht="15" customHeight="1">
      <c r="A492" t="inlineStr">
        <is>
          <t>A 43096-2023</t>
        </is>
      </c>
      <c r="B492" s="1" t="n">
        <v>45182</v>
      </c>
      <c r="C492" s="1" t="n">
        <v>45926</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60296-2021</t>
        </is>
      </c>
      <c r="B493" s="1" t="n">
        <v>44495</v>
      </c>
      <c r="C493" s="1" t="n">
        <v>45926</v>
      </c>
      <c r="D493" t="inlineStr">
        <is>
          <t>VÄSTERNORRLANDS LÄN</t>
        </is>
      </c>
      <c r="E493" t="inlineStr">
        <is>
          <t>ÅNGE</t>
        </is>
      </c>
      <c r="G493" t="n">
        <v>0.4</v>
      </c>
      <c r="H493" t="n">
        <v>0</v>
      </c>
      <c r="I493" t="n">
        <v>0</v>
      </c>
      <c r="J493" t="n">
        <v>0</v>
      </c>
      <c r="K493" t="n">
        <v>0</v>
      </c>
      <c r="L493" t="n">
        <v>0</v>
      </c>
      <c r="M493" t="n">
        <v>0</v>
      </c>
      <c r="N493" t="n">
        <v>0</v>
      </c>
      <c r="O493" t="n">
        <v>0</v>
      </c>
      <c r="P493" t="n">
        <v>0</v>
      </c>
      <c r="Q493" t="n">
        <v>0</v>
      </c>
      <c r="R493" s="2" t="inlineStr"/>
    </row>
    <row r="494" ht="15" customHeight="1">
      <c r="A494" t="inlineStr">
        <is>
          <t>A 51755-2020</t>
        </is>
      </c>
      <c r="B494" s="1" t="n">
        <v>44114</v>
      </c>
      <c r="C494" s="1" t="n">
        <v>45926</v>
      </c>
      <c r="D494" t="inlineStr">
        <is>
          <t>VÄSTERNORRLANDS LÄN</t>
        </is>
      </c>
      <c r="E494" t="inlineStr">
        <is>
          <t>ÅNGE</t>
        </is>
      </c>
      <c r="G494" t="n">
        <v>6.4</v>
      </c>
      <c r="H494" t="n">
        <v>0</v>
      </c>
      <c r="I494" t="n">
        <v>0</v>
      </c>
      <c r="J494" t="n">
        <v>0</v>
      </c>
      <c r="K494" t="n">
        <v>0</v>
      </c>
      <c r="L494" t="n">
        <v>0</v>
      </c>
      <c r="M494" t="n">
        <v>0</v>
      </c>
      <c r="N494" t="n">
        <v>0</v>
      </c>
      <c r="O494" t="n">
        <v>0</v>
      </c>
      <c r="P494" t="n">
        <v>0</v>
      </c>
      <c r="Q494" t="n">
        <v>0</v>
      </c>
      <c r="R494" s="2" t="inlineStr"/>
    </row>
    <row r="495" ht="15" customHeight="1">
      <c r="A495" t="inlineStr">
        <is>
          <t>A 8406-2023</t>
        </is>
      </c>
      <c r="B495" s="1" t="n">
        <v>44971</v>
      </c>
      <c r="C495" s="1" t="n">
        <v>45926</v>
      </c>
      <c r="D495" t="inlineStr">
        <is>
          <t>VÄSTERNORRLANDS LÄN</t>
        </is>
      </c>
      <c r="E495" t="inlineStr">
        <is>
          <t>ÅNGE</t>
        </is>
      </c>
      <c r="G495" t="n">
        <v>1.2</v>
      </c>
      <c r="H495" t="n">
        <v>0</v>
      </c>
      <c r="I495" t="n">
        <v>0</v>
      </c>
      <c r="J495" t="n">
        <v>0</v>
      </c>
      <c r="K495" t="n">
        <v>0</v>
      </c>
      <c r="L495" t="n">
        <v>0</v>
      </c>
      <c r="M495" t="n">
        <v>0</v>
      </c>
      <c r="N495" t="n">
        <v>0</v>
      </c>
      <c r="O495" t="n">
        <v>0</v>
      </c>
      <c r="P495" t="n">
        <v>0</v>
      </c>
      <c r="Q495" t="n">
        <v>0</v>
      </c>
      <c r="R495" s="2" t="inlineStr"/>
    </row>
    <row r="496" ht="15" customHeight="1">
      <c r="A496" t="inlineStr">
        <is>
          <t>A 25023-2022</t>
        </is>
      </c>
      <c r="B496" s="1" t="n">
        <v>44728</v>
      </c>
      <c r="C496" s="1" t="n">
        <v>45926</v>
      </c>
      <c r="D496" t="inlineStr">
        <is>
          <t>VÄSTERNORRLANDS LÄN</t>
        </is>
      </c>
      <c r="E496" t="inlineStr">
        <is>
          <t>ÅNGE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31545-2024</t>
        </is>
      </c>
      <c r="B497" s="1" t="n">
        <v>45505</v>
      </c>
      <c r="C497" s="1" t="n">
        <v>45926</v>
      </c>
      <c r="D497" t="inlineStr">
        <is>
          <t>VÄSTERNORRLANDS LÄN</t>
        </is>
      </c>
      <c r="E497" t="inlineStr">
        <is>
          <t>ÅNGE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38369-2021</t>
        </is>
      </c>
      <c r="B498" s="1" t="n">
        <v>44406</v>
      </c>
      <c r="C498" s="1" t="n">
        <v>45926</v>
      </c>
      <c r="D498" t="inlineStr">
        <is>
          <t>VÄSTERNORRLANDS LÄN</t>
        </is>
      </c>
      <c r="E498" t="inlineStr">
        <is>
          <t>ÅNGE</t>
        </is>
      </c>
      <c r="G498" t="n">
        <v>5.6</v>
      </c>
      <c r="H498" t="n">
        <v>0</v>
      </c>
      <c r="I498" t="n">
        <v>0</v>
      </c>
      <c r="J498" t="n">
        <v>0</v>
      </c>
      <c r="K498" t="n">
        <v>0</v>
      </c>
      <c r="L498" t="n">
        <v>0</v>
      </c>
      <c r="M498" t="n">
        <v>0</v>
      </c>
      <c r="N498" t="n">
        <v>0</v>
      </c>
      <c r="O498" t="n">
        <v>0</v>
      </c>
      <c r="P498" t="n">
        <v>0</v>
      </c>
      <c r="Q498" t="n">
        <v>0</v>
      </c>
      <c r="R498" s="2" t="inlineStr"/>
    </row>
    <row r="499" ht="15" customHeight="1">
      <c r="A499" t="inlineStr">
        <is>
          <t>A 5197-2025</t>
        </is>
      </c>
      <c r="B499" s="1" t="n">
        <v>45691.65701388889</v>
      </c>
      <c r="C499" s="1" t="n">
        <v>45926</v>
      </c>
      <c r="D499" t="inlineStr">
        <is>
          <t>VÄSTERNORRLANDS LÄN</t>
        </is>
      </c>
      <c r="E499" t="inlineStr">
        <is>
          <t>ÅNGE</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50179-2024</t>
        </is>
      </c>
      <c r="B500" s="1" t="n">
        <v>45600</v>
      </c>
      <c r="C500" s="1" t="n">
        <v>45926</v>
      </c>
      <c r="D500" t="inlineStr">
        <is>
          <t>VÄSTERNORRLANDS LÄN</t>
        </is>
      </c>
      <c r="E500" t="inlineStr">
        <is>
          <t>ÅNGE</t>
        </is>
      </c>
      <c r="G500" t="n">
        <v>3.6</v>
      </c>
      <c r="H500" t="n">
        <v>0</v>
      </c>
      <c r="I500" t="n">
        <v>0</v>
      </c>
      <c r="J500" t="n">
        <v>0</v>
      </c>
      <c r="K500" t="n">
        <v>0</v>
      </c>
      <c r="L500" t="n">
        <v>0</v>
      </c>
      <c r="M500" t="n">
        <v>0</v>
      </c>
      <c r="N500" t="n">
        <v>0</v>
      </c>
      <c r="O500" t="n">
        <v>0</v>
      </c>
      <c r="P500" t="n">
        <v>0</v>
      </c>
      <c r="Q500" t="n">
        <v>0</v>
      </c>
      <c r="R500" s="2" t="inlineStr"/>
    </row>
    <row r="501" ht="15" customHeight="1">
      <c r="A501" t="inlineStr">
        <is>
          <t>A 42857-2022</t>
        </is>
      </c>
      <c r="B501" s="1" t="n">
        <v>44832</v>
      </c>
      <c r="C501" s="1" t="n">
        <v>45926</v>
      </c>
      <c r="D501" t="inlineStr">
        <is>
          <t>VÄSTERNORRLANDS LÄN</t>
        </is>
      </c>
      <c r="E501" t="inlineStr">
        <is>
          <t>ÅNGE</t>
        </is>
      </c>
      <c r="G501" t="n">
        <v>3.4</v>
      </c>
      <c r="H501" t="n">
        <v>0</v>
      </c>
      <c r="I501" t="n">
        <v>0</v>
      </c>
      <c r="J501" t="n">
        <v>0</v>
      </c>
      <c r="K501" t="n">
        <v>0</v>
      </c>
      <c r="L501" t="n">
        <v>0</v>
      </c>
      <c r="M501" t="n">
        <v>0</v>
      </c>
      <c r="N501" t="n">
        <v>0</v>
      </c>
      <c r="O501" t="n">
        <v>0</v>
      </c>
      <c r="P501" t="n">
        <v>0</v>
      </c>
      <c r="Q501" t="n">
        <v>0</v>
      </c>
      <c r="R501" s="2" t="inlineStr"/>
    </row>
    <row r="502" ht="15" customHeight="1">
      <c r="A502" t="inlineStr">
        <is>
          <t>A 6-2025</t>
        </is>
      </c>
      <c r="B502" s="1" t="n">
        <v>45658.50759259259</v>
      </c>
      <c r="C502" s="1" t="n">
        <v>45926</v>
      </c>
      <c r="D502" t="inlineStr">
        <is>
          <t>VÄSTERNORRLANDS LÄN</t>
        </is>
      </c>
      <c r="E502" t="inlineStr">
        <is>
          <t>ÅNGE</t>
        </is>
      </c>
      <c r="G502" t="n">
        <v>4.3</v>
      </c>
      <c r="H502" t="n">
        <v>0</v>
      </c>
      <c r="I502" t="n">
        <v>0</v>
      </c>
      <c r="J502" t="n">
        <v>0</v>
      </c>
      <c r="K502" t="n">
        <v>0</v>
      </c>
      <c r="L502" t="n">
        <v>0</v>
      </c>
      <c r="M502" t="n">
        <v>0</v>
      </c>
      <c r="N502" t="n">
        <v>0</v>
      </c>
      <c r="O502" t="n">
        <v>0</v>
      </c>
      <c r="P502" t="n">
        <v>0</v>
      </c>
      <c r="Q502" t="n">
        <v>0</v>
      </c>
      <c r="R502" s="2" t="inlineStr"/>
    </row>
    <row r="503" ht="15" customHeight="1">
      <c r="A503" t="inlineStr">
        <is>
          <t>A 22489-2025</t>
        </is>
      </c>
      <c r="B503" s="1" t="n">
        <v>45786.64946759259</v>
      </c>
      <c r="C503" s="1" t="n">
        <v>45926</v>
      </c>
      <c r="D503" t="inlineStr">
        <is>
          <t>VÄSTERNORRLANDS LÄN</t>
        </is>
      </c>
      <c r="E503" t="inlineStr">
        <is>
          <t>ÅNGE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44565-2024</t>
        </is>
      </c>
      <c r="B504" s="1" t="n">
        <v>45574.47518518518</v>
      </c>
      <c r="C504" s="1" t="n">
        <v>45926</v>
      </c>
      <c r="D504" t="inlineStr">
        <is>
          <t>VÄSTERNORRLANDS LÄN</t>
        </is>
      </c>
      <c r="E504" t="inlineStr">
        <is>
          <t>ÅNGE</t>
        </is>
      </c>
      <c r="G504" t="n">
        <v>1.8</v>
      </c>
      <c r="H504" t="n">
        <v>0</v>
      </c>
      <c r="I504" t="n">
        <v>0</v>
      </c>
      <c r="J504" t="n">
        <v>0</v>
      </c>
      <c r="K504" t="n">
        <v>0</v>
      </c>
      <c r="L504" t="n">
        <v>0</v>
      </c>
      <c r="M504" t="n">
        <v>0</v>
      </c>
      <c r="N504" t="n">
        <v>0</v>
      </c>
      <c r="O504" t="n">
        <v>0</v>
      </c>
      <c r="P504" t="n">
        <v>0</v>
      </c>
      <c r="Q504" t="n">
        <v>0</v>
      </c>
      <c r="R504" s="2" t="inlineStr"/>
    </row>
    <row r="505" ht="15" customHeight="1">
      <c r="A505" t="inlineStr">
        <is>
          <t>A 24232-2024</t>
        </is>
      </c>
      <c r="B505" s="1" t="n">
        <v>45457.34686342593</v>
      </c>
      <c r="C505" s="1" t="n">
        <v>45926</v>
      </c>
      <c r="D505" t="inlineStr">
        <is>
          <t>VÄSTERNORRLANDS LÄN</t>
        </is>
      </c>
      <c r="E505" t="inlineStr">
        <is>
          <t>ÅNGE</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31325-2022</t>
        </is>
      </c>
      <c r="B506" s="1" t="n">
        <v>44774.41421296296</v>
      </c>
      <c r="C506" s="1" t="n">
        <v>45926</v>
      </c>
      <c r="D506" t="inlineStr">
        <is>
          <t>VÄSTERNORRLANDS LÄN</t>
        </is>
      </c>
      <c r="E506" t="inlineStr">
        <is>
          <t>ÅNGE</t>
        </is>
      </c>
      <c r="G506" t="n">
        <v>6.3</v>
      </c>
      <c r="H506" t="n">
        <v>0</v>
      </c>
      <c r="I506" t="n">
        <v>0</v>
      </c>
      <c r="J506" t="n">
        <v>0</v>
      </c>
      <c r="K506" t="n">
        <v>0</v>
      </c>
      <c r="L506" t="n">
        <v>0</v>
      </c>
      <c r="M506" t="n">
        <v>0</v>
      </c>
      <c r="N506" t="n">
        <v>0</v>
      </c>
      <c r="O506" t="n">
        <v>0</v>
      </c>
      <c r="P506" t="n">
        <v>0</v>
      </c>
      <c r="Q506" t="n">
        <v>0</v>
      </c>
      <c r="R506" s="2" t="inlineStr"/>
    </row>
    <row r="507" ht="15" customHeight="1">
      <c r="A507" t="inlineStr">
        <is>
          <t>A 40755-2023</t>
        </is>
      </c>
      <c r="B507" s="1" t="n">
        <v>45170</v>
      </c>
      <c r="C507" s="1" t="n">
        <v>45926</v>
      </c>
      <c r="D507" t="inlineStr">
        <is>
          <t>VÄSTERNORRLANDS LÄN</t>
        </is>
      </c>
      <c r="E507" t="inlineStr">
        <is>
          <t>ÅNGE</t>
        </is>
      </c>
      <c r="G507" t="n">
        <v>3.6</v>
      </c>
      <c r="H507" t="n">
        <v>0</v>
      </c>
      <c r="I507" t="n">
        <v>0</v>
      </c>
      <c r="J507" t="n">
        <v>0</v>
      </c>
      <c r="K507" t="n">
        <v>0</v>
      </c>
      <c r="L507" t="n">
        <v>0</v>
      </c>
      <c r="M507" t="n">
        <v>0</v>
      </c>
      <c r="N507" t="n">
        <v>0</v>
      </c>
      <c r="O507" t="n">
        <v>0</v>
      </c>
      <c r="P507" t="n">
        <v>0</v>
      </c>
      <c r="Q507" t="n">
        <v>0</v>
      </c>
      <c r="R507" s="2" t="inlineStr"/>
    </row>
    <row r="508" ht="15" customHeight="1">
      <c r="A508" t="inlineStr">
        <is>
          <t>A 31696-2022</t>
        </is>
      </c>
      <c r="B508" s="1" t="n">
        <v>44776</v>
      </c>
      <c r="C508" s="1" t="n">
        <v>45926</v>
      </c>
      <c r="D508" t="inlineStr">
        <is>
          <t>VÄSTERNORRLANDS LÄN</t>
        </is>
      </c>
      <c r="E508" t="inlineStr">
        <is>
          <t>ÅNGE</t>
        </is>
      </c>
      <c r="G508" t="n">
        <v>1.8</v>
      </c>
      <c r="H508" t="n">
        <v>0</v>
      </c>
      <c r="I508" t="n">
        <v>0</v>
      </c>
      <c r="J508" t="n">
        <v>0</v>
      </c>
      <c r="K508" t="n">
        <v>0</v>
      </c>
      <c r="L508" t="n">
        <v>0</v>
      </c>
      <c r="M508" t="n">
        <v>0</v>
      </c>
      <c r="N508" t="n">
        <v>0</v>
      </c>
      <c r="O508" t="n">
        <v>0</v>
      </c>
      <c r="P508" t="n">
        <v>0</v>
      </c>
      <c r="Q508" t="n">
        <v>0</v>
      </c>
      <c r="R508" s="2" t="inlineStr"/>
    </row>
    <row r="509" ht="15" customHeight="1">
      <c r="A509" t="inlineStr">
        <is>
          <t>A 10084-2023</t>
        </is>
      </c>
      <c r="B509" s="1" t="n">
        <v>44985.94465277778</v>
      </c>
      <c r="C509" s="1" t="n">
        <v>45926</v>
      </c>
      <c r="D509" t="inlineStr">
        <is>
          <t>VÄSTERNORRLANDS LÄN</t>
        </is>
      </c>
      <c r="E509" t="inlineStr">
        <is>
          <t>ÅNGE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22791-2025</t>
        </is>
      </c>
      <c r="B510" s="1" t="n">
        <v>45789.65663194445</v>
      </c>
      <c r="C510" s="1" t="n">
        <v>45926</v>
      </c>
      <c r="D510" t="inlineStr">
        <is>
          <t>VÄSTERNORRLANDS LÄN</t>
        </is>
      </c>
      <c r="E510" t="inlineStr">
        <is>
          <t>ÅNGE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37038-2024</t>
        </is>
      </c>
      <c r="B511" s="1" t="n">
        <v>45539.40881944444</v>
      </c>
      <c r="C511" s="1" t="n">
        <v>45926</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22549-2025</t>
        </is>
      </c>
      <c r="B512" s="1" t="n">
        <v>45788.48113425926</v>
      </c>
      <c r="C512" s="1" t="n">
        <v>45926</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50268-2020</t>
        </is>
      </c>
      <c r="B513" s="1" t="n">
        <v>44109</v>
      </c>
      <c r="C513" s="1" t="n">
        <v>45926</v>
      </c>
      <c r="D513" t="inlineStr">
        <is>
          <t>VÄSTERNORRLANDS LÄN</t>
        </is>
      </c>
      <c r="E513" t="inlineStr">
        <is>
          <t>ÅNGE</t>
        </is>
      </c>
      <c r="G513" t="n">
        <v>1.3</v>
      </c>
      <c r="H513" t="n">
        <v>0</v>
      </c>
      <c r="I513" t="n">
        <v>0</v>
      </c>
      <c r="J513" t="n">
        <v>0</v>
      </c>
      <c r="K513" t="n">
        <v>0</v>
      </c>
      <c r="L513" t="n">
        <v>0</v>
      </c>
      <c r="M513" t="n">
        <v>0</v>
      </c>
      <c r="N513" t="n">
        <v>0</v>
      </c>
      <c r="O513" t="n">
        <v>0</v>
      </c>
      <c r="P513" t="n">
        <v>0</v>
      </c>
      <c r="Q513" t="n">
        <v>0</v>
      </c>
      <c r="R513" s="2" t="inlineStr"/>
    </row>
    <row r="514" ht="15" customHeight="1">
      <c r="A514" t="inlineStr">
        <is>
          <t>A 18024-2022</t>
        </is>
      </c>
      <c r="B514" s="1" t="n">
        <v>44683.94383101852</v>
      </c>
      <c r="C514" s="1" t="n">
        <v>45926</v>
      </c>
      <c r="D514" t="inlineStr">
        <is>
          <t>VÄSTERNORRLANDS LÄN</t>
        </is>
      </c>
      <c r="E514" t="inlineStr">
        <is>
          <t>ÅNGE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23091-2025</t>
        </is>
      </c>
      <c r="B515" s="1" t="n">
        <v>45791.34456018519</v>
      </c>
      <c r="C515" s="1" t="n">
        <v>45926</v>
      </c>
      <c r="D515" t="inlineStr">
        <is>
          <t>VÄSTERNORRLANDS LÄN</t>
        </is>
      </c>
      <c r="E515" t="inlineStr">
        <is>
          <t>ÅNGE</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16450-2025</t>
        </is>
      </c>
      <c r="B516" s="1" t="n">
        <v>45751.51081018519</v>
      </c>
      <c r="C516" s="1" t="n">
        <v>45926</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22411-2023</t>
        </is>
      </c>
      <c r="B517" s="1" t="n">
        <v>45070</v>
      </c>
      <c r="C517" s="1" t="n">
        <v>45926</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60860-2022</t>
        </is>
      </c>
      <c r="B518" s="1" t="n">
        <v>44914</v>
      </c>
      <c r="C518" s="1" t="n">
        <v>45926</v>
      </c>
      <c r="D518" t="inlineStr">
        <is>
          <t>VÄSTERNORRLANDS LÄN</t>
        </is>
      </c>
      <c r="E518" t="inlineStr">
        <is>
          <t>ÅNGE</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17668-2023</t>
        </is>
      </c>
      <c r="B519" s="1" t="n">
        <v>45036</v>
      </c>
      <c r="C519" s="1" t="n">
        <v>45926</v>
      </c>
      <c r="D519" t="inlineStr">
        <is>
          <t>VÄSTERNORRLANDS LÄN</t>
        </is>
      </c>
      <c r="E519" t="inlineStr">
        <is>
          <t>ÅNGE</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16606-2023</t>
        </is>
      </c>
      <c r="B520" s="1" t="n">
        <v>45030.3990625</v>
      </c>
      <c r="C520" s="1" t="n">
        <v>45926</v>
      </c>
      <c r="D520" t="inlineStr">
        <is>
          <t>VÄSTERNORRLANDS LÄN</t>
        </is>
      </c>
      <c r="E520" t="inlineStr">
        <is>
          <t>ÅNGE</t>
        </is>
      </c>
      <c r="G520" t="n">
        <v>0.9</v>
      </c>
      <c r="H520" t="n">
        <v>0</v>
      </c>
      <c r="I520" t="n">
        <v>0</v>
      </c>
      <c r="J520" t="n">
        <v>0</v>
      </c>
      <c r="K520" t="n">
        <v>0</v>
      </c>
      <c r="L520" t="n">
        <v>0</v>
      </c>
      <c r="M520" t="n">
        <v>0</v>
      </c>
      <c r="N520" t="n">
        <v>0</v>
      </c>
      <c r="O520" t="n">
        <v>0</v>
      </c>
      <c r="P520" t="n">
        <v>0</v>
      </c>
      <c r="Q520" t="n">
        <v>0</v>
      </c>
      <c r="R520" s="2" t="inlineStr"/>
    </row>
    <row r="521" ht="15" customHeight="1">
      <c r="A521" t="inlineStr">
        <is>
          <t>A 60368-2024</t>
        </is>
      </c>
      <c r="B521" s="1" t="n">
        <v>45643</v>
      </c>
      <c r="C521" s="1" t="n">
        <v>45926</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23343-2025</t>
        </is>
      </c>
      <c r="B522" s="1" t="n">
        <v>45791.65702546296</v>
      </c>
      <c r="C522" s="1" t="n">
        <v>45926</v>
      </c>
      <c r="D522" t="inlineStr">
        <is>
          <t>VÄSTERNORRLANDS LÄN</t>
        </is>
      </c>
      <c r="E522" t="inlineStr">
        <is>
          <t>ÅNGE</t>
        </is>
      </c>
      <c r="F522" t="inlineStr">
        <is>
          <t>SCA</t>
        </is>
      </c>
      <c r="G522" t="n">
        <v>12.6</v>
      </c>
      <c r="H522" t="n">
        <v>0</v>
      </c>
      <c r="I522" t="n">
        <v>0</v>
      </c>
      <c r="J522" t="n">
        <v>0</v>
      </c>
      <c r="K522" t="n">
        <v>0</v>
      </c>
      <c r="L522" t="n">
        <v>0</v>
      </c>
      <c r="M522" t="n">
        <v>0</v>
      </c>
      <c r="N522" t="n">
        <v>0</v>
      </c>
      <c r="O522" t="n">
        <v>0</v>
      </c>
      <c r="P522" t="n">
        <v>0</v>
      </c>
      <c r="Q522" t="n">
        <v>0</v>
      </c>
      <c r="R522" s="2" t="inlineStr"/>
    </row>
    <row r="523" ht="15" customHeight="1">
      <c r="A523" t="inlineStr">
        <is>
          <t>A 17963-2022</t>
        </is>
      </c>
      <c r="B523" s="1" t="n">
        <v>44683</v>
      </c>
      <c r="C523" s="1" t="n">
        <v>45926</v>
      </c>
      <c r="D523" t="inlineStr">
        <is>
          <t>VÄSTERNORRLANDS LÄN</t>
        </is>
      </c>
      <c r="E523" t="inlineStr">
        <is>
          <t>ÅNGE</t>
        </is>
      </c>
      <c r="G523" t="n">
        <v>0.2</v>
      </c>
      <c r="H523" t="n">
        <v>0</v>
      </c>
      <c r="I523" t="n">
        <v>0</v>
      </c>
      <c r="J523" t="n">
        <v>0</v>
      </c>
      <c r="K523" t="n">
        <v>0</v>
      </c>
      <c r="L523" t="n">
        <v>0</v>
      </c>
      <c r="M523" t="n">
        <v>0</v>
      </c>
      <c r="N523" t="n">
        <v>0</v>
      </c>
      <c r="O523" t="n">
        <v>0</v>
      </c>
      <c r="P523" t="n">
        <v>0</v>
      </c>
      <c r="Q523" t="n">
        <v>0</v>
      </c>
      <c r="R523" s="2" t="inlineStr"/>
    </row>
    <row r="524" ht="15" customHeight="1">
      <c r="A524" t="inlineStr">
        <is>
          <t>A 41284-2024</t>
        </is>
      </c>
      <c r="B524" s="1" t="n">
        <v>45559.59520833333</v>
      </c>
      <c r="C524" s="1" t="n">
        <v>45926</v>
      </c>
      <c r="D524" t="inlineStr">
        <is>
          <t>VÄSTERNORRLANDS LÄN</t>
        </is>
      </c>
      <c r="E524" t="inlineStr">
        <is>
          <t>ÅNGE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23252-2025</t>
        </is>
      </c>
      <c r="B525" s="1" t="n">
        <v>45791.53157407408</v>
      </c>
      <c r="C525" s="1" t="n">
        <v>45926</v>
      </c>
      <c r="D525" t="inlineStr">
        <is>
          <t>VÄSTERNORRLANDS LÄN</t>
        </is>
      </c>
      <c r="E525" t="inlineStr">
        <is>
          <t>ÅNGE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35496-2022</t>
        </is>
      </c>
      <c r="B526" s="1" t="n">
        <v>44798</v>
      </c>
      <c r="C526" s="1" t="n">
        <v>45926</v>
      </c>
      <c r="D526" t="inlineStr">
        <is>
          <t>VÄSTERNORRLANDS LÄN</t>
        </is>
      </c>
      <c r="E526" t="inlineStr">
        <is>
          <t>ÅNGE</t>
        </is>
      </c>
      <c r="F526" t="inlineStr">
        <is>
          <t>SCA</t>
        </is>
      </c>
      <c r="G526" t="n">
        <v>15.6</v>
      </c>
      <c r="H526" t="n">
        <v>0</v>
      </c>
      <c r="I526" t="n">
        <v>0</v>
      </c>
      <c r="J526" t="n">
        <v>0</v>
      </c>
      <c r="K526" t="n">
        <v>0</v>
      </c>
      <c r="L526" t="n">
        <v>0</v>
      </c>
      <c r="M526" t="n">
        <v>0</v>
      </c>
      <c r="N526" t="n">
        <v>0</v>
      </c>
      <c r="O526" t="n">
        <v>0</v>
      </c>
      <c r="P526" t="n">
        <v>0</v>
      </c>
      <c r="Q526" t="n">
        <v>0</v>
      </c>
      <c r="R526" s="2" t="inlineStr"/>
    </row>
    <row r="527" ht="15" customHeight="1">
      <c r="A527" t="inlineStr">
        <is>
          <t>A 9382-2025</t>
        </is>
      </c>
      <c r="B527" s="1" t="n">
        <v>45715.34425925926</v>
      </c>
      <c r="C527" s="1" t="n">
        <v>45926</v>
      </c>
      <c r="D527" t="inlineStr">
        <is>
          <t>VÄSTERNORRLANDS LÄN</t>
        </is>
      </c>
      <c r="E527" t="inlineStr">
        <is>
          <t>ÅNGE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56434-2021</t>
        </is>
      </c>
      <c r="B528" s="1" t="n">
        <v>44477</v>
      </c>
      <c r="C528" s="1" t="n">
        <v>45926</v>
      </c>
      <c r="D528" t="inlineStr">
        <is>
          <t>VÄSTERNORRLANDS LÄN</t>
        </is>
      </c>
      <c r="E528" t="inlineStr">
        <is>
          <t>ÅNGE</t>
        </is>
      </c>
      <c r="G528" t="n">
        <v>2.7</v>
      </c>
      <c r="H528" t="n">
        <v>0</v>
      </c>
      <c r="I528" t="n">
        <v>0</v>
      </c>
      <c r="J528" t="n">
        <v>0</v>
      </c>
      <c r="K528" t="n">
        <v>0</v>
      </c>
      <c r="L528" t="n">
        <v>0</v>
      </c>
      <c r="M528" t="n">
        <v>0</v>
      </c>
      <c r="N528" t="n">
        <v>0</v>
      </c>
      <c r="O528" t="n">
        <v>0</v>
      </c>
      <c r="P528" t="n">
        <v>0</v>
      </c>
      <c r="Q528" t="n">
        <v>0</v>
      </c>
      <c r="R528" s="2" t="inlineStr"/>
    </row>
    <row r="529" ht="15" customHeight="1">
      <c r="A529" t="inlineStr">
        <is>
          <t>A 18067-2025</t>
        </is>
      </c>
      <c r="B529" s="1" t="n">
        <v>45761.49016203704</v>
      </c>
      <c r="C529" s="1" t="n">
        <v>45926</v>
      </c>
      <c r="D529" t="inlineStr">
        <is>
          <t>VÄSTERNORRLANDS LÄN</t>
        </is>
      </c>
      <c r="E529" t="inlineStr">
        <is>
          <t>ÅNGE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11396-2024</t>
        </is>
      </c>
      <c r="B530" s="1" t="n">
        <v>45372</v>
      </c>
      <c r="C530" s="1" t="n">
        <v>45926</v>
      </c>
      <c r="D530" t="inlineStr">
        <is>
          <t>VÄSTERNORRLANDS LÄN</t>
        </is>
      </c>
      <c r="E530" t="inlineStr">
        <is>
          <t>ÅNGE</t>
        </is>
      </c>
      <c r="G530" t="n">
        <v>2.2</v>
      </c>
      <c r="H530" t="n">
        <v>0</v>
      </c>
      <c r="I530" t="n">
        <v>0</v>
      </c>
      <c r="J530" t="n">
        <v>0</v>
      </c>
      <c r="K530" t="n">
        <v>0</v>
      </c>
      <c r="L530" t="n">
        <v>0</v>
      </c>
      <c r="M530" t="n">
        <v>0</v>
      </c>
      <c r="N530" t="n">
        <v>0</v>
      </c>
      <c r="O530" t="n">
        <v>0</v>
      </c>
      <c r="P530" t="n">
        <v>0</v>
      </c>
      <c r="Q530" t="n">
        <v>0</v>
      </c>
      <c r="R530" s="2" t="inlineStr"/>
    </row>
    <row r="531" ht="15" customHeight="1">
      <c r="A531" t="inlineStr">
        <is>
          <t>A 39682-2024</t>
        </is>
      </c>
      <c r="B531" s="1" t="n">
        <v>45552</v>
      </c>
      <c r="C531" s="1" t="n">
        <v>45926</v>
      </c>
      <c r="D531" t="inlineStr">
        <is>
          <t>VÄSTERNORRLANDS LÄN</t>
        </is>
      </c>
      <c r="E531" t="inlineStr">
        <is>
          <t>ÅNGE</t>
        </is>
      </c>
      <c r="G531" t="n">
        <v>35.4</v>
      </c>
      <c r="H531" t="n">
        <v>0</v>
      </c>
      <c r="I531" t="n">
        <v>0</v>
      </c>
      <c r="J531" t="n">
        <v>0</v>
      </c>
      <c r="K531" t="n">
        <v>0</v>
      </c>
      <c r="L531" t="n">
        <v>0</v>
      </c>
      <c r="M531" t="n">
        <v>0</v>
      </c>
      <c r="N531" t="n">
        <v>0</v>
      </c>
      <c r="O531" t="n">
        <v>0</v>
      </c>
      <c r="P531" t="n">
        <v>0</v>
      </c>
      <c r="Q531" t="n">
        <v>0</v>
      </c>
      <c r="R531" s="2" t="inlineStr"/>
    </row>
    <row r="532" ht="15" customHeight="1">
      <c r="A532" t="inlineStr">
        <is>
          <t>A 10025-2025</t>
        </is>
      </c>
      <c r="B532" s="1" t="n">
        <v>45719.49002314815</v>
      </c>
      <c r="C532" s="1" t="n">
        <v>45926</v>
      </c>
      <c r="D532" t="inlineStr">
        <is>
          <t>VÄSTERNORRLANDS LÄN</t>
        </is>
      </c>
      <c r="E532" t="inlineStr">
        <is>
          <t>ÅNGE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19798-2025</t>
        </is>
      </c>
      <c r="B533" s="1" t="n">
        <v>45771.44824074074</v>
      </c>
      <c r="C533" s="1" t="n">
        <v>45926</v>
      </c>
      <c r="D533" t="inlineStr">
        <is>
          <t>VÄSTERNORRLANDS LÄN</t>
        </is>
      </c>
      <c r="E533" t="inlineStr">
        <is>
          <t>ÅNGE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54469-2020</t>
        </is>
      </c>
      <c r="B534" s="1" t="n">
        <v>44126</v>
      </c>
      <c r="C534" s="1" t="n">
        <v>45926</v>
      </c>
      <c r="D534" t="inlineStr">
        <is>
          <t>VÄSTERNORRLANDS LÄN</t>
        </is>
      </c>
      <c r="E534" t="inlineStr">
        <is>
          <t>ÅNGE</t>
        </is>
      </c>
      <c r="G534" t="n">
        <v>4</v>
      </c>
      <c r="H534" t="n">
        <v>0</v>
      </c>
      <c r="I534" t="n">
        <v>0</v>
      </c>
      <c r="J534" t="n">
        <v>0</v>
      </c>
      <c r="K534" t="n">
        <v>0</v>
      </c>
      <c r="L534" t="n">
        <v>0</v>
      </c>
      <c r="M534" t="n">
        <v>0</v>
      </c>
      <c r="N534" t="n">
        <v>0</v>
      </c>
      <c r="O534" t="n">
        <v>0</v>
      </c>
      <c r="P534" t="n">
        <v>0</v>
      </c>
      <c r="Q534" t="n">
        <v>0</v>
      </c>
      <c r="R534" s="2" t="inlineStr"/>
    </row>
    <row r="535" ht="15" customHeight="1">
      <c r="A535" t="inlineStr">
        <is>
          <t>A 22926-2025</t>
        </is>
      </c>
      <c r="B535" s="1" t="n">
        <v>45790</v>
      </c>
      <c r="C535" s="1" t="n">
        <v>45926</v>
      </c>
      <c r="D535" t="inlineStr">
        <is>
          <t>VÄSTERNORRLANDS LÄN</t>
        </is>
      </c>
      <c r="E535" t="inlineStr">
        <is>
          <t>ÅNGE</t>
        </is>
      </c>
      <c r="G535" t="n">
        <v>1.3</v>
      </c>
      <c r="H535" t="n">
        <v>0</v>
      </c>
      <c r="I535" t="n">
        <v>0</v>
      </c>
      <c r="J535" t="n">
        <v>0</v>
      </c>
      <c r="K535" t="n">
        <v>0</v>
      </c>
      <c r="L535" t="n">
        <v>0</v>
      </c>
      <c r="M535" t="n">
        <v>0</v>
      </c>
      <c r="N535" t="n">
        <v>0</v>
      </c>
      <c r="O535" t="n">
        <v>0</v>
      </c>
      <c r="P535" t="n">
        <v>0</v>
      </c>
      <c r="Q535" t="n">
        <v>0</v>
      </c>
      <c r="R535" s="2" t="inlineStr"/>
    </row>
    <row r="536" ht="15" customHeight="1">
      <c r="A536" t="inlineStr">
        <is>
          <t>A 22928-2025</t>
        </is>
      </c>
      <c r="B536" s="1" t="n">
        <v>45790.44825231482</v>
      </c>
      <c r="C536" s="1" t="n">
        <v>45926</v>
      </c>
      <c r="D536" t="inlineStr">
        <is>
          <t>VÄSTERNORRLANDS LÄN</t>
        </is>
      </c>
      <c r="E536" t="inlineStr">
        <is>
          <t>ÅNGE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2984-2025</t>
        </is>
      </c>
      <c r="B537" s="1" t="n">
        <v>45678.51094907407</v>
      </c>
      <c r="C537" s="1" t="n">
        <v>45926</v>
      </c>
      <c r="D537" t="inlineStr">
        <is>
          <t>VÄSTERNORRLANDS LÄN</t>
        </is>
      </c>
      <c r="E537" t="inlineStr">
        <is>
          <t>ÅNGE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15778-2025</t>
        </is>
      </c>
      <c r="B538" s="1" t="n">
        <v>45748.60030092593</v>
      </c>
      <c r="C538" s="1" t="n">
        <v>45926</v>
      </c>
      <c r="D538" t="inlineStr">
        <is>
          <t>VÄSTERNORRLANDS LÄN</t>
        </is>
      </c>
      <c r="E538" t="inlineStr">
        <is>
          <t>ÅNGE</t>
        </is>
      </c>
      <c r="F538" t="inlineStr">
        <is>
          <t>SCA</t>
        </is>
      </c>
      <c r="G538" t="n">
        <v>13.6</v>
      </c>
      <c r="H538" t="n">
        <v>0</v>
      </c>
      <c r="I538" t="n">
        <v>0</v>
      </c>
      <c r="J538" t="n">
        <v>0</v>
      </c>
      <c r="K538" t="n">
        <v>0</v>
      </c>
      <c r="L538" t="n">
        <v>0</v>
      </c>
      <c r="M538" t="n">
        <v>0</v>
      </c>
      <c r="N538" t="n">
        <v>0</v>
      </c>
      <c r="O538" t="n">
        <v>0</v>
      </c>
      <c r="P538" t="n">
        <v>0</v>
      </c>
      <c r="Q538" t="n">
        <v>0</v>
      </c>
      <c r="R538" s="2" t="inlineStr"/>
    </row>
    <row r="539" ht="15" customHeight="1">
      <c r="A539" t="inlineStr">
        <is>
          <t>A 23748-2025</t>
        </is>
      </c>
      <c r="B539" s="1" t="n">
        <v>45793.44755787037</v>
      </c>
      <c r="C539" s="1" t="n">
        <v>45926</v>
      </c>
      <c r="D539" t="inlineStr">
        <is>
          <t>VÄSTERNORRLANDS LÄN</t>
        </is>
      </c>
      <c r="E539" t="inlineStr">
        <is>
          <t>ÅNGE</t>
        </is>
      </c>
      <c r="F539" t="inlineStr">
        <is>
          <t>Sveaskog</t>
        </is>
      </c>
      <c r="G539" t="n">
        <v>6.5</v>
      </c>
      <c r="H539" t="n">
        <v>0</v>
      </c>
      <c r="I539" t="n">
        <v>0</v>
      </c>
      <c r="J539" t="n">
        <v>0</v>
      </c>
      <c r="K539" t="n">
        <v>0</v>
      </c>
      <c r="L539" t="n">
        <v>0</v>
      </c>
      <c r="M539" t="n">
        <v>0</v>
      </c>
      <c r="N539" t="n">
        <v>0</v>
      </c>
      <c r="O539" t="n">
        <v>0</v>
      </c>
      <c r="P539" t="n">
        <v>0</v>
      </c>
      <c r="Q539" t="n">
        <v>0</v>
      </c>
      <c r="R539" s="2" t="inlineStr"/>
    </row>
    <row r="540" ht="15" customHeight="1">
      <c r="A540" t="inlineStr">
        <is>
          <t>A 39764-2024</t>
        </is>
      </c>
      <c r="B540" s="1" t="n">
        <v>45552.7190162037</v>
      </c>
      <c r="C540" s="1" t="n">
        <v>45926</v>
      </c>
      <c r="D540" t="inlineStr">
        <is>
          <t>VÄSTERNORRLANDS LÄN</t>
        </is>
      </c>
      <c r="E540" t="inlineStr">
        <is>
          <t>ÅNGE</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52504-2020</t>
        </is>
      </c>
      <c r="B541" s="1" t="n">
        <v>44113</v>
      </c>
      <c r="C541" s="1" t="n">
        <v>45926</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23589-2025</t>
        </is>
      </c>
      <c r="B542" s="1" t="n">
        <v>45792.63618055556</v>
      </c>
      <c r="C542" s="1" t="n">
        <v>45926</v>
      </c>
      <c r="D542" t="inlineStr">
        <is>
          <t>VÄSTERNORRLANDS LÄN</t>
        </is>
      </c>
      <c r="E542" t="inlineStr">
        <is>
          <t>ÅNGE</t>
        </is>
      </c>
      <c r="F542" t="inlineStr">
        <is>
          <t>SCA</t>
        </is>
      </c>
      <c r="G542" t="n">
        <v>10.7</v>
      </c>
      <c r="H542" t="n">
        <v>0</v>
      </c>
      <c r="I542" t="n">
        <v>0</v>
      </c>
      <c r="J542" t="n">
        <v>0</v>
      </c>
      <c r="K542" t="n">
        <v>0</v>
      </c>
      <c r="L542" t="n">
        <v>0</v>
      </c>
      <c r="M542" t="n">
        <v>0</v>
      </c>
      <c r="N542" t="n">
        <v>0</v>
      </c>
      <c r="O542" t="n">
        <v>0</v>
      </c>
      <c r="P542" t="n">
        <v>0</v>
      </c>
      <c r="Q542" t="n">
        <v>0</v>
      </c>
      <c r="R542" s="2" t="inlineStr"/>
    </row>
    <row r="543" ht="15" customHeight="1">
      <c r="A543" t="inlineStr">
        <is>
          <t>A 3133-2024</t>
        </is>
      </c>
      <c r="B543" s="1" t="n">
        <v>45316.55885416667</v>
      </c>
      <c r="C543" s="1" t="n">
        <v>45926</v>
      </c>
      <c r="D543" t="inlineStr">
        <is>
          <t>VÄSTERNORRLANDS LÄN</t>
        </is>
      </c>
      <c r="E543" t="inlineStr">
        <is>
          <t>ÅNGE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23495-2025</t>
        </is>
      </c>
      <c r="B544" s="1" t="n">
        <v>45792.46967592592</v>
      </c>
      <c r="C544" s="1" t="n">
        <v>45926</v>
      </c>
      <c r="D544" t="inlineStr">
        <is>
          <t>VÄSTERNORRLANDS LÄN</t>
        </is>
      </c>
      <c r="E544" t="inlineStr">
        <is>
          <t>ÅNGE</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23580-2025</t>
        </is>
      </c>
      <c r="B545" s="1" t="n">
        <v>45792.62555555555</v>
      </c>
      <c r="C545" s="1" t="n">
        <v>45926</v>
      </c>
      <c r="D545" t="inlineStr">
        <is>
          <t>VÄSTERNORRLANDS LÄN</t>
        </is>
      </c>
      <c r="E545" t="inlineStr">
        <is>
          <t>ÅNGE</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23590-2025</t>
        </is>
      </c>
      <c r="B546" s="1" t="n">
        <v>45792.63627314815</v>
      </c>
      <c r="C546" s="1" t="n">
        <v>45926</v>
      </c>
      <c r="D546" t="inlineStr">
        <is>
          <t>VÄSTERNORRLANDS LÄN</t>
        </is>
      </c>
      <c r="E546" t="inlineStr">
        <is>
          <t>ÅNGE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23573-2025</t>
        </is>
      </c>
      <c r="B547" s="1" t="n">
        <v>45792.61497685185</v>
      </c>
      <c r="C547" s="1" t="n">
        <v>45926</v>
      </c>
      <c r="D547" t="inlineStr">
        <is>
          <t>VÄSTERNORRLANDS LÄN</t>
        </is>
      </c>
      <c r="E547" t="inlineStr">
        <is>
          <t>ÅNGE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23552-2025</t>
        </is>
      </c>
      <c r="B548" s="1" t="n">
        <v>45792.5738425926</v>
      </c>
      <c r="C548" s="1" t="n">
        <v>45926</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56569-2024</t>
        </is>
      </c>
      <c r="B549" s="1" t="n">
        <v>45625</v>
      </c>
      <c r="C549" s="1" t="n">
        <v>45926</v>
      </c>
      <c r="D549" t="inlineStr">
        <is>
          <t>VÄSTERNORRLANDS LÄN</t>
        </is>
      </c>
      <c r="E549" t="inlineStr">
        <is>
          <t>ÅNGE</t>
        </is>
      </c>
      <c r="G549" t="n">
        <v>4.8</v>
      </c>
      <c r="H549" t="n">
        <v>0</v>
      </c>
      <c r="I549" t="n">
        <v>0</v>
      </c>
      <c r="J549" t="n">
        <v>0</v>
      </c>
      <c r="K549" t="n">
        <v>0</v>
      </c>
      <c r="L549" t="n">
        <v>0</v>
      </c>
      <c r="M549" t="n">
        <v>0</v>
      </c>
      <c r="N549" t="n">
        <v>0</v>
      </c>
      <c r="O549" t="n">
        <v>0</v>
      </c>
      <c r="P549" t="n">
        <v>0</v>
      </c>
      <c r="Q549" t="n">
        <v>0</v>
      </c>
      <c r="R549" s="2" t="inlineStr"/>
    </row>
    <row r="550" ht="15" customHeight="1">
      <c r="A550" t="inlineStr">
        <is>
          <t>A 18422-2021</t>
        </is>
      </c>
      <c r="B550" s="1" t="n">
        <v>44305</v>
      </c>
      <c r="C550" s="1" t="n">
        <v>45926</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23407-2025</t>
        </is>
      </c>
      <c r="B551" s="1" t="n">
        <v>45792.34549768519</v>
      </c>
      <c r="C551" s="1" t="n">
        <v>45926</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46824-2021</t>
        </is>
      </c>
      <c r="B552" s="1" t="n">
        <v>44446.34271990741</v>
      </c>
      <c r="C552" s="1" t="n">
        <v>45926</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23529-2025</t>
        </is>
      </c>
      <c r="B553" s="1" t="n">
        <v>45792.53158564815</v>
      </c>
      <c r="C553" s="1" t="n">
        <v>45926</v>
      </c>
      <c r="D553" t="inlineStr">
        <is>
          <t>VÄSTERNORRLANDS LÄN</t>
        </is>
      </c>
      <c r="E553" t="inlineStr">
        <is>
          <t>ÅNGE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60004-2023</t>
        </is>
      </c>
      <c r="B554" s="1" t="n">
        <v>45257</v>
      </c>
      <c r="C554" s="1" t="n">
        <v>45926</v>
      </c>
      <c r="D554" t="inlineStr">
        <is>
          <t>VÄSTERNORRLANDS LÄN</t>
        </is>
      </c>
      <c r="E554" t="inlineStr">
        <is>
          <t>ÅNGE</t>
        </is>
      </c>
      <c r="F554" t="inlineStr">
        <is>
          <t>SCA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4142-2024</t>
        </is>
      </c>
      <c r="B555" s="1" t="n">
        <v>45323</v>
      </c>
      <c r="C555" s="1" t="n">
        <v>45926</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39843-2023</t>
        </is>
      </c>
      <c r="B556" s="1" t="n">
        <v>45168</v>
      </c>
      <c r="C556" s="1" t="n">
        <v>45926</v>
      </c>
      <c r="D556" t="inlineStr">
        <is>
          <t>VÄSTERNORRLANDS LÄN</t>
        </is>
      </c>
      <c r="E556" t="inlineStr">
        <is>
          <t>ÅNGE</t>
        </is>
      </c>
      <c r="G556" t="n">
        <v>2.1</v>
      </c>
      <c r="H556" t="n">
        <v>0</v>
      </c>
      <c r="I556" t="n">
        <v>0</v>
      </c>
      <c r="J556" t="n">
        <v>0</v>
      </c>
      <c r="K556" t="n">
        <v>0</v>
      </c>
      <c r="L556" t="n">
        <v>0</v>
      </c>
      <c r="M556" t="n">
        <v>0</v>
      </c>
      <c r="N556" t="n">
        <v>0</v>
      </c>
      <c r="O556" t="n">
        <v>0</v>
      </c>
      <c r="P556" t="n">
        <v>0</v>
      </c>
      <c r="Q556" t="n">
        <v>0</v>
      </c>
      <c r="R556" s="2" t="inlineStr"/>
    </row>
    <row r="557" ht="15" customHeight="1">
      <c r="A557" t="inlineStr">
        <is>
          <t>A 46775-2024</t>
        </is>
      </c>
      <c r="B557" s="1" t="n">
        <v>45583.49711805556</v>
      </c>
      <c r="C557" s="1" t="n">
        <v>45926</v>
      </c>
      <c r="D557" t="inlineStr">
        <is>
          <t>VÄSTERNORRLANDS LÄN</t>
        </is>
      </c>
      <c r="E557" t="inlineStr">
        <is>
          <t>ÅNGE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46780-2024</t>
        </is>
      </c>
      <c r="B558" s="1" t="n">
        <v>45583.51076388889</v>
      </c>
      <c r="C558" s="1" t="n">
        <v>45926</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23899-2025</t>
        </is>
      </c>
      <c r="B559" s="1" t="n">
        <v>45794.34414351852</v>
      </c>
      <c r="C559" s="1" t="n">
        <v>45926</v>
      </c>
      <c r="D559" t="inlineStr">
        <is>
          <t>VÄSTERNORRLANDS LÄN</t>
        </is>
      </c>
      <c r="E559" t="inlineStr">
        <is>
          <t>ÅNGE</t>
        </is>
      </c>
      <c r="F559" t="inlineStr">
        <is>
          <t>SCA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54079-2023</t>
        </is>
      </c>
      <c r="B560" s="1" t="n">
        <v>45231</v>
      </c>
      <c r="C560" s="1" t="n">
        <v>45926</v>
      </c>
      <c r="D560" t="inlineStr">
        <is>
          <t>VÄSTERNORRLANDS LÄN</t>
        </is>
      </c>
      <c r="E560" t="inlineStr">
        <is>
          <t>ÅNGE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24357-2025</t>
        </is>
      </c>
      <c r="B561" s="1" t="n">
        <v>45797.59467592592</v>
      </c>
      <c r="C561" s="1" t="n">
        <v>45926</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24292-2025</t>
        </is>
      </c>
      <c r="B562" s="1" t="n">
        <v>45797.46657407407</v>
      </c>
      <c r="C562" s="1" t="n">
        <v>45926</v>
      </c>
      <c r="D562" t="inlineStr">
        <is>
          <t>VÄSTERNORRLANDS LÄN</t>
        </is>
      </c>
      <c r="E562" t="inlineStr">
        <is>
          <t>ÅNGE</t>
        </is>
      </c>
      <c r="G562" t="n">
        <v>2.8</v>
      </c>
      <c r="H562" t="n">
        <v>0</v>
      </c>
      <c r="I562" t="n">
        <v>0</v>
      </c>
      <c r="J562" t="n">
        <v>0</v>
      </c>
      <c r="K562" t="n">
        <v>0</v>
      </c>
      <c r="L562" t="n">
        <v>0</v>
      </c>
      <c r="M562" t="n">
        <v>0</v>
      </c>
      <c r="N562" t="n">
        <v>0</v>
      </c>
      <c r="O562" t="n">
        <v>0</v>
      </c>
      <c r="P562" t="n">
        <v>0</v>
      </c>
      <c r="Q562" t="n">
        <v>0</v>
      </c>
      <c r="R562" s="2" t="inlineStr"/>
    </row>
    <row r="563" ht="15" customHeight="1">
      <c r="A563" t="inlineStr">
        <is>
          <t>A 51542-2022</t>
        </is>
      </c>
      <c r="B563" s="1" t="n">
        <v>44869.94850694444</v>
      </c>
      <c r="C563" s="1" t="n">
        <v>45926</v>
      </c>
      <c r="D563" t="inlineStr">
        <is>
          <t>VÄSTERNORRLANDS LÄN</t>
        </is>
      </c>
      <c r="E563" t="inlineStr">
        <is>
          <t>ÅNGE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24008-2025</t>
        </is>
      </c>
      <c r="B564" s="1" t="n">
        <v>45796.43841435185</v>
      </c>
      <c r="C564" s="1" t="n">
        <v>45926</v>
      </c>
      <c r="D564" t="inlineStr">
        <is>
          <t>VÄSTERNORRLANDS LÄN</t>
        </is>
      </c>
      <c r="E564" t="inlineStr">
        <is>
          <t>ÅNGE</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41355-2024</t>
        </is>
      </c>
      <c r="B565" s="1" t="n">
        <v>45559.69833333333</v>
      </c>
      <c r="C565" s="1" t="n">
        <v>45926</v>
      </c>
      <c r="D565" t="inlineStr">
        <is>
          <t>VÄSTERNORRLANDS LÄN</t>
        </is>
      </c>
      <c r="E565" t="inlineStr">
        <is>
          <t>ÅNGE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732-2023</t>
        </is>
      </c>
      <c r="B566" s="1" t="n">
        <v>44931.29981481482</v>
      </c>
      <c r="C566" s="1" t="n">
        <v>45926</v>
      </c>
      <c r="D566" t="inlineStr">
        <is>
          <t>VÄSTERNORRLANDS LÄN</t>
        </is>
      </c>
      <c r="E566" t="inlineStr">
        <is>
          <t>ÅNGE</t>
        </is>
      </c>
      <c r="F566" t="inlineStr">
        <is>
          <t>Sveaskog</t>
        </is>
      </c>
      <c r="G566" t="n">
        <v>3.6</v>
      </c>
      <c r="H566" t="n">
        <v>0</v>
      </c>
      <c r="I566" t="n">
        <v>0</v>
      </c>
      <c r="J566" t="n">
        <v>0</v>
      </c>
      <c r="K566" t="n">
        <v>0</v>
      </c>
      <c r="L566" t="n">
        <v>0</v>
      </c>
      <c r="M566" t="n">
        <v>0</v>
      </c>
      <c r="N566" t="n">
        <v>0</v>
      </c>
      <c r="O566" t="n">
        <v>0</v>
      </c>
      <c r="P566" t="n">
        <v>0</v>
      </c>
      <c r="Q566" t="n">
        <v>0</v>
      </c>
      <c r="R566" s="2" t="inlineStr"/>
    </row>
    <row r="567" ht="15" customHeight="1">
      <c r="A567" t="inlineStr">
        <is>
          <t>A 41575-2024</t>
        </is>
      </c>
      <c r="B567" s="1" t="n">
        <v>45560.55106481481</v>
      </c>
      <c r="C567" s="1" t="n">
        <v>45926</v>
      </c>
      <c r="D567" t="inlineStr">
        <is>
          <t>VÄSTERNORRLANDS LÄN</t>
        </is>
      </c>
      <c r="E567" t="inlineStr">
        <is>
          <t>ÅNGE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19007-2025</t>
        </is>
      </c>
      <c r="B568" s="1" t="n">
        <v>45764.58515046296</v>
      </c>
      <c r="C568" s="1" t="n">
        <v>45926</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41741-2023</t>
        </is>
      </c>
      <c r="B569" s="1" t="n">
        <v>45176.42164351852</v>
      </c>
      <c r="C569" s="1" t="n">
        <v>45926</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29702-2024</t>
        </is>
      </c>
      <c r="B570" s="1" t="n">
        <v>45485.31525462963</v>
      </c>
      <c r="C570" s="1" t="n">
        <v>45926</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23069-2024</t>
        </is>
      </c>
      <c r="B571" s="1" t="n">
        <v>45450</v>
      </c>
      <c r="C571" s="1" t="n">
        <v>45926</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53663-2022</t>
        </is>
      </c>
      <c r="B572" s="1" t="n">
        <v>44879</v>
      </c>
      <c r="C572" s="1" t="n">
        <v>45926</v>
      </c>
      <c r="D572" t="inlineStr">
        <is>
          <t>VÄSTERNORRLANDS LÄN</t>
        </is>
      </c>
      <c r="E572" t="inlineStr">
        <is>
          <t>ÅNGE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24209-2025</t>
        </is>
      </c>
      <c r="B573" s="1" t="n">
        <v>45797.3446875</v>
      </c>
      <c r="C573" s="1" t="n">
        <v>45926</v>
      </c>
      <c r="D573" t="inlineStr">
        <is>
          <t>VÄSTERNORRLANDS LÄN</t>
        </is>
      </c>
      <c r="E573" t="inlineStr">
        <is>
          <t>ÅNGE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10089-2023</t>
        </is>
      </c>
      <c r="B574" s="1" t="n">
        <v>44985</v>
      </c>
      <c r="C574" s="1" t="n">
        <v>45926</v>
      </c>
      <c r="D574" t="inlineStr">
        <is>
          <t>VÄSTERNORRLANDS LÄN</t>
        </is>
      </c>
      <c r="E574" t="inlineStr">
        <is>
          <t>ÅNGE</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10090-2023</t>
        </is>
      </c>
      <c r="B575" s="1" t="n">
        <v>44985.94511574074</v>
      </c>
      <c r="C575" s="1" t="n">
        <v>45926</v>
      </c>
      <c r="D575" t="inlineStr">
        <is>
          <t>VÄSTERNORRLANDS LÄN</t>
        </is>
      </c>
      <c r="E575" t="inlineStr">
        <is>
          <t>ÅNGE</t>
        </is>
      </c>
      <c r="F575" t="inlineStr">
        <is>
          <t>SCA</t>
        </is>
      </c>
      <c r="G575" t="n">
        <v>8.4</v>
      </c>
      <c r="H575" t="n">
        <v>0</v>
      </c>
      <c r="I575" t="n">
        <v>0</v>
      </c>
      <c r="J575" t="n">
        <v>0</v>
      </c>
      <c r="K575" t="n">
        <v>0</v>
      </c>
      <c r="L575" t="n">
        <v>0</v>
      </c>
      <c r="M575" t="n">
        <v>0</v>
      </c>
      <c r="N575" t="n">
        <v>0</v>
      </c>
      <c r="O575" t="n">
        <v>0</v>
      </c>
      <c r="P575" t="n">
        <v>0</v>
      </c>
      <c r="Q575" t="n">
        <v>0</v>
      </c>
      <c r="R575" s="2" t="inlineStr"/>
    </row>
    <row r="576" ht="15" customHeight="1">
      <c r="A576" t="inlineStr">
        <is>
          <t>A 10781-2024</t>
        </is>
      </c>
      <c r="B576" s="1" t="n">
        <v>45369.59635416666</v>
      </c>
      <c r="C576" s="1" t="n">
        <v>45926</v>
      </c>
      <c r="D576" t="inlineStr">
        <is>
          <t>VÄSTERNORRLANDS LÄN</t>
        </is>
      </c>
      <c r="E576" t="inlineStr">
        <is>
          <t>ÅNGE</t>
        </is>
      </c>
      <c r="G576" t="n">
        <v>1.9</v>
      </c>
      <c r="H576" t="n">
        <v>0</v>
      </c>
      <c r="I576" t="n">
        <v>0</v>
      </c>
      <c r="J576" t="n">
        <v>0</v>
      </c>
      <c r="K576" t="n">
        <v>0</v>
      </c>
      <c r="L576" t="n">
        <v>0</v>
      </c>
      <c r="M576" t="n">
        <v>0</v>
      </c>
      <c r="N576" t="n">
        <v>0</v>
      </c>
      <c r="O576" t="n">
        <v>0</v>
      </c>
      <c r="P576" t="n">
        <v>0</v>
      </c>
      <c r="Q576" t="n">
        <v>0</v>
      </c>
      <c r="R576" s="2" t="inlineStr"/>
    </row>
    <row r="577" ht="15" customHeight="1">
      <c r="A577" t="inlineStr">
        <is>
          <t>A 5552-2022</t>
        </is>
      </c>
      <c r="B577" s="1" t="n">
        <v>44595.62966435185</v>
      </c>
      <c r="C577" s="1" t="n">
        <v>45926</v>
      </c>
      <c r="D577" t="inlineStr">
        <is>
          <t>VÄSTERNORRLANDS LÄN</t>
        </is>
      </c>
      <c r="E577" t="inlineStr">
        <is>
          <t>ÅNGE</t>
        </is>
      </c>
      <c r="G577" t="n">
        <v>0.6</v>
      </c>
      <c r="H577" t="n">
        <v>0</v>
      </c>
      <c r="I577" t="n">
        <v>0</v>
      </c>
      <c r="J577" t="n">
        <v>0</v>
      </c>
      <c r="K577" t="n">
        <v>0</v>
      </c>
      <c r="L577" t="n">
        <v>0</v>
      </c>
      <c r="M577" t="n">
        <v>0</v>
      </c>
      <c r="N577" t="n">
        <v>0</v>
      </c>
      <c r="O577" t="n">
        <v>0</v>
      </c>
      <c r="P577" t="n">
        <v>0</v>
      </c>
      <c r="Q577" t="n">
        <v>0</v>
      </c>
      <c r="R577" s="2" t="inlineStr"/>
    </row>
    <row r="578" ht="15" customHeight="1">
      <c r="A578" t="inlineStr">
        <is>
          <t>A 35026-2022</t>
        </is>
      </c>
      <c r="B578" s="1" t="n">
        <v>44796</v>
      </c>
      <c r="C578" s="1" t="n">
        <v>45926</v>
      </c>
      <c r="D578" t="inlineStr">
        <is>
          <t>VÄSTERNORRLANDS LÄN</t>
        </is>
      </c>
      <c r="E578" t="inlineStr">
        <is>
          <t>ÅNGE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19997-2023</t>
        </is>
      </c>
      <c r="B579" s="1" t="n">
        <v>45054</v>
      </c>
      <c r="C579" s="1" t="n">
        <v>45926</v>
      </c>
      <c r="D579" t="inlineStr">
        <is>
          <t>VÄSTERNORRLANDS LÄN</t>
        </is>
      </c>
      <c r="E579" t="inlineStr">
        <is>
          <t>ÅNGE</t>
        </is>
      </c>
      <c r="G579" t="n">
        <v>0.3</v>
      </c>
      <c r="H579" t="n">
        <v>0</v>
      </c>
      <c r="I579" t="n">
        <v>0</v>
      </c>
      <c r="J579" t="n">
        <v>0</v>
      </c>
      <c r="K579" t="n">
        <v>0</v>
      </c>
      <c r="L579" t="n">
        <v>0</v>
      </c>
      <c r="M579" t="n">
        <v>0</v>
      </c>
      <c r="N579" t="n">
        <v>0</v>
      </c>
      <c r="O579" t="n">
        <v>0</v>
      </c>
      <c r="P579" t="n">
        <v>0</v>
      </c>
      <c r="Q579" t="n">
        <v>0</v>
      </c>
      <c r="R579" s="2" t="inlineStr"/>
    </row>
    <row r="580" ht="15" customHeight="1">
      <c r="A580" t="inlineStr">
        <is>
          <t>A 23975-2025</t>
        </is>
      </c>
      <c r="B580" s="1" t="n">
        <v>45796.38614583333</v>
      </c>
      <c r="C580" s="1" t="n">
        <v>45926</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23976-2025</t>
        </is>
      </c>
      <c r="B581" s="1" t="n">
        <v>45796.38625</v>
      </c>
      <c r="C581" s="1" t="n">
        <v>45926</v>
      </c>
      <c r="D581" t="inlineStr">
        <is>
          <t>VÄSTERNORRLANDS LÄN</t>
        </is>
      </c>
      <c r="E581" t="inlineStr">
        <is>
          <t>ÅNGE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57516-2023</t>
        </is>
      </c>
      <c r="B582" s="1" t="n">
        <v>45246.44665509259</v>
      </c>
      <c r="C582" s="1" t="n">
        <v>45926</v>
      </c>
      <c r="D582" t="inlineStr">
        <is>
          <t>VÄSTERNORRLANDS LÄN</t>
        </is>
      </c>
      <c r="E582" t="inlineStr">
        <is>
          <t>ÅNGE</t>
        </is>
      </c>
      <c r="G582" t="n">
        <v>2.2</v>
      </c>
      <c r="H582" t="n">
        <v>0</v>
      </c>
      <c r="I582" t="n">
        <v>0</v>
      </c>
      <c r="J582" t="n">
        <v>0</v>
      </c>
      <c r="K582" t="n">
        <v>0</v>
      </c>
      <c r="L582" t="n">
        <v>0</v>
      </c>
      <c r="M582" t="n">
        <v>0</v>
      </c>
      <c r="N582" t="n">
        <v>0</v>
      </c>
      <c r="O582" t="n">
        <v>0</v>
      </c>
      <c r="P582" t="n">
        <v>0</v>
      </c>
      <c r="Q582" t="n">
        <v>0</v>
      </c>
      <c r="R582" s="2" t="inlineStr"/>
    </row>
    <row r="583" ht="15" customHeight="1">
      <c r="A583" t="inlineStr">
        <is>
          <t>A 38284-2022</t>
        </is>
      </c>
      <c r="B583" s="1" t="n">
        <v>44812.55149305556</v>
      </c>
      <c r="C583" s="1" t="n">
        <v>45926</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26641-2024</t>
        </is>
      </c>
      <c r="B584" s="1" t="n">
        <v>45469.92836805555</v>
      </c>
      <c r="C584" s="1" t="n">
        <v>45926</v>
      </c>
      <c r="D584" t="inlineStr">
        <is>
          <t>VÄSTERNORRLANDS LÄN</t>
        </is>
      </c>
      <c r="E584" t="inlineStr">
        <is>
          <t>ÅNGE</t>
        </is>
      </c>
      <c r="G584" t="n">
        <v>4.5</v>
      </c>
      <c r="H584" t="n">
        <v>0</v>
      </c>
      <c r="I584" t="n">
        <v>0</v>
      </c>
      <c r="J584" t="n">
        <v>0</v>
      </c>
      <c r="K584" t="n">
        <v>0</v>
      </c>
      <c r="L584" t="n">
        <v>0</v>
      </c>
      <c r="M584" t="n">
        <v>0</v>
      </c>
      <c r="N584" t="n">
        <v>0</v>
      </c>
      <c r="O584" t="n">
        <v>0</v>
      </c>
      <c r="P584" t="n">
        <v>0</v>
      </c>
      <c r="Q584" t="n">
        <v>0</v>
      </c>
      <c r="R584" s="2" t="inlineStr"/>
    </row>
    <row r="585" ht="15" customHeight="1">
      <c r="A585" t="inlineStr">
        <is>
          <t>A 5393-2025</t>
        </is>
      </c>
      <c r="B585" s="1" t="n">
        <v>45692.63574074074</v>
      </c>
      <c r="C585" s="1" t="n">
        <v>45926</v>
      </c>
      <c r="D585" t="inlineStr">
        <is>
          <t>VÄSTERNORRLANDS LÄN</t>
        </is>
      </c>
      <c r="E585" t="inlineStr">
        <is>
          <t>ÅNGE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57529-2024</t>
        </is>
      </c>
      <c r="B586" s="1" t="n">
        <v>45630</v>
      </c>
      <c r="C586" s="1" t="n">
        <v>45926</v>
      </c>
      <c r="D586" t="inlineStr">
        <is>
          <t>VÄSTERNORRLANDS LÄN</t>
        </is>
      </c>
      <c r="E586" t="inlineStr">
        <is>
          <t>ÅNGE</t>
        </is>
      </c>
      <c r="G586" t="n">
        <v>1.4</v>
      </c>
      <c r="H586" t="n">
        <v>0</v>
      </c>
      <c r="I586" t="n">
        <v>0</v>
      </c>
      <c r="J586" t="n">
        <v>0</v>
      </c>
      <c r="K586" t="n">
        <v>0</v>
      </c>
      <c r="L586" t="n">
        <v>0</v>
      </c>
      <c r="M586" t="n">
        <v>0</v>
      </c>
      <c r="N586" t="n">
        <v>0</v>
      </c>
      <c r="O586" t="n">
        <v>0</v>
      </c>
      <c r="P586" t="n">
        <v>0</v>
      </c>
      <c r="Q586" t="n">
        <v>0</v>
      </c>
      <c r="R586" s="2" t="inlineStr"/>
    </row>
    <row r="587" ht="15" customHeight="1">
      <c r="A587" t="inlineStr">
        <is>
          <t>A 58943-2022</t>
        </is>
      </c>
      <c r="B587" s="1" t="n">
        <v>44903.64400462963</v>
      </c>
      <c r="C587" s="1" t="n">
        <v>45926</v>
      </c>
      <c r="D587" t="inlineStr">
        <is>
          <t>VÄSTERNORRLANDS LÄN</t>
        </is>
      </c>
      <c r="E587" t="inlineStr">
        <is>
          <t>ÅNGE</t>
        </is>
      </c>
      <c r="G587" t="n">
        <v>5.6</v>
      </c>
      <c r="H587" t="n">
        <v>0</v>
      </c>
      <c r="I587" t="n">
        <v>0</v>
      </c>
      <c r="J587" t="n">
        <v>0</v>
      </c>
      <c r="K587" t="n">
        <v>0</v>
      </c>
      <c r="L587" t="n">
        <v>0</v>
      </c>
      <c r="M587" t="n">
        <v>0</v>
      </c>
      <c r="N587" t="n">
        <v>0</v>
      </c>
      <c r="O587" t="n">
        <v>0</v>
      </c>
      <c r="P587" t="n">
        <v>0</v>
      </c>
      <c r="Q587" t="n">
        <v>0</v>
      </c>
      <c r="R587" s="2" t="inlineStr"/>
    </row>
    <row r="588" ht="15" customHeight="1">
      <c r="A588" t="inlineStr">
        <is>
          <t>A 1769-2023</t>
        </is>
      </c>
      <c r="B588" s="1" t="n">
        <v>44938.58025462963</v>
      </c>
      <c r="C588" s="1" t="n">
        <v>45926</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32776-2022</t>
        </is>
      </c>
      <c r="B589" s="1" t="n">
        <v>44783.94607638889</v>
      </c>
      <c r="C589" s="1" t="n">
        <v>45926</v>
      </c>
      <c r="D589" t="inlineStr">
        <is>
          <t>VÄSTERNORRLANDS LÄN</t>
        </is>
      </c>
      <c r="E589" t="inlineStr">
        <is>
          <t>ÅNGE</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37992-2024</t>
        </is>
      </c>
      <c r="B590" s="1" t="n">
        <v>45544.59524305556</v>
      </c>
      <c r="C590" s="1" t="n">
        <v>45926</v>
      </c>
      <c r="D590" t="inlineStr">
        <is>
          <t>VÄSTERNORRLANDS LÄN</t>
        </is>
      </c>
      <c r="E590" t="inlineStr">
        <is>
          <t>ÅNGE</t>
        </is>
      </c>
      <c r="G590" t="n">
        <v>3.9</v>
      </c>
      <c r="H590" t="n">
        <v>0</v>
      </c>
      <c r="I590" t="n">
        <v>0</v>
      </c>
      <c r="J590" t="n">
        <v>0</v>
      </c>
      <c r="K590" t="n">
        <v>0</v>
      </c>
      <c r="L590" t="n">
        <v>0</v>
      </c>
      <c r="M590" t="n">
        <v>0</v>
      </c>
      <c r="N590" t="n">
        <v>0</v>
      </c>
      <c r="O590" t="n">
        <v>0</v>
      </c>
      <c r="P590" t="n">
        <v>0</v>
      </c>
      <c r="Q590" t="n">
        <v>0</v>
      </c>
      <c r="R590" s="2" t="inlineStr"/>
    </row>
    <row r="591" ht="15" customHeight="1">
      <c r="A591" t="inlineStr">
        <is>
          <t>A 29462-2024</t>
        </is>
      </c>
      <c r="B591" s="1" t="n">
        <v>45483.96979166667</v>
      </c>
      <c r="C591" s="1" t="n">
        <v>45926</v>
      </c>
      <c r="D591" t="inlineStr">
        <is>
          <t>VÄSTERNORRLANDS LÄN</t>
        </is>
      </c>
      <c r="E591" t="inlineStr">
        <is>
          <t>ÅNGE</t>
        </is>
      </c>
      <c r="F591" t="inlineStr">
        <is>
          <t>SCA</t>
        </is>
      </c>
      <c r="G591" t="n">
        <v>8.4</v>
      </c>
      <c r="H591" t="n">
        <v>0</v>
      </c>
      <c r="I591" t="n">
        <v>0</v>
      </c>
      <c r="J591" t="n">
        <v>0</v>
      </c>
      <c r="K591" t="n">
        <v>0</v>
      </c>
      <c r="L591" t="n">
        <v>0</v>
      </c>
      <c r="M591" t="n">
        <v>0</v>
      </c>
      <c r="N591" t="n">
        <v>0</v>
      </c>
      <c r="O591" t="n">
        <v>0</v>
      </c>
      <c r="P591" t="n">
        <v>0</v>
      </c>
      <c r="Q591" t="n">
        <v>0</v>
      </c>
      <c r="R591" s="2" t="inlineStr"/>
    </row>
    <row r="592" ht="15" customHeight="1">
      <c r="A592" t="inlineStr">
        <is>
          <t>A 25779-2023</t>
        </is>
      </c>
      <c r="B592" s="1" t="n">
        <v>45090.47439814815</v>
      </c>
      <c r="C592" s="1" t="n">
        <v>45926</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23225-2024</t>
        </is>
      </c>
      <c r="B593" s="1" t="n">
        <v>45452.9490162037</v>
      </c>
      <c r="C593" s="1" t="n">
        <v>45926</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29696-2024</t>
        </is>
      </c>
      <c r="B594" s="1" t="n">
        <v>45484.94524305555</v>
      </c>
      <c r="C594" s="1" t="n">
        <v>45926</v>
      </c>
      <c r="D594" t="inlineStr">
        <is>
          <t>VÄSTERNORRLANDS LÄN</t>
        </is>
      </c>
      <c r="E594" t="inlineStr">
        <is>
          <t>ÅNGE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24207-2025</t>
        </is>
      </c>
      <c r="B595" s="1" t="n">
        <v>45797.34439814815</v>
      </c>
      <c r="C595" s="1" t="n">
        <v>45926</v>
      </c>
      <c r="D595" t="inlineStr">
        <is>
          <t>VÄSTERNORRLANDS LÄN</t>
        </is>
      </c>
      <c r="E595" t="inlineStr">
        <is>
          <t>ÅNGE</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6462-2024</t>
        </is>
      </c>
      <c r="B596" s="1" t="n">
        <v>45338</v>
      </c>
      <c r="C596" s="1" t="n">
        <v>45926</v>
      </c>
      <c r="D596" t="inlineStr">
        <is>
          <t>VÄSTERNORRLANDS LÄN</t>
        </is>
      </c>
      <c r="E596" t="inlineStr">
        <is>
          <t>ÅNGE</t>
        </is>
      </c>
      <c r="F596" t="inlineStr">
        <is>
          <t>Kyrkan</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55177-2024</t>
        </is>
      </c>
      <c r="B597" s="1" t="n">
        <v>45621.53179398148</v>
      </c>
      <c r="C597" s="1" t="n">
        <v>45926</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33305-2024</t>
        </is>
      </c>
      <c r="B598" s="1" t="n">
        <v>45518</v>
      </c>
      <c r="C598" s="1" t="n">
        <v>45926</v>
      </c>
      <c r="D598" t="inlineStr">
        <is>
          <t>VÄSTERNORRLANDS LÄN</t>
        </is>
      </c>
      <c r="E598" t="inlineStr">
        <is>
          <t>ÅNGE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33306-2024</t>
        </is>
      </c>
      <c r="B599" s="1" t="n">
        <v>45518</v>
      </c>
      <c r="C599" s="1" t="n">
        <v>45926</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59222-2020</t>
        </is>
      </c>
      <c r="B600" s="1" t="n">
        <v>44147</v>
      </c>
      <c r="C600" s="1" t="n">
        <v>45926</v>
      </c>
      <c r="D600" t="inlineStr">
        <is>
          <t>VÄSTERNORRLANDS LÄN</t>
        </is>
      </c>
      <c r="E600" t="inlineStr">
        <is>
          <t>ÅNGE</t>
        </is>
      </c>
      <c r="G600" t="n">
        <v>7.6</v>
      </c>
      <c r="H600" t="n">
        <v>0</v>
      </c>
      <c r="I600" t="n">
        <v>0</v>
      </c>
      <c r="J600" t="n">
        <v>0</v>
      </c>
      <c r="K600" t="n">
        <v>0</v>
      </c>
      <c r="L600" t="n">
        <v>0</v>
      </c>
      <c r="M600" t="n">
        <v>0</v>
      </c>
      <c r="N600" t="n">
        <v>0</v>
      </c>
      <c r="O600" t="n">
        <v>0</v>
      </c>
      <c r="P600" t="n">
        <v>0</v>
      </c>
      <c r="Q600" t="n">
        <v>0</v>
      </c>
      <c r="R600" s="2" t="inlineStr"/>
    </row>
    <row r="601" ht="15" customHeight="1">
      <c r="A601" t="inlineStr">
        <is>
          <t>A 32535-2022</t>
        </is>
      </c>
      <c r="B601" s="1" t="n">
        <v>44783.29856481482</v>
      </c>
      <c r="C601" s="1" t="n">
        <v>45926</v>
      </c>
      <c r="D601" t="inlineStr">
        <is>
          <t>VÄSTERNORRLANDS LÄN</t>
        </is>
      </c>
      <c r="E601" t="inlineStr">
        <is>
          <t>ÅNGE</t>
        </is>
      </c>
      <c r="G601" t="n">
        <v>10.3</v>
      </c>
      <c r="H601" t="n">
        <v>0</v>
      </c>
      <c r="I601" t="n">
        <v>0</v>
      </c>
      <c r="J601" t="n">
        <v>0</v>
      </c>
      <c r="K601" t="n">
        <v>0</v>
      </c>
      <c r="L601" t="n">
        <v>0</v>
      </c>
      <c r="M601" t="n">
        <v>0</v>
      </c>
      <c r="N601" t="n">
        <v>0</v>
      </c>
      <c r="O601" t="n">
        <v>0</v>
      </c>
      <c r="P601" t="n">
        <v>0</v>
      </c>
      <c r="Q601" t="n">
        <v>0</v>
      </c>
      <c r="R601" s="2" t="inlineStr"/>
    </row>
    <row r="602" ht="15" customHeight="1">
      <c r="A602" t="inlineStr">
        <is>
          <t>A 29270-2024</t>
        </is>
      </c>
      <c r="B602" s="1" t="n">
        <v>45482.94979166667</v>
      </c>
      <c r="C602" s="1" t="n">
        <v>45926</v>
      </c>
      <c r="D602" t="inlineStr">
        <is>
          <t>VÄSTERNORRLANDS LÄN</t>
        </is>
      </c>
      <c r="E602" t="inlineStr">
        <is>
          <t>ÅNGE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28506-2024</t>
        </is>
      </c>
      <c r="B603" s="1" t="n">
        <v>45477.9475</v>
      </c>
      <c r="C603" s="1" t="n">
        <v>45926</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26018-2024</t>
        </is>
      </c>
      <c r="B604" s="1" t="n">
        <v>45467.95998842592</v>
      </c>
      <c r="C604" s="1" t="n">
        <v>45926</v>
      </c>
      <c r="D604" t="inlineStr">
        <is>
          <t>VÄSTERNORRLANDS LÄN</t>
        </is>
      </c>
      <c r="E604" t="inlineStr">
        <is>
          <t>ÅNGE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26021-2024</t>
        </is>
      </c>
      <c r="B605" s="1" t="n">
        <v>45467</v>
      </c>
      <c r="C605" s="1" t="n">
        <v>45926</v>
      </c>
      <c r="D605" t="inlineStr">
        <is>
          <t>VÄSTERNORRLANDS LÄN</t>
        </is>
      </c>
      <c r="E605" t="inlineStr">
        <is>
          <t>ÅNGE</t>
        </is>
      </c>
      <c r="F605" t="inlineStr">
        <is>
          <t>SCA</t>
        </is>
      </c>
      <c r="G605" t="n">
        <v>7.7</v>
      </c>
      <c r="H605" t="n">
        <v>0</v>
      </c>
      <c r="I605" t="n">
        <v>0</v>
      </c>
      <c r="J605" t="n">
        <v>0</v>
      </c>
      <c r="K605" t="n">
        <v>0</v>
      </c>
      <c r="L605" t="n">
        <v>0</v>
      </c>
      <c r="M605" t="n">
        <v>0</v>
      </c>
      <c r="N605" t="n">
        <v>0</v>
      </c>
      <c r="O605" t="n">
        <v>0</v>
      </c>
      <c r="P605" t="n">
        <v>0</v>
      </c>
      <c r="Q605" t="n">
        <v>0</v>
      </c>
      <c r="R605" s="2" t="inlineStr"/>
    </row>
    <row r="606" ht="15" customHeight="1">
      <c r="A606" t="inlineStr">
        <is>
          <t>A 43145-2024</t>
        </is>
      </c>
      <c r="B606" s="1" t="n">
        <v>45567.63030092593</v>
      </c>
      <c r="C606" s="1" t="n">
        <v>45926</v>
      </c>
      <c r="D606" t="inlineStr">
        <is>
          <t>VÄSTERNORRLANDS LÄN</t>
        </is>
      </c>
      <c r="E606" t="inlineStr">
        <is>
          <t>ÅNGE</t>
        </is>
      </c>
      <c r="G606" t="n">
        <v>1.4</v>
      </c>
      <c r="H606" t="n">
        <v>0</v>
      </c>
      <c r="I606" t="n">
        <v>0</v>
      </c>
      <c r="J606" t="n">
        <v>0</v>
      </c>
      <c r="K606" t="n">
        <v>0</v>
      </c>
      <c r="L606" t="n">
        <v>0</v>
      </c>
      <c r="M606" t="n">
        <v>0</v>
      </c>
      <c r="N606" t="n">
        <v>0</v>
      </c>
      <c r="O606" t="n">
        <v>0</v>
      </c>
      <c r="P606" t="n">
        <v>0</v>
      </c>
      <c r="Q606" t="n">
        <v>0</v>
      </c>
      <c r="R606" s="2" t="inlineStr"/>
    </row>
    <row r="607" ht="15" customHeight="1">
      <c r="A607" t="inlineStr">
        <is>
          <t>A 23917-2025</t>
        </is>
      </c>
      <c r="B607" s="1" t="n">
        <v>45795.34481481482</v>
      </c>
      <c r="C607" s="1" t="n">
        <v>45926</v>
      </c>
      <c r="D607" t="inlineStr">
        <is>
          <t>VÄSTERNORRLANDS LÄN</t>
        </is>
      </c>
      <c r="E607" t="inlineStr">
        <is>
          <t>ÅNGE</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23921-2025</t>
        </is>
      </c>
      <c r="B608" s="1" t="n">
        <v>45795.34513888889</v>
      </c>
      <c r="C608" s="1" t="n">
        <v>45926</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29673-2024</t>
        </is>
      </c>
      <c r="B609" s="1" t="n">
        <v>45484.94210648148</v>
      </c>
      <c r="C609" s="1" t="n">
        <v>45926</v>
      </c>
      <c r="D609" t="inlineStr">
        <is>
          <t>VÄSTERNORRLANDS LÄN</t>
        </is>
      </c>
      <c r="E609" t="inlineStr">
        <is>
          <t>ÅNGE</t>
        </is>
      </c>
      <c r="F609" t="inlineStr">
        <is>
          <t>SCA</t>
        </is>
      </c>
      <c r="G609" t="n">
        <v>4.9</v>
      </c>
      <c r="H609" t="n">
        <v>0</v>
      </c>
      <c r="I609" t="n">
        <v>0</v>
      </c>
      <c r="J609" t="n">
        <v>0</v>
      </c>
      <c r="K609" t="n">
        <v>0</v>
      </c>
      <c r="L609" t="n">
        <v>0</v>
      </c>
      <c r="M609" t="n">
        <v>0</v>
      </c>
      <c r="N609" t="n">
        <v>0</v>
      </c>
      <c r="O609" t="n">
        <v>0</v>
      </c>
      <c r="P609" t="n">
        <v>0</v>
      </c>
      <c r="Q609" t="n">
        <v>0</v>
      </c>
      <c r="R609" s="2" t="inlineStr"/>
    </row>
    <row r="610" ht="15" customHeight="1">
      <c r="A610" t="inlineStr">
        <is>
          <t>A 48690-2024</t>
        </is>
      </c>
      <c r="B610" s="1" t="n">
        <v>45593.50704861111</v>
      </c>
      <c r="C610" s="1" t="n">
        <v>45926</v>
      </c>
      <c r="D610" t="inlineStr">
        <is>
          <t>VÄSTERNORRLANDS LÄN</t>
        </is>
      </c>
      <c r="E610" t="inlineStr">
        <is>
          <t>ÅNGE</t>
        </is>
      </c>
      <c r="G610" t="n">
        <v>5</v>
      </c>
      <c r="H610" t="n">
        <v>0</v>
      </c>
      <c r="I610" t="n">
        <v>0</v>
      </c>
      <c r="J610" t="n">
        <v>0</v>
      </c>
      <c r="K610" t="n">
        <v>0</v>
      </c>
      <c r="L610" t="n">
        <v>0</v>
      </c>
      <c r="M610" t="n">
        <v>0</v>
      </c>
      <c r="N610" t="n">
        <v>0</v>
      </c>
      <c r="O610" t="n">
        <v>0</v>
      </c>
      <c r="P610" t="n">
        <v>0</v>
      </c>
      <c r="Q610" t="n">
        <v>0</v>
      </c>
      <c r="R610" s="2" t="inlineStr"/>
    </row>
    <row r="611" ht="15" customHeight="1">
      <c r="A611" t="inlineStr">
        <is>
          <t>A 24116-2025</t>
        </is>
      </c>
      <c r="B611" s="1" t="n">
        <v>45796.61498842593</v>
      </c>
      <c r="C611" s="1" t="n">
        <v>45926</v>
      </c>
      <c r="D611" t="inlineStr">
        <is>
          <t>VÄSTERNORRLANDS LÄN</t>
        </is>
      </c>
      <c r="E611" t="inlineStr">
        <is>
          <t>ÅNGE</t>
        </is>
      </c>
      <c r="F611" t="inlineStr">
        <is>
          <t>SCA</t>
        </is>
      </c>
      <c r="G611" t="n">
        <v>14.4</v>
      </c>
      <c r="H611" t="n">
        <v>0</v>
      </c>
      <c r="I611" t="n">
        <v>0</v>
      </c>
      <c r="J611" t="n">
        <v>0</v>
      </c>
      <c r="K611" t="n">
        <v>0</v>
      </c>
      <c r="L611" t="n">
        <v>0</v>
      </c>
      <c r="M611" t="n">
        <v>0</v>
      </c>
      <c r="N611" t="n">
        <v>0</v>
      </c>
      <c r="O611" t="n">
        <v>0</v>
      </c>
      <c r="P611" t="n">
        <v>0</v>
      </c>
      <c r="Q611" t="n">
        <v>0</v>
      </c>
      <c r="R611" s="2" t="inlineStr"/>
    </row>
    <row r="612" ht="15" customHeight="1">
      <c r="A612" t="inlineStr">
        <is>
          <t>A 11399-2025</t>
        </is>
      </c>
      <c r="B612" s="1" t="n">
        <v>45726.57364583333</v>
      </c>
      <c r="C612" s="1" t="n">
        <v>45926</v>
      </c>
      <c r="D612" t="inlineStr">
        <is>
          <t>VÄSTERNORRLANDS LÄN</t>
        </is>
      </c>
      <c r="E612" t="inlineStr">
        <is>
          <t>ÅNGE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39021-2024</t>
        </is>
      </c>
      <c r="B613" s="1" t="n">
        <v>45548</v>
      </c>
      <c r="C613" s="1" t="n">
        <v>45926</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27915-2024</t>
        </is>
      </c>
      <c r="B614" s="1" t="n">
        <v>45475</v>
      </c>
      <c r="C614" s="1" t="n">
        <v>45926</v>
      </c>
      <c r="D614" t="inlineStr">
        <is>
          <t>VÄSTERNORRLANDS LÄN</t>
        </is>
      </c>
      <c r="E614" t="inlineStr">
        <is>
          <t>ÅNGE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2433-2024</t>
        </is>
      </c>
      <c r="B615" s="1" t="n">
        <v>45310</v>
      </c>
      <c r="C615" s="1" t="n">
        <v>45926</v>
      </c>
      <c r="D615" t="inlineStr">
        <is>
          <t>VÄSTERNORRLANDS LÄN</t>
        </is>
      </c>
      <c r="E615" t="inlineStr">
        <is>
          <t>ÅNGE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34861-2024</t>
        </is>
      </c>
      <c r="B616" s="1" t="n">
        <v>45527.339375</v>
      </c>
      <c r="C616" s="1" t="n">
        <v>45926</v>
      </c>
      <c r="D616" t="inlineStr">
        <is>
          <t>VÄSTERNORRLANDS LÄN</t>
        </is>
      </c>
      <c r="E616" t="inlineStr">
        <is>
          <t>ÅNGE</t>
        </is>
      </c>
      <c r="F616" t="inlineStr">
        <is>
          <t>SCA</t>
        </is>
      </c>
      <c r="G616" t="n">
        <v>9.1</v>
      </c>
      <c r="H616" t="n">
        <v>0</v>
      </c>
      <c r="I616" t="n">
        <v>0</v>
      </c>
      <c r="J616" t="n">
        <v>0</v>
      </c>
      <c r="K616" t="n">
        <v>0</v>
      </c>
      <c r="L616" t="n">
        <v>0</v>
      </c>
      <c r="M616" t="n">
        <v>0</v>
      </c>
      <c r="N616" t="n">
        <v>0</v>
      </c>
      <c r="O616" t="n">
        <v>0</v>
      </c>
      <c r="P616" t="n">
        <v>0</v>
      </c>
      <c r="Q616" t="n">
        <v>0</v>
      </c>
      <c r="R616" s="2" t="inlineStr"/>
    </row>
    <row r="617" ht="15" customHeight="1">
      <c r="A617" t="inlineStr">
        <is>
          <t>A 24232-2025</t>
        </is>
      </c>
      <c r="B617" s="1" t="n">
        <v>45797.37846064815</v>
      </c>
      <c r="C617" s="1" t="n">
        <v>45926</v>
      </c>
      <c r="D617" t="inlineStr">
        <is>
          <t>VÄSTERNORRLANDS LÄN</t>
        </is>
      </c>
      <c r="E617" t="inlineStr">
        <is>
          <t>ÅNGE</t>
        </is>
      </c>
      <c r="G617" t="n">
        <v>2.8</v>
      </c>
      <c r="H617" t="n">
        <v>0</v>
      </c>
      <c r="I617" t="n">
        <v>0</v>
      </c>
      <c r="J617" t="n">
        <v>0</v>
      </c>
      <c r="K617" t="n">
        <v>0</v>
      </c>
      <c r="L617" t="n">
        <v>0</v>
      </c>
      <c r="M617" t="n">
        <v>0</v>
      </c>
      <c r="N617" t="n">
        <v>0</v>
      </c>
      <c r="O617" t="n">
        <v>0</v>
      </c>
      <c r="P617" t="n">
        <v>0</v>
      </c>
      <c r="Q617" t="n">
        <v>0</v>
      </c>
      <c r="R617" s="2" t="inlineStr"/>
    </row>
    <row r="618" ht="15" customHeight="1">
      <c r="A618" t="inlineStr">
        <is>
          <t>A 56188-2024</t>
        </is>
      </c>
      <c r="B618" s="1" t="n">
        <v>45624.57800925926</v>
      </c>
      <c r="C618" s="1" t="n">
        <v>45926</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39594-2022</t>
        </is>
      </c>
      <c r="B619" s="1" t="n">
        <v>44818</v>
      </c>
      <c r="C619" s="1" t="n">
        <v>45926</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10313-2022</t>
        </is>
      </c>
      <c r="B620" s="1" t="n">
        <v>44622</v>
      </c>
      <c r="C620" s="1" t="n">
        <v>45926</v>
      </c>
      <c r="D620" t="inlineStr">
        <is>
          <t>VÄSTERNORRLANDS LÄN</t>
        </is>
      </c>
      <c r="E620" t="inlineStr">
        <is>
          <t>ÅNGE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57846-2022</t>
        </is>
      </c>
      <c r="B621" s="1" t="n">
        <v>44897.95008101852</v>
      </c>
      <c r="C621" s="1" t="n">
        <v>45926</v>
      </c>
      <c r="D621" t="inlineStr">
        <is>
          <t>VÄSTERNORRLANDS LÄN</t>
        </is>
      </c>
      <c r="E621" t="inlineStr">
        <is>
          <t>ÅNGE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24458-2025</t>
        </is>
      </c>
      <c r="B622" s="1" t="n">
        <v>45798.34476851852</v>
      </c>
      <c r="C622" s="1" t="n">
        <v>45926</v>
      </c>
      <c r="D622" t="inlineStr">
        <is>
          <t>VÄSTERNORRLANDS LÄN</t>
        </is>
      </c>
      <c r="E622" t="inlineStr">
        <is>
          <t>ÅNGE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46249-2024</t>
        </is>
      </c>
      <c r="B623" s="1" t="n">
        <v>45581.59409722222</v>
      </c>
      <c r="C623" s="1" t="n">
        <v>45926</v>
      </c>
      <c r="D623" t="inlineStr">
        <is>
          <t>VÄSTERNORRLANDS LÄN</t>
        </is>
      </c>
      <c r="E623" t="inlineStr">
        <is>
          <t>ÅNGE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61461-2023</t>
        </is>
      </c>
      <c r="B624" s="1" t="n">
        <v>45264.9261574074</v>
      </c>
      <c r="C624" s="1" t="n">
        <v>45926</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39005-2024</t>
        </is>
      </c>
      <c r="B625" s="1" t="n">
        <v>45548.42743055556</v>
      </c>
      <c r="C625" s="1" t="n">
        <v>45926</v>
      </c>
      <c r="D625" t="inlineStr">
        <is>
          <t>VÄSTERNORRLANDS LÄN</t>
        </is>
      </c>
      <c r="E625" t="inlineStr">
        <is>
          <t>ÅNGE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8868-2023</t>
        </is>
      </c>
      <c r="B626" s="1" t="n">
        <v>44978</v>
      </c>
      <c r="C626" s="1" t="n">
        <v>45926</v>
      </c>
      <c r="D626" t="inlineStr">
        <is>
          <t>VÄSTERNORRLANDS LÄN</t>
        </is>
      </c>
      <c r="E626" t="inlineStr">
        <is>
          <t>ÅNGE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24627-2025</t>
        </is>
      </c>
      <c r="B627" s="1" t="n">
        <v>45798.59471064815</v>
      </c>
      <c r="C627" s="1" t="n">
        <v>45926</v>
      </c>
      <c r="D627" t="inlineStr">
        <is>
          <t>VÄSTERNORRLANDS LÄN</t>
        </is>
      </c>
      <c r="E627" t="inlineStr">
        <is>
          <t>ÅNGE</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65229-2021</t>
        </is>
      </c>
      <c r="B628" s="1" t="n">
        <v>44515</v>
      </c>
      <c r="C628" s="1" t="n">
        <v>45926</v>
      </c>
      <c r="D628" t="inlineStr">
        <is>
          <t>VÄSTERNORRLANDS LÄN</t>
        </is>
      </c>
      <c r="E628" t="inlineStr">
        <is>
          <t>ÅNGE</t>
        </is>
      </c>
      <c r="G628" t="n">
        <v>12.1</v>
      </c>
      <c r="H628" t="n">
        <v>0</v>
      </c>
      <c r="I628" t="n">
        <v>0</v>
      </c>
      <c r="J628" t="n">
        <v>0</v>
      </c>
      <c r="K628" t="n">
        <v>0</v>
      </c>
      <c r="L628" t="n">
        <v>0</v>
      </c>
      <c r="M628" t="n">
        <v>0</v>
      </c>
      <c r="N628" t="n">
        <v>0</v>
      </c>
      <c r="O628" t="n">
        <v>0</v>
      </c>
      <c r="P628" t="n">
        <v>0</v>
      </c>
      <c r="Q628" t="n">
        <v>0</v>
      </c>
      <c r="R628" s="2" t="inlineStr"/>
    </row>
    <row r="629" ht="15" customHeight="1">
      <c r="A629" t="inlineStr">
        <is>
          <t>A 27853-2024</t>
        </is>
      </c>
      <c r="B629" s="1" t="n">
        <v>45475</v>
      </c>
      <c r="C629" s="1" t="n">
        <v>45926</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57593-2022</t>
        </is>
      </c>
      <c r="B630" s="1" t="n">
        <v>44896.97847222222</v>
      </c>
      <c r="C630" s="1" t="n">
        <v>45926</v>
      </c>
      <c r="D630" t="inlineStr">
        <is>
          <t>VÄSTERNORRLANDS LÄN</t>
        </is>
      </c>
      <c r="E630" t="inlineStr">
        <is>
          <t>ÅNGE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57596-2022</t>
        </is>
      </c>
      <c r="B631" s="1" t="n">
        <v>44896.97871527778</v>
      </c>
      <c r="C631" s="1" t="n">
        <v>45926</v>
      </c>
      <c r="D631" t="inlineStr">
        <is>
          <t>VÄSTERNORRLANDS LÄN</t>
        </is>
      </c>
      <c r="E631" t="inlineStr">
        <is>
          <t>ÅNGE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57598-2022</t>
        </is>
      </c>
      <c r="B632" s="1" t="n">
        <v>44896</v>
      </c>
      <c r="C632" s="1" t="n">
        <v>45926</v>
      </c>
      <c r="D632" t="inlineStr">
        <is>
          <t>VÄSTERNORRLANDS LÄN</t>
        </is>
      </c>
      <c r="E632" t="inlineStr">
        <is>
          <t>ÅNGE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23063-2024</t>
        </is>
      </c>
      <c r="B633" s="1" t="n">
        <v>45450.44278935185</v>
      </c>
      <c r="C633" s="1" t="n">
        <v>45926</v>
      </c>
      <c r="D633" t="inlineStr">
        <is>
          <t>VÄSTERNORRLANDS LÄN</t>
        </is>
      </c>
      <c r="E633" t="inlineStr">
        <is>
          <t>ÅNGE</t>
        </is>
      </c>
      <c r="G633" t="n">
        <v>0.8</v>
      </c>
      <c r="H633" t="n">
        <v>0</v>
      </c>
      <c r="I633" t="n">
        <v>0</v>
      </c>
      <c r="J633" t="n">
        <v>0</v>
      </c>
      <c r="K633" t="n">
        <v>0</v>
      </c>
      <c r="L633" t="n">
        <v>0</v>
      </c>
      <c r="M633" t="n">
        <v>0</v>
      </c>
      <c r="N633" t="n">
        <v>0</v>
      </c>
      <c r="O633" t="n">
        <v>0</v>
      </c>
      <c r="P633" t="n">
        <v>0</v>
      </c>
      <c r="Q633" t="n">
        <v>0</v>
      </c>
      <c r="R633" s="2" t="inlineStr"/>
    </row>
    <row r="634" ht="15" customHeight="1">
      <c r="A634" t="inlineStr">
        <is>
          <t>A 24847-2025</t>
        </is>
      </c>
      <c r="B634" s="1" t="n">
        <v>45799.46907407408</v>
      </c>
      <c r="C634" s="1" t="n">
        <v>45926</v>
      </c>
      <c r="D634" t="inlineStr">
        <is>
          <t>VÄSTERNORRLANDS LÄN</t>
        </is>
      </c>
      <c r="E634" t="inlineStr">
        <is>
          <t>ÅNGE</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25017-2025</t>
        </is>
      </c>
      <c r="B635" s="1" t="n">
        <v>45799.63791666667</v>
      </c>
      <c r="C635" s="1" t="n">
        <v>45926</v>
      </c>
      <c r="D635" t="inlineStr">
        <is>
          <t>VÄSTERNORRLANDS LÄN</t>
        </is>
      </c>
      <c r="E635" t="inlineStr">
        <is>
          <t>ÅNGE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10558-2023</t>
        </is>
      </c>
      <c r="B636" s="1" t="n">
        <v>44987.94438657408</v>
      </c>
      <c r="C636" s="1" t="n">
        <v>45926</v>
      </c>
      <c r="D636" t="inlineStr">
        <is>
          <t>VÄSTERNORRLANDS LÄN</t>
        </is>
      </c>
      <c r="E636" t="inlineStr">
        <is>
          <t>ÅNGE</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57291-2022</t>
        </is>
      </c>
      <c r="B637" s="1" t="n">
        <v>44895</v>
      </c>
      <c r="C637" s="1" t="n">
        <v>45926</v>
      </c>
      <c r="D637" t="inlineStr">
        <is>
          <t>VÄSTERNORRLANDS LÄN</t>
        </is>
      </c>
      <c r="E637" t="inlineStr">
        <is>
          <t>ÅNGE</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44158-2024</t>
        </is>
      </c>
      <c r="B638" s="1" t="n">
        <v>45572</v>
      </c>
      <c r="C638" s="1" t="n">
        <v>45926</v>
      </c>
      <c r="D638" t="inlineStr">
        <is>
          <t>VÄSTERNORRLANDS LÄN</t>
        </is>
      </c>
      <c r="E638" t="inlineStr">
        <is>
          <t>ÅNGE</t>
        </is>
      </c>
      <c r="G638" t="n">
        <v>2.6</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45926</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4883-2023</t>
        </is>
      </c>
      <c r="B640" s="1" t="n">
        <v>44957</v>
      </c>
      <c r="C640" s="1" t="n">
        <v>45926</v>
      </c>
      <c r="D640" t="inlineStr">
        <is>
          <t>VÄSTERNORRLANDS LÄN</t>
        </is>
      </c>
      <c r="E640" t="inlineStr">
        <is>
          <t>ÅNGE</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30054-2024</t>
        </is>
      </c>
      <c r="B641" s="1" t="n">
        <v>45488.94758101852</v>
      </c>
      <c r="C641" s="1" t="n">
        <v>45926</v>
      </c>
      <c r="D641" t="inlineStr">
        <is>
          <t>VÄSTERNORRLANDS LÄN</t>
        </is>
      </c>
      <c r="E641" t="inlineStr">
        <is>
          <t>ÅNGE</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44425.92202546296</v>
      </c>
      <c r="C642" s="1" t="n">
        <v>45926</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64945-2023</t>
        </is>
      </c>
      <c r="B643" s="1" t="n">
        <v>45282.94668981482</v>
      </c>
      <c r="C643" s="1" t="n">
        <v>45926</v>
      </c>
      <c r="D643" t="inlineStr">
        <is>
          <t>VÄSTERNORRLANDS LÄN</t>
        </is>
      </c>
      <c r="E643" t="inlineStr">
        <is>
          <t>ÅNGE</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24852-2025</t>
        </is>
      </c>
      <c r="B644" s="1" t="n">
        <v>45799.46975694445</v>
      </c>
      <c r="C644" s="1" t="n">
        <v>45926</v>
      </c>
      <c r="D644" t="inlineStr">
        <is>
          <t>VÄSTERNORRLANDS LÄN</t>
        </is>
      </c>
      <c r="E644" t="inlineStr">
        <is>
          <t>ÅNGE</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43622-2023</t>
        </is>
      </c>
      <c r="B645" s="1" t="n">
        <v>45184.70777777778</v>
      </c>
      <c r="C645" s="1" t="n">
        <v>45926</v>
      </c>
      <c r="D645" t="inlineStr">
        <is>
          <t>VÄSTERNORRLANDS LÄN</t>
        </is>
      </c>
      <c r="E645" t="inlineStr">
        <is>
          <t>ÅNGE</t>
        </is>
      </c>
      <c r="F645" t="inlineStr">
        <is>
          <t>Holmen skog AB</t>
        </is>
      </c>
      <c r="G645" t="n">
        <v>5.9</v>
      </c>
      <c r="H645" t="n">
        <v>0</v>
      </c>
      <c r="I645" t="n">
        <v>0</v>
      </c>
      <c r="J645" t="n">
        <v>0</v>
      </c>
      <c r="K645" t="n">
        <v>0</v>
      </c>
      <c r="L645" t="n">
        <v>0</v>
      </c>
      <c r="M645" t="n">
        <v>0</v>
      </c>
      <c r="N645" t="n">
        <v>0</v>
      </c>
      <c r="O645" t="n">
        <v>0</v>
      </c>
      <c r="P645" t="n">
        <v>0</v>
      </c>
      <c r="Q645" t="n">
        <v>0</v>
      </c>
      <c r="R645" s="2" t="inlineStr"/>
    </row>
    <row r="646" ht="15" customHeight="1">
      <c r="A646" t="inlineStr">
        <is>
          <t>A 26951-2024</t>
        </is>
      </c>
      <c r="B646" s="1" t="n">
        <v>45470.96991898148</v>
      </c>
      <c r="C646" s="1" t="n">
        <v>45926</v>
      </c>
      <c r="D646" t="inlineStr">
        <is>
          <t>VÄSTERNORRLANDS LÄN</t>
        </is>
      </c>
      <c r="E646" t="inlineStr">
        <is>
          <t>ÅNGE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26952-2024</t>
        </is>
      </c>
      <c r="B647" s="1" t="n">
        <v>45470</v>
      </c>
      <c r="C647" s="1" t="n">
        <v>45926</v>
      </c>
      <c r="D647" t="inlineStr">
        <is>
          <t>VÄSTERNORRLANDS LÄN</t>
        </is>
      </c>
      <c r="E647" t="inlineStr">
        <is>
          <t>ÅNGE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56399-2022</t>
        </is>
      </c>
      <c r="B648" s="1" t="n">
        <v>44890</v>
      </c>
      <c r="C648" s="1" t="n">
        <v>45926</v>
      </c>
      <c r="D648" t="inlineStr">
        <is>
          <t>VÄSTERNORRLANDS LÄN</t>
        </is>
      </c>
      <c r="E648" t="inlineStr">
        <is>
          <t>ÅNGE</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25067-2025</t>
        </is>
      </c>
      <c r="B649" s="1" t="n">
        <v>45799.71908564815</v>
      </c>
      <c r="C649" s="1" t="n">
        <v>45926</v>
      </c>
      <c r="D649" t="inlineStr">
        <is>
          <t>VÄSTERNORRLANDS LÄN</t>
        </is>
      </c>
      <c r="E649" t="inlineStr">
        <is>
          <t>ÅNGE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25903-2022</t>
        </is>
      </c>
      <c r="B650" s="1" t="n">
        <v>44733</v>
      </c>
      <c r="C650" s="1" t="n">
        <v>45926</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1103-2023</t>
        </is>
      </c>
      <c r="B651" s="1" t="n">
        <v>44929</v>
      </c>
      <c r="C651" s="1" t="n">
        <v>45926</v>
      </c>
      <c r="D651" t="inlineStr">
        <is>
          <t>VÄSTERNORRLANDS LÄN</t>
        </is>
      </c>
      <c r="E651" t="inlineStr">
        <is>
          <t>ÅNGE</t>
        </is>
      </c>
      <c r="G651" t="n">
        <v>7.3</v>
      </c>
      <c r="H651" t="n">
        <v>0</v>
      </c>
      <c r="I651" t="n">
        <v>0</v>
      </c>
      <c r="J651" t="n">
        <v>0</v>
      </c>
      <c r="K651" t="n">
        <v>0</v>
      </c>
      <c r="L651" t="n">
        <v>0</v>
      </c>
      <c r="M651" t="n">
        <v>0</v>
      </c>
      <c r="N651" t="n">
        <v>0</v>
      </c>
      <c r="O651" t="n">
        <v>0</v>
      </c>
      <c r="P651" t="n">
        <v>0</v>
      </c>
      <c r="Q651" t="n">
        <v>0</v>
      </c>
      <c r="R651" s="2" t="inlineStr"/>
    </row>
    <row r="652" ht="15" customHeight="1">
      <c r="A652" t="inlineStr">
        <is>
          <t>A 29390-2021</t>
        </is>
      </c>
      <c r="B652" s="1" t="n">
        <v>44361</v>
      </c>
      <c r="C652" s="1" t="n">
        <v>45926</v>
      </c>
      <c r="D652" t="inlineStr">
        <is>
          <t>VÄSTERNORRLANDS LÄN</t>
        </is>
      </c>
      <c r="E652" t="inlineStr">
        <is>
          <t>ÅNGE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23058-2024</t>
        </is>
      </c>
      <c r="B653" s="1" t="n">
        <v>45450.44020833333</v>
      </c>
      <c r="C653" s="1" t="n">
        <v>45926</v>
      </c>
      <c r="D653" t="inlineStr">
        <is>
          <t>VÄSTERNORRLANDS LÄN</t>
        </is>
      </c>
      <c r="E653" t="inlineStr">
        <is>
          <t>ÅNGE</t>
        </is>
      </c>
      <c r="G653" t="n">
        <v>3.9</v>
      </c>
      <c r="H653" t="n">
        <v>0</v>
      </c>
      <c r="I653" t="n">
        <v>0</v>
      </c>
      <c r="J653" t="n">
        <v>0</v>
      </c>
      <c r="K653" t="n">
        <v>0</v>
      </c>
      <c r="L653" t="n">
        <v>0</v>
      </c>
      <c r="M653" t="n">
        <v>0</v>
      </c>
      <c r="N653" t="n">
        <v>0</v>
      </c>
      <c r="O653" t="n">
        <v>0</v>
      </c>
      <c r="P653" t="n">
        <v>0</v>
      </c>
      <c r="Q653" t="n">
        <v>0</v>
      </c>
      <c r="R653" s="2" t="inlineStr"/>
    </row>
    <row r="654" ht="15" customHeight="1">
      <c r="A654" t="inlineStr">
        <is>
          <t>A 36877-2024</t>
        </is>
      </c>
      <c r="B654" s="1" t="n">
        <v>45538.59418981482</v>
      </c>
      <c r="C654" s="1" t="n">
        <v>45926</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25352-2025</t>
        </is>
      </c>
      <c r="B655" s="1" t="n">
        <v>45800.61552083334</v>
      </c>
      <c r="C655" s="1" t="n">
        <v>45926</v>
      </c>
      <c r="D655" t="inlineStr">
        <is>
          <t>VÄSTERNORRLANDS LÄN</t>
        </is>
      </c>
      <c r="E655" t="inlineStr">
        <is>
          <t>ÅNGE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53651-2023</t>
        </is>
      </c>
      <c r="B656" s="1" t="n">
        <v>45230.60815972222</v>
      </c>
      <c r="C656" s="1" t="n">
        <v>45926</v>
      </c>
      <c r="D656" t="inlineStr">
        <is>
          <t>VÄSTERNORRLANDS LÄN</t>
        </is>
      </c>
      <c r="E656" t="inlineStr">
        <is>
          <t>ÅNGE</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25340-2025</t>
        </is>
      </c>
      <c r="B657" s="1" t="n">
        <v>45800.60074074074</v>
      </c>
      <c r="C657" s="1" t="n">
        <v>45926</v>
      </c>
      <c r="D657" t="inlineStr">
        <is>
          <t>VÄSTERNORRLANDS LÄN</t>
        </is>
      </c>
      <c r="E657" t="inlineStr">
        <is>
          <t>ÅNGE</t>
        </is>
      </c>
      <c r="G657" t="n">
        <v>2.7</v>
      </c>
      <c r="H657" t="n">
        <v>0</v>
      </c>
      <c r="I657" t="n">
        <v>0</v>
      </c>
      <c r="J657" t="n">
        <v>0</v>
      </c>
      <c r="K657" t="n">
        <v>0</v>
      </c>
      <c r="L657" t="n">
        <v>0</v>
      </c>
      <c r="M657" t="n">
        <v>0</v>
      </c>
      <c r="N657" t="n">
        <v>0</v>
      </c>
      <c r="O657" t="n">
        <v>0</v>
      </c>
      <c r="P657" t="n">
        <v>0</v>
      </c>
      <c r="Q657" t="n">
        <v>0</v>
      </c>
      <c r="R657" s="2" t="inlineStr"/>
    </row>
    <row r="658" ht="15" customHeight="1">
      <c r="A658" t="inlineStr">
        <is>
          <t>A 25532-2025</t>
        </is>
      </c>
      <c r="B658" s="1" t="n">
        <v>45803.4065162037</v>
      </c>
      <c r="C658" s="1" t="n">
        <v>45926</v>
      </c>
      <c r="D658" t="inlineStr">
        <is>
          <t>VÄSTERNORRLANDS LÄN</t>
        </is>
      </c>
      <c r="E658" t="inlineStr">
        <is>
          <t>ÅNGE</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35979-2023</t>
        </is>
      </c>
      <c r="B659" s="1" t="n">
        <v>45148</v>
      </c>
      <c r="C659" s="1" t="n">
        <v>45926</v>
      </c>
      <c r="D659" t="inlineStr">
        <is>
          <t>VÄSTERNORRLANDS LÄN</t>
        </is>
      </c>
      <c r="E659" t="inlineStr">
        <is>
          <t>ÅNGE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3986-2025</t>
        </is>
      </c>
      <c r="B660" s="1" t="n">
        <v>45684.55262731481</v>
      </c>
      <c r="C660" s="1" t="n">
        <v>45926</v>
      </c>
      <c r="D660" t="inlineStr">
        <is>
          <t>VÄSTERNORRLANDS LÄN</t>
        </is>
      </c>
      <c r="E660" t="inlineStr">
        <is>
          <t>ÅNGE</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25717-2025</t>
        </is>
      </c>
      <c r="B661" s="1" t="n">
        <v>45803.6985300926</v>
      </c>
      <c r="C661" s="1" t="n">
        <v>45926</v>
      </c>
      <c r="D661" t="inlineStr">
        <is>
          <t>VÄSTERNORRLANDS LÄN</t>
        </is>
      </c>
      <c r="E661" t="inlineStr">
        <is>
          <t>ÅNGE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25499-2025</t>
        </is>
      </c>
      <c r="B662" s="1" t="n">
        <v>45803.344375</v>
      </c>
      <c r="C662" s="1" t="n">
        <v>45926</v>
      </c>
      <c r="D662" t="inlineStr">
        <is>
          <t>VÄSTERNORRLANDS LÄN</t>
        </is>
      </c>
      <c r="E662" t="inlineStr">
        <is>
          <t>ÅNGE</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50674-2024</t>
        </is>
      </c>
      <c r="B663" s="1" t="n">
        <v>45601.85402777778</v>
      </c>
      <c r="C663" s="1" t="n">
        <v>45926</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25274-2025</t>
        </is>
      </c>
      <c r="B664" s="1" t="n">
        <v>45800.55276620371</v>
      </c>
      <c r="C664" s="1" t="n">
        <v>45926</v>
      </c>
      <c r="D664" t="inlineStr">
        <is>
          <t>VÄSTERNORRLANDS LÄN</t>
        </is>
      </c>
      <c r="E664" t="inlineStr">
        <is>
          <t>ÅNGE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25706-2025</t>
        </is>
      </c>
      <c r="B665" s="1" t="n">
        <v>45803.67788194444</v>
      </c>
      <c r="C665" s="1" t="n">
        <v>45926</v>
      </c>
      <c r="D665" t="inlineStr">
        <is>
          <t>VÄSTERNORRLANDS LÄN</t>
        </is>
      </c>
      <c r="E665" t="inlineStr">
        <is>
          <t>ÅNGE</t>
        </is>
      </c>
      <c r="F665" t="inlineStr">
        <is>
          <t>SCA</t>
        </is>
      </c>
      <c r="G665" t="n">
        <v>13.1</v>
      </c>
      <c r="H665" t="n">
        <v>0</v>
      </c>
      <c r="I665" t="n">
        <v>0</v>
      </c>
      <c r="J665" t="n">
        <v>0</v>
      </c>
      <c r="K665" t="n">
        <v>0</v>
      </c>
      <c r="L665" t="n">
        <v>0</v>
      </c>
      <c r="M665" t="n">
        <v>0</v>
      </c>
      <c r="N665" t="n">
        <v>0</v>
      </c>
      <c r="O665" t="n">
        <v>0</v>
      </c>
      <c r="P665" t="n">
        <v>0</v>
      </c>
      <c r="Q665" t="n">
        <v>0</v>
      </c>
      <c r="R665" s="2" t="inlineStr"/>
    </row>
    <row r="666" ht="15" customHeight="1">
      <c r="A666" t="inlineStr">
        <is>
          <t>A 25241-2025</t>
        </is>
      </c>
      <c r="B666" s="1" t="n">
        <v>45800.49053240741</v>
      </c>
      <c r="C666" s="1" t="n">
        <v>45926</v>
      </c>
      <c r="D666" t="inlineStr">
        <is>
          <t>VÄSTERNORRLANDS LÄN</t>
        </is>
      </c>
      <c r="E666" t="inlineStr">
        <is>
          <t>ÅNGE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15368-2024</t>
        </is>
      </c>
      <c r="B667" s="1" t="n">
        <v>45400.92284722222</v>
      </c>
      <c r="C667" s="1" t="n">
        <v>45926</v>
      </c>
      <c r="D667" t="inlineStr">
        <is>
          <t>VÄSTERNORRLANDS LÄN</t>
        </is>
      </c>
      <c r="E667" t="inlineStr">
        <is>
          <t>ÅNGE</t>
        </is>
      </c>
      <c r="G667" t="n">
        <v>0.4</v>
      </c>
      <c r="H667" t="n">
        <v>0</v>
      </c>
      <c r="I667" t="n">
        <v>0</v>
      </c>
      <c r="J667" t="n">
        <v>0</v>
      </c>
      <c r="K667" t="n">
        <v>0</v>
      </c>
      <c r="L667" t="n">
        <v>0</v>
      </c>
      <c r="M667" t="n">
        <v>0</v>
      </c>
      <c r="N667" t="n">
        <v>0</v>
      </c>
      <c r="O667" t="n">
        <v>0</v>
      </c>
      <c r="P667" t="n">
        <v>0</v>
      </c>
      <c r="Q667" t="n">
        <v>0</v>
      </c>
      <c r="R667" s="2" t="inlineStr"/>
    </row>
    <row r="668" ht="15" customHeight="1">
      <c r="A668" t="inlineStr">
        <is>
          <t>A 2140-2023</t>
        </is>
      </c>
      <c r="B668" s="1" t="n">
        <v>44940</v>
      </c>
      <c r="C668" s="1" t="n">
        <v>45926</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31863-2024</t>
        </is>
      </c>
      <c r="B669" s="1" t="n">
        <v>45509.74121527778</v>
      </c>
      <c r="C669" s="1" t="n">
        <v>45926</v>
      </c>
      <c r="D669" t="inlineStr">
        <is>
          <t>VÄSTERNORRLANDS LÄN</t>
        </is>
      </c>
      <c r="E669" t="inlineStr">
        <is>
          <t>ÅNGE</t>
        </is>
      </c>
      <c r="G669" t="n">
        <v>4.5</v>
      </c>
      <c r="H669" t="n">
        <v>0</v>
      </c>
      <c r="I669" t="n">
        <v>0</v>
      </c>
      <c r="J669" t="n">
        <v>0</v>
      </c>
      <c r="K669" t="n">
        <v>0</v>
      </c>
      <c r="L669" t="n">
        <v>0</v>
      </c>
      <c r="M669" t="n">
        <v>0</v>
      </c>
      <c r="N669" t="n">
        <v>0</v>
      </c>
      <c r="O669" t="n">
        <v>0</v>
      </c>
      <c r="P669" t="n">
        <v>0</v>
      </c>
      <c r="Q669" t="n">
        <v>0</v>
      </c>
      <c r="R669" s="2" t="inlineStr"/>
    </row>
    <row r="670" ht="15" customHeight="1">
      <c r="A670" t="inlineStr">
        <is>
          <t>A 47488-2023</t>
        </is>
      </c>
      <c r="B670" s="1" t="n">
        <v>45202.94168981481</v>
      </c>
      <c r="C670" s="1" t="n">
        <v>45926</v>
      </c>
      <c r="D670" t="inlineStr">
        <is>
          <t>VÄSTERNORRLANDS LÄN</t>
        </is>
      </c>
      <c r="E670" t="inlineStr">
        <is>
          <t>ÅNGE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25273-2025</t>
        </is>
      </c>
      <c r="B671" s="1" t="n">
        <v>45800.55253472222</v>
      </c>
      <c r="C671" s="1" t="n">
        <v>45926</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34754-2024</t>
        </is>
      </c>
      <c r="B672" s="1" t="n">
        <v>45526</v>
      </c>
      <c r="C672" s="1" t="n">
        <v>45926</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25332-2025</t>
        </is>
      </c>
      <c r="B673" s="1" t="n">
        <v>45800.59418981482</v>
      </c>
      <c r="C673" s="1" t="n">
        <v>45926</v>
      </c>
      <c r="D673" t="inlineStr">
        <is>
          <t>VÄSTERNORRLANDS LÄN</t>
        </is>
      </c>
      <c r="E673" t="inlineStr">
        <is>
          <t>ÅNGE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3362-2023</t>
        </is>
      </c>
      <c r="B674" s="1" t="n">
        <v>44945</v>
      </c>
      <c r="C674" s="1" t="n">
        <v>45926</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59600-2024</t>
        </is>
      </c>
      <c r="B675" s="1" t="n">
        <v>45638.71763888889</v>
      </c>
      <c r="C675" s="1" t="n">
        <v>45926</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25772-2025</t>
        </is>
      </c>
      <c r="B676" s="1" t="n">
        <v>45804.34520833333</v>
      </c>
      <c r="C676" s="1" t="n">
        <v>45926</v>
      </c>
      <c r="D676" t="inlineStr">
        <is>
          <t>VÄSTERNORRLANDS LÄN</t>
        </is>
      </c>
      <c r="E676" t="inlineStr">
        <is>
          <t>ÅNGE</t>
        </is>
      </c>
      <c r="F676" t="inlineStr">
        <is>
          <t>SCA</t>
        </is>
      </c>
      <c r="G676" t="n">
        <v>4.7</v>
      </c>
      <c r="H676" t="n">
        <v>0</v>
      </c>
      <c r="I676" t="n">
        <v>0</v>
      </c>
      <c r="J676" t="n">
        <v>0</v>
      </c>
      <c r="K676" t="n">
        <v>0</v>
      </c>
      <c r="L676" t="n">
        <v>0</v>
      </c>
      <c r="M676" t="n">
        <v>0</v>
      </c>
      <c r="N676" t="n">
        <v>0</v>
      </c>
      <c r="O676" t="n">
        <v>0</v>
      </c>
      <c r="P676" t="n">
        <v>0</v>
      </c>
      <c r="Q676" t="n">
        <v>0</v>
      </c>
      <c r="R676" s="2" t="inlineStr"/>
    </row>
    <row r="677" ht="15" customHeight="1">
      <c r="A677" t="inlineStr">
        <is>
          <t>A 21262-2025</t>
        </is>
      </c>
      <c r="B677" s="1" t="n">
        <v>45779</v>
      </c>
      <c r="C677" s="1" t="n">
        <v>45926</v>
      </c>
      <c r="D677" t="inlineStr">
        <is>
          <t>VÄSTERNORRLANDS LÄN</t>
        </is>
      </c>
      <c r="E677" t="inlineStr">
        <is>
          <t>ÅNGE</t>
        </is>
      </c>
      <c r="F677" t="inlineStr">
        <is>
          <t>Sveaskog</t>
        </is>
      </c>
      <c r="G677" t="n">
        <v>9</v>
      </c>
      <c r="H677" t="n">
        <v>0</v>
      </c>
      <c r="I677" t="n">
        <v>0</v>
      </c>
      <c r="J677" t="n">
        <v>0</v>
      </c>
      <c r="K677" t="n">
        <v>0</v>
      </c>
      <c r="L677" t="n">
        <v>0</v>
      </c>
      <c r="M677" t="n">
        <v>0</v>
      </c>
      <c r="N677" t="n">
        <v>0</v>
      </c>
      <c r="O677" t="n">
        <v>0</v>
      </c>
      <c r="P677" t="n">
        <v>0</v>
      </c>
      <c r="Q677" t="n">
        <v>0</v>
      </c>
      <c r="R677" s="2" t="inlineStr"/>
    </row>
    <row r="678" ht="15" customHeight="1">
      <c r="A678" t="inlineStr">
        <is>
          <t>A 52685-2024</t>
        </is>
      </c>
      <c r="B678" s="1" t="n">
        <v>45610</v>
      </c>
      <c r="C678" s="1" t="n">
        <v>45926</v>
      </c>
      <c r="D678" t="inlineStr">
        <is>
          <t>VÄSTERNORRLANDS LÄN</t>
        </is>
      </c>
      <c r="E678" t="inlineStr">
        <is>
          <t>ÅNGE</t>
        </is>
      </c>
      <c r="G678" t="n">
        <v>2.3</v>
      </c>
      <c r="H678" t="n">
        <v>0</v>
      </c>
      <c r="I678" t="n">
        <v>0</v>
      </c>
      <c r="J678" t="n">
        <v>0</v>
      </c>
      <c r="K678" t="n">
        <v>0</v>
      </c>
      <c r="L678" t="n">
        <v>0</v>
      </c>
      <c r="M678" t="n">
        <v>0</v>
      </c>
      <c r="N678" t="n">
        <v>0</v>
      </c>
      <c r="O678" t="n">
        <v>0</v>
      </c>
      <c r="P678" t="n">
        <v>0</v>
      </c>
      <c r="Q678" t="n">
        <v>0</v>
      </c>
      <c r="R678" s="2" t="inlineStr"/>
    </row>
    <row r="679" ht="15" customHeight="1">
      <c r="A679" t="inlineStr">
        <is>
          <t>A 15863-2022</t>
        </is>
      </c>
      <c r="B679" s="1" t="n">
        <v>44664</v>
      </c>
      <c r="C679" s="1" t="n">
        <v>45926</v>
      </c>
      <c r="D679" t="inlineStr">
        <is>
          <t>VÄSTERNORRLANDS LÄN</t>
        </is>
      </c>
      <c r="E679" t="inlineStr">
        <is>
          <t>ÅNGE</t>
        </is>
      </c>
      <c r="G679" t="n">
        <v>3.6</v>
      </c>
      <c r="H679" t="n">
        <v>0</v>
      </c>
      <c r="I679" t="n">
        <v>0</v>
      </c>
      <c r="J679" t="n">
        <v>0</v>
      </c>
      <c r="K679" t="n">
        <v>0</v>
      </c>
      <c r="L679" t="n">
        <v>0</v>
      </c>
      <c r="M679" t="n">
        <v>0</v>
      </c>
      <c r="N679" t="n">
        <v>0</v>
      </c>
      <c r="O679" t="n">
        <v>0</v>
      </c>
      <c r="P679" t="n">
        <v>0</v>
      </c>
      <c r="Q679" t="n">
        <v>0</v>
      </c>
      <c r="R679" s="2" t="inlineStr"/>
    </row>
    <row r="680" ht="15" customHeight="1">
      <c r="A680" t="inlineStr">
        <is>
          <t>A 3322-2025</t>
        </is>
      </c>
      <c r="B680" s="1" t="n">
        <v>45679.6989699074</v>
      </c>
      <c r="C680" s="1" t="n">
        <v>45926</v>
      </c>
      <c r="D680" t="inlineStr">
        <is>
          <t>VÄSTERNORRLANDS LÄN</t>
        </is>
      </c>
      <c r="E680" t="inlineStr">
        <is>
          <t>ÅNGE</t>
        </is>
      </c>
      <c r="F680" t="inlineStr">
        <is>
          <t>SCA</t>
        </is>
      </c>
      <c r="G680" t="n">
        <v>11.1</v>
      </c>
      <c r="H680" t="n">
        <v>0</v>
      </c>
      <c r="I680" t="n">
        <v>0</v>
      </c>
      <c r="J680" t="n">
        <v>0</v>
      </c>
      <c r="K680" t="n">
        <v>0</v>
      </c>
      <c r="L680" t="n">
        <v>0</v>
      </c>
      <c r="M680" t="n">
        <v>0</v>
      </c>
      <c r="N680" t="n">
        <v>0</v>
      </c>
      <c r="O680" t="n">
        <v>0</v>
      </c>
      <c r="P680" t="n">
        <v>0</v>
      </c>
      <c r="Q680" t="n">
        <v>0</v>
      </c>
      <c r="R680" s="2" t="inlineStr"/>
    </row>
    <row r="681" ht="15" customHeight="1">
      <c r="A681" t="inlineStr">
        <is>
          <t>A 3327-2025</t>
        </is>
      </c>
      <c r="B681" s="1" t="n">
        <v>45679.69967592593</v>
      </c>
      <c r="C681" s="1" t="n">
        <v>45926</v>
      </c>
      <c r="D681" t="inlineStr">
        <is>
          <t>VÄSTERNORRLANDS LÄN</t>
        </is>
      </c>
      <c r="E681" t="inlineStr">
        <is>
          <t>ÅNGE</t>
        </is>
      </c>
      <c r="F681" t="inlineStr">
        <is>
          <t>SCA</t>
        </is>
      </c>
      <c r="G681" t="n">
        <v>12.9</v>
      </c>
      <c r="H681" t="n">
        <v>0</v>
      </c>
      <c r="I681" t="n">
        <v>0</v>
      </c>
      <c r="J681" t="n">
        <v>0</v>
      </c>
      <c r="K681" t="n">
        <v>0</v>
      </c>
      <c r="L681" t="n">
        <v>0</v>
      </c>
      <c r="M681" t="n">
        <v>0</v>
      </c>
      <c r="N681" t="n">
        <v>0</v>
      </c>
      <c r="O681" t="n">
        <v>0</v>
      </c>
      <c r="P681" t="n">
        <v>0</v>
      </c>
      <c r="Q681" t="n">
        <v>0</v>
      </c>
      <c r="R681" s="2" t="inlineStr"/>
    </row>
    <row r="682" ht="15" customHeight="1">
      <c r="A682" t="inlineStr">
        <is>
          <t>A 25810-2025</t>
        </is>
      </c>
      <c r="B682" s="1" t="n">
        <v>45804.42083333333</v>
      </c>
      <c r="C682" s="1" t="n">
        <v>45926</v>
      </c>
      <c r="D682" t="inlineStr">
        <is>
          <t>VÄSTERNORRLANDS LÄN</t>
        </is>
      </c>
      <c r="E682" t="inlineStr">
        <is>
          <t>ÅNGE</t>
        </is>
      </c>
      <c r="G682" t="n">
        <v>6.2</v>
      </c>
      <c r="H682" t="n">
        <v>0</v>
      </c>
      <c r="I682" t="n">
        <v>0</v>
      </c>
      <c r="J682" t="n">
        <v>0</v>
      </c>
      <c r="K682" t="n">
        <v>0</v>
      </c>
      <c r="L682" t="n">
        <v>0</v>
      </c>
      <c r="M682" t="n">
        <v>0</v>
      </c>
      <c r="N682" t="n">
        <v>0</v>
      </c>
      <c r="O682" t="n">
        <v>0</v>
      </c>
      <c r="P682" t="n">
        <v>0</v>
      </c>
      <c r="Q682" t="n">
        <v>0</v>
      </c>
      <c r="R682" s="2" t="inlineStr"/>
    </row>
    <row r="683" ht="15" customHeight="1">
      <c r="A683" t="inlineStr">
        <is>
          <t>A 36466-2024</t>
        </is>
      </c>
      <c r="B683" s="1" t="n">
        <v>45537.35872685185</v>
      </c>
      <c r="C683" s="1" t="n">
        <v>45926</v>
      </c>
      <c r="D683" t="inlineStr">
        <is>
          <t>VÄSTERNORRLANDS LÄN</t>
        </is>
      </c>
      <c r="E683" t="inlineStr">
        <is>
          <t>ÅNGE</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6680-2024</t>
        </is>
      </c>
      <c r="B684" s="1" t="n">
        <v>45341</v>
      </c>
      <c r="C684" s="1" t="n">
        <v>45926</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54720-2024</t>
        </is>
      </c>
      <c r="B685" s="1" t="n">
        <v>45618.43715277778</v>
      </c>
      <c r="C685" s="1" t="n">
        <v>45926</v>
      </c>
      <c r="D685" t="inlineStr">
        <is>
          <t>VÄSTERNORRLANDS LÄN</t>
        </is>
      </c>
      <c r="E685" t="inlineStr">
        <is>
          <t>ÅNGE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15799-2025</t>
        </is>
      </c>
      <c r="B686" s="1" t="n">
        <v>45748.64768518518</v>
      </c>
      <c r="C686" s="1" t="n">
        <v>45926</v>
      </c>
      <c r="D686" t="inlineStr">
        <is>
          <t>VÄSTERNORRLANDS LÄN</t>
        </is>
      </c>
      <c r="E686" t="inlineStr">
        <is>
          <t>ÅNGE</t>
        </is>
      </c>
      <c r="G686" t="n">
        <v>2.3</v>
      </c>
      <c r="H686" t="n">
        <v>0</v>
      </c>
      <c r="I686" t="n">
        <v>0</v>
      </c>
      <c r="J686" t="n">
        <v>0</v>
      </c>
      <c r="K686" t="n">
        <v>0</v>
      </c>
      <c r="L686" t="n">
        <v>0</v>
      </c>
      <c r="M686" t="n">
        <v>0</v>
      </c>
      <c r="N686" t="n">
        <v>0</v>
      </c>
      <c r="O686" t="n">
        <v>0</v>
      </c>
      <c r="P686" t="n">
        <v>0</v>
      </c>
      <c r="Q686" t="n">
        <v>0</v>
      </c>
      <c r="R686" s="2" t="inlineStr"/>
    </row>
    <row r="687" ht="15" customHeight="1">
      <c r="A687" t="inlineStr">
        <is>
          <t>A 6685-2024</t>
        </is>
      </c>
      <c r="B687" s="1" t="n">
        <v>45341</v>
      </c>
      <c r="C687" s="1" t="n">
        <v>45926</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35650-2024</t>
        </is>
      </c>
      <c r="B688" s="1" t="n">
        <v>45532.34123842593</v>
      </c>
      <c r="C688" s="1" t="n">
        <v>45926</v>
      </c>
      <c r="D688" t="inlineStr">
        <is>
          <t>VÄSTERNORRLANDS LÄN</t>
        </is>
      </c>
      <c r="E688" t="inlineStr">
        <is>
          <t>ÅNGE</t>
        </is>
      </c>
      <c r="G688" t="n">
        <v>3.8</v>
      </c>
      <c r="H688" t="n">
        <v>0</v>
      </c>
      <c r="I688" t="n">
        <v>0</v>
      </c>
      <c r="J688" t="n">
        <v>0</v>
      </c>
      <c r="K688" t="n">
        <v>0</v>
      </c>
      <c r="L688" t="n">
        <v>0</v>
      </c>
      <c r="M688" t="n">
        <v>0</v>
      </c>
      <c r="N688" t="n">
        <v>0</v>
      </c>
      <c r="O688" t="n">
        <v>0</v>
      </c>
      <c r="P688" t="n">
        <v>0</v>
      </c>
      <c r="Q688" t="n">
        <v>0</v>
      </c>
      <c r="R688" s="2" t="inlineStr"/>
    </row>
    <row r="689" ht="15" customHeight="1">
      <c r="A689" t="inlineStr">
        <is>
          <t>A 6689-2024</t>
        </is>
      </c>
      <c r="B689" s="1" t="n">
        <v>45341.9259375</v>
      </c>
      <c r="C689" s="1" t="n">
        <v>45926</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19709-2025</t>
        </is>
      </c>
      <c r="B690" s="1" t="n">
        <v>45771.34263888889</v>
      </c>
      <c r="C690" s="1" t="n">
        <v>45926</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31729-2024</t>
        </is>
      </c>
      <c r="B691" s="1" t="n">
        <v>45509.35844907408</v>
      </c>
      <c r="C691" s="1" t="n">
        <v>45926</v>
      </c>
      <c r="D691" t="inlineStr">
        <is>
          <t>VÄSTERNORRLANDS LÄN</t>
        </is>
      </c>
      <c r="E691" t="inlineStr">
        <is>
          <t>ÅNGE</t>
        </is>
      </c>
      <c r="G691" t="n">
        <v>1.9</v>
      </c>
      <c r="H691" t="n">
        <v>0</v>
      </c>
      <c r="I691" t="n">
        <v>0</v>
      </c>
      <c r="J691" t="n">
        <v>0</v>
      </c>
      <c r="K691" t="n">
        <v>0</v>
      </c>
      <c r="L691" t="n">
        <v>0</v>
      </c>
      <c r="M691" t="n">
        <v>0</v>
      </c>
      <c r="N691" t="n">
        <v>0</v>
      </c>
      <c r="O691" t="n">
        <v>0</v>
      </c>
      <c r="P691" t="n">
        <v>0</v>
      </c>
      <c r="Q691" t="n">
        <v>0</v>
      </c>
      <c r="R691" s="2" t="inlineStr"/>
    </row>
    <row r="692" ht="15" customHeight="1">
      <c r="A692" t="inlineStr">
        <is>
          <t>A 4071-2025</t>
        </is>
      </c>
      <c r="B692" s="1" t="n">
        <v>45684.63579861111</v>
      </c>
      <c r="C692" s="1" t="n">
        <v>45926</v>
      </c>
      <c r="D692" t="inlineStr">
        <is>
          <t>VÄSTERNORRLANDS LÄN</t>
        </is>
      </c>
      <c r="E692" t="inlineStr">
        <is>
          <t>ÅNGE</t>
        </is>
      </c>
      <c r="F692" t="inlineStr">
        <is>
          <t>SCA</t>
        </is>
      </c>
      <c r="G692" t="n">
        <v>13.7</v>
      </c>
      <c r="H692" t="n">
        <v>0</v>
      </c>
      <c r="I692" t="n">
        <v>0</v>
      </c>
      <c r="J692" t="n">
        <v>0</v>
      </c>
      <c r="K692" t="n">
        <v>0</v>
      </c>
      <c r="L692" t="n">
        <v>0</v>
      </c>
      <c r="M692" t="n">
        <v>0</v>
      </c>
      <c r="N692" t="n">
        <v>0</v>
      </c>
      <c r="O692" t="n">
        <v>0</v>
      </c>
      <c r="P692" t="n">
        <v>0</v>
      </c>
      <c r="Q692" t="n">
        <v>0</v>
      </c>
      <c r="R692" s="2" t="inlineStr"/>
    </row>
    <row r="693" ht="15" customHeight="1">
      <c r="A693" t="inlineStr">
        <is>
          <t>A 44606-2024</t>
        </is>
      </c>
      <c r="B693" s="1" t="n">
        <v>45574.51195601852</v>
      </c>
      <c r="C693" s="1" t="n">
        <v>45926</v>
      </c>
      <c r="D693" t="inlineStr">
        <is>
          <t>VÄSTERNORRLANDS LÄN</t>
        </is>
      </c>
      <c r="E693" t="inlineStr">
        <is>
          <t>ÅNGE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44626-2024</t>
        </is>
      </c>
      <c r="B694" s="1" t="n">
        <v>45574.51378472222</v>
      </c>
      <c r="C694" s="1" t="n">
        <v>45926</v>
      </c>
      <c r="D694" t="inlineStr">
        <is>
          <t>VÄSTERNORRLANDS LÄN</t>
        </is>
      </c>
      <c r="E694" t="inlineStr">
        <is>
          <t>ÅNGE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11531-2023</t>
        </is>
      </c>
      <c r="B695" s="1" t="n">
        <v>44993.77038194444</v>
      </c>
      <c r="C695" s="1" t="n">
        <v>45926</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11532-2023</t>
        </is>
      </c>
      <c r="B696" s="1" t="n">
        <v>44993.77212962963</v>
      </c>
      <c r="C696" s="1" t="n">
        <v>45926</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26193-2025</t>
        </is>
      </c>
      <c r="B697" s="1" t="n">
        <v>45805.48922453704</v>
      </c>
      <c r="C697" s="1" t="n">
        <v>45926</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45459-2022</t>
        </is>
      </c>
      <c r="B698" s="1" t="n">
        <v>44845</v>
      </c>
      <c r="C698" s="1" t="n">
        <v>45926</v>
      </c>
      <c r="D698" t="inlineStr">
        <is>
          <t>VÄSTERNORRLANDS LÄN</t>
        </is>
      </c>
      <c r="E698" t="inlineStr">
        <is>
          <t>ÅNGE</t>
        </is>
      </c>
      <c r="G698" t="n">
        <v>0.9</v>
      </c>
      <c r="H698" t="n">
        <v>0</v>
      </c>
      <c r="I698" t="n">
        <v>0</v>
      </c>
      <c r="J698" t="n">
        <v>0</v>
      </c>
      <c r="K698" t="n">
        <v>0</v>
      </c>
      <c r="L698" t="n">
        <v>0</v>
      </c>
      <c r="M698" t="n">
        <v>0</v>
      </c>
      <c r="N698" t="n">
        <v>0</v>
      </c>
      <c r="O698" t="n">
        <v>0</v>
      </c>
      <c r="P698" t="n">
        <v>0</v>
      </c>
      <c r="Q698" t="n">
        <v>0</v>
      </c>
      <c r="R698" s="2" t="inlineStr"/>
    </row>
    <row r="699" ht="15" customHeight="1">
      <c r="A699" t="inlineStr">
        <is>
          <t>A 41758-2024</t>
        </is>
      </c>
      <c r="B699" s="1" t="n">
        <v>45561.34478009259</v>
      </c>
      <c r="C699" s="1" t="n">
        <v>45926</v>
      </c>
      <c r="D699" t="inlineStr">
        <is>
          <t>VÄSTERNORRLANDS LÄN</t>
        </is>
      </c>
      <c r="E699" t="inlineStr">
        <is>
          <t>ÅNGE</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9759-2024</t>
        </is>
      </c>
      <c r="B700" s="1" t="n">
        <v>45362</v>
      </c>
      <c r="C700" s="1" t="n">
        <v>45926</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55328-2023</t>
        </is>
      </c>
      <c r="B701" s="1" t="n">
        <v>45237</v>
      </c>
      <c r="C701" s="1" t="n">
        <v>45926</v>
      </c>
      <c r="D701" t="inlineStr">
        <is>
          <t>VÄSTERNORRLANDS LÄN</t>
        </is>
      </c>
      <c r="E701" t="inlineStr">
        <is>
          <t>ÅNGE</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18668-2023</t>
        </is>
      </c>
      <c r="B702" s="1" t="n">
        <v>45043.57108796296</v>
      </c>
      <c r="C702" s="1" t="n">
        <v>45926</v>
      </c>
      <c r="D702" t="inlineStr">
        <is>
          <t>VÄSTERNORRLANDS LÄN</t>
        </is>
      </c>
      <c r="E702" t="inlineStr">
        <is>
          <t>ÅNGE</t>
        </is>
      </c>
      <c r="G702" t="n">
        <v>3.4</v>
      </c>
      <c r="H702" t="n">
        <v>0</v>
      </c>
      <c r="I702" t="n">
        <v>0</v>
      </c>
      <c r="J702" t="n">
        <v>0</v>
      </c>
      <c r="K702" t="n">
        <v>0</v>
      </c>
      <c r="L702" t="n">
        <v>0</v>
      </c>
      <c r="M702" t="n">
        <v>0</v>
      </c>
      <c r="N702" t="n">
        <v>0</v>
      </c>
      <c r="O702" t="n">
        <v>0</v>
      </c>
      <c r="P702" t="n">
        <v>0</v>
      </c>
      <c r="Q702" t="n">
        <v>0</v>
      </c>
      <c r="R702" s="2" t="inlineStr"/>
    </row>
    <row r="703" ht="15" customHeight="1">
      <c r="A703" t="inlineStr">
        <is>
          <t>A 26365-2025</t>
        </is>
      </c>
      <c r="B703" s="1" t="n">
        <v>45806.34412037037</v>
      </c>
      <c r="C703" s="1" t="n">
        <v>45926</v>
      </c>
      <c r="D703" t="inlineStr">
        <is>
          <t>VÄSTERNORRLANDS LÄN</t>
        </is>
      </c>
      <c r="E703" t="inlineStr">
        <is>
          <t>ÅNGE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1964-2022</t>
        </is>
      </c>
      <c r="B704" s="1" t="n">
        <v>44575.5050462963</v>
      </c>
      <c r="C704" s="1" t="n">
        <v>45926</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5369-2022</t>
        </is>
      </c>
      <c r="B705" s="1" t="n">
        <v>44594.92113425926</v>
      </c>
      <c r="C705" s="1" t="n">
        <v>45926</v>
      </c>
      <c r="D705" t="inlineStr">
        <is>
          <t>VÄSTERNORRLANDS LÄN</t>
        </is>
      </c>
      <c r="E705" t="inlineStr">
        <is>
          <t>ÅNGE</t>
        </is>
      </c>
      <c r="G705" t="n">
        <v>1.3</v>
      </c>
      <c r="H705" t="n">
        <v>0</v>
      </c>
      <c r="I705" t="n">
        <v>0</v>
      </c>
      <c r="J705" t="n">
        <v>0</v>
      </c>
      <c r="K705" t="n">
        <v>0</v>
      </c>
      <c r="L705" t="n">
        <v>0</v>
      </c>
      <c r="M705" t="n">
        <v>0</v>
      </c>
      <c r="N705" t="n">
        <v>0</v>
      </c>
      <c r="O705" t="n">
        <v>0</v>
      </c>
      <c r="P705" t="n">
        <v>0</v>
      </c>
      <c r="Q705" t="n">
        <v>0</v>
      </c>
      <c r="R705" s="2" t="inlineStr"/>
    </row>
    <row r="706" ht="15" customHeight="1">
      <c r="A706" t="inlineStr">
        <is>
          <t>A 213-2024</t>
        </is>
      </c>
      <c r="B706" s="1" t="n">
        <v>45293</v>
      </c>
      <c r="C706" s="1" t="n">
        <v>45926</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18880-2024</t>
        </is>
      </c>
      <c r="B707" s="1" t="n">
        <v>45426</v>
      </c>
      <c r="C707" s="1" t="n">
        <v>45926</v>
      </c>
      <c r="D707" t="inlineStr">
        <is>
          <t>VÄSTERNORRLANDS LÄN</t>
        </is>
      </c>
      <c r="E707" t="inlineStr">
        <is>
          <t>ÅNGE</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26389-2025</t>
        </is>
      </c>
      <c r="B708" s="1" t="n">
        <v>45806.51078703703</v>
      </c>
      <c r="C708" s="1" t="n">
        <v>45926</v>
      </c>
      <c r="D708" t="inlineStr">
        <is>
          <t>VÄSTERNORRLANDS LÄN</t>
        </is>
      </c>
      <c r="E708" t="inlineStr">
        <is>
          <t>ÅNGE</t>
        </is>
      </c>
      <c r="F708" t="inlineStr">
        <is>
          <t>SCA</t>
        </is>
      </c>
      <c r="G708" t="n">
        <v>11.9</v>
      </c>
      <c r="H708" t="n">
        <v>0</v>
      </c>
      <c r="I708" t="n">
        <v>0</v>
      </c>
      <c r="J708" t="n">
        <v>0</v>
      </c>
      <c r="K708" t="n">
        <v>0</v>
      </c>
      <c r="L708" t="n">
        <v>0</v>
      </c>
      <c r="M708" t="n">
        <v>0</v>
      </c>
      <c r="N708" t="n">
        <v>0</v>
      </c>
      <c r="O708" t="n">
        <v>0</v>
      </c>
      <c r="P708" t="n">
        <v>0</v>
      </c>
      <c r="Q708" t="n">
        <v>0</v>
      </c>
      <c r="R708" s="2" t="inlineStr"/>
    </row>
    <row r="709" ht="15" customHeight="1">
      <c r="A709" t="inlineStr">
        <is>
          <t>A 26388-2025</t>
        </is>
      </c>
      <c r="B709" s="1" t="n">
        <v>45806.51069444444</v>
      </c>
      <c r="C709" s="1" t="n">
        <v>45926</v>
      </c>
      <c r="D709" t="inlineStr">
        <is>
          <t>VÄSTERNORRLANDS LÄN</t>
        </is>
      </c>
      <c r="E709" t="inlineStr">
        <is>
          <t>ÅNGE</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48787-2024</t>
        </is>
      </c>
      <c r="B710" s="1" t="n">
        <v>45593.63888888889</v>
      </c>
      <c r="C710" s="1" t="n">
        <v>45926</v>
      </c>
      <c r="D710" t="inlineStr">
        <is>
          <t>VÄSTERNORRLANDS LÄN</t>
        </is>
      </c>
      <c r="E710" t="inlineStr">
        <is>
          <t>ÅNGE</t>
        </is>
      </c>
      <c r="G710" t="n">
        <v>1.7</v>
      </c>
      <c r="H710" t="n">
        <v>0</v>
      </c>
      <c r="I710" t="n">
        <v>0</v>
      </c>
      <c r="J710" t="n">
        <v>0</v>
      </c>
      <c r="K710" t="n">
        <v>0</v>
      </c>
      <c r="L710" t="n">
        <v>0</v>
      </c>
      <c r="M710" t="n">
        <v>0</v>
      </c>
      <c r="N710" t="n">
        <v>0</v>
      </c>
      <c r="O710" t="n">
        <v>0</v>
      </c>
      <c r="P710" t="n">
        <v>0</v>
      </c>
      <c r="Q710" t="n">
        <v>0</v>
      </c>
      <c r="R710" s="2" t="inlineStr"/>
    </row>
    <row r="711" ht="15" customHeight="1">
      <c r="A711" t="inlineStr">
        <is>
          <t>A 1886-2024</t>
        </is>
      </c>
      <c r="B711" s="1" t="n">
        <v>45307.96335648148</v>
      </c>
      <c r="C711" s="1" t="n">
        <v>45926</v>
      </c>
      <c r="D711" t="inlineStr">
        <is>
          <t>VÄSTERNORRLANDS LÄN</t>
        </is>
      </c>
      <c r="E711" t="inlineStr">
        <is>
          <t>ÅNGE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41370-2023</t>
        </is>
      </c>
      <c r="B712" s="1" t="n">
        <v>45174.85951388889</v>
      </c>
      <c r="C712" s="1" t="n">
        <v>45926</v>
      </c>
      <c r="D712" t="inlineStr">
        <is>
          <t>VÄSTERNORRLANDS LÄN</t>
        </is>
      </c>
      <c r="E712" t="inlineStr">
        <is>
          <t>ÅNGE</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26366-2025</t>
        </is>
      </c>
      <c r="B713" s="1" t="n">
        <v>45806.34424768519</v>
      </c>
      <c r="C713" s="1" t="n">
        <v>45926</v>
      </c>
      <c r="D713" t="inlineStr">
        <is>
          <t>VÄSTERNORRLANDS LÄN</t>
        </is>
      </c>
      <c r="E713" t="inlineStr">
        <is>
          <t>ÅNGE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19723-2025</t>
        </is>
      </c>
      <c r="B714" s="1" t="n">
        <v>45771.36490740741</v>
      </c>
      <c r="C714" s="1" t="n">
        <v>45926</v>
      </c>
      <c r="D714" t="inlineStr">
        <is>
          <t>VÄSTERNORRLANDS LÄN</t>
        </is>
      </c>
      <c r="E714" t="inlineStr">
        <is>
          <t>ÅNGE</t>
        </is>
      </c>
      <c r="F714" t="inlineStr">
        <is>
          <t>SCA</t>
        </is>
      </c>
      <c r="G714" t="n">
        <v>5</v>
      </c>
      <c r="H714" t="n">
        <v>0</v>
      </c>
      <c r="I714" t="n">
        <v>0</v>
      </c>
      <c r="J714" t="n">
        <v>0</v>
      </c>
      <c r="K714" t="n">
        <v>0</v>
      </c>
      <c r="L714" t="n">
        <v>0</v>
      </c>
      <c r="M714" t="n">
        <v>0</v>
      </c>
      <c r="N714" t="n">
        <v>0</v>
      </c>
      <c r="O714" t="n">
        <v>0</v>
      </c>
      <c r="P714" t="n">
        <v>0</v>
      </c>
      <c r="Q714" t="n">
        <v>0</v>
      </c>
      <c r="R714" s="2" t="inlineStr"/>
    </row>
    <row r="715" ht="15" customHeight="1">
      <c r="A715" t="inlineStr">
        <is>
          <t>A 4872-2025</t>
        </is>
      </c>
      <c r="B715" s="1" t="n">
        <v>45688.67619212963</v>
      </c>
      <c r="C715" s="1" t="n">
        <v>45926</v>
      </c>
      <c r="D715" t="inlineStr">
        <is>
          <t>VÄSTERNORRLANDS LÄN</t>
        </is>
      </c>
      <c r="E715" t="inlineStr">
        <is>
          <t>ÅNGE</t>
        </is>
      </c>
      <c r="F715" t="inlineStr">
        <is>
          <t>SCA</t>
        </is>
      </c>
      <c r="G715" t="n">
        <v>31.3</v>
      </c>
      <c r="H715" t="n">
        <v>0</v>
      </c>
      <c r="I715" t="n">
        <v>0</v>
      </c>
      <c r="J715" t="n">
        <v>0</v>
      </c>
      <c r="K715" t="n">
        <v>0</v>
      </c>
      <c r="L715" t="n">
        <v>0</v>
      </c>
      <c r="M715" t="n">
        <v>0</v>
      </c>
      <c r="N715" t="n">
        <v>0</v>
      </c>
      <c r="O715" t="n">
        <v>0</v>
      </c>
      <c r="P715" t="n">
        <v>0</v>
      </c>
      <c r="Q715" t="n">
        <v>0</v>
      </c>
      <c r="R715" s="2" t="inlineStr"/>
      <c r="U715">
        <f>HYPERLINK("https://klasma.github.io/Logging_2260/knärot/A 4872-2025 karta knärot.png", "A 4872-2025")</f>
        <v/>
      </c>
      <c r="V715">
        <f>HYPERLINK("https://klasma.github.io/Logging_2260/klagomål/A 4872-2025 FSC-klagomål.docx", "A 4872-2025")</f>
        <v/>
      </c>
      <c r="W715">
        <f>HYPERLINK("https://klasma.github.io/Logging_2260/klagomålsmail/A 4872-2025 FSC-klagomål mail.docx", "A 4872-2025")</f>
        <v/>
      </c>
      <c r="X715">
        <f>HYPERLINK("https://klasma.github.io/Logging_2260/tillsyn/A 4872-2025 tillsynsbegäran.docx", "A 4872-2025")</f>
        <v/>
      </c>
      <c r="Y715">
        <f>HYPERLINK("https://klasma.github.io/Logging_2260/tillsynsmail/A 4872-2025 tillsynsbegäran mail.docx", "A 4872-2025")</f>
        <v/>
      </c>
    </row>
    <row r="716" ht="15" customHeight="1">
      <c r="A716" t="inlineStr">
        <is>
          <t>A 35426-2024</t>
        </is>
      </c>
      <c r="B716" s="1" t="n">
        <v>45531</v>
      </c>
      <c r="C716" s="1" t="n">
        <v>45926</v>
      </c>
      <c r="D716" t="inlineStr">
        <is>
          <t>VÄSTERNORRLANDS LÄN</t>
        </is>
      </c>
      <c r="E716" t="inlineStr">
        <is>
          <t>ÅNGE</t>
        </is>
      </c>
      <c r="F716" t="inlineStr">
        <is>
          <t>SCA</t>
        </is>
      </c>
      <c r="G716" t="n">
        <v>10.9</v>
      </c>
      <c r="H716" t="n">
        <v>0</v>
      </c>
      <c r="I716" t="n">
        <v>0</v>
      </c>
      <c r="J716" t="n">
        <v>0</v>
      </c>
      <c r="K716" t="n">
        <v>0</v>
      </c>
      <c r="L716" t="n">
        <v>0</v>
      </c>
      <c r="M716" t="n">
        <v>0</v>
      </c>
      <c r="N716" t="n">
        <v>0</v>
      </c>
      <c r="O716" t="n">
        <v>0</v>
      </c>
      <c r="P716" t="n">
        <v>0</v>
      </c>
      <c r="Q716" t="n">
        <v>0</v>
      </c>
      <c r="R716" s="2" t="inlineStr"/>
    </row>
    <row r="717" ht="15" customHeight="1">
      <c r="A717" t="inlineStr">
        <is>
          <t>A 26734-2025</t>
        </is>
      </c>
      <c r="B717" s="1" t="n">
        <v>45810.51087962963</v>
      </c>
      <c r="C717" s="1" t="n">
        <v>45926</v>
      </c>
      <c r="D717" t="inlineStr">
        <is>
          <t>VÄSTERNORRLANDS LÄN</t>
        </is>
      </c>
      <c r="E717" t="inlineStr">
        <is>
          <t>ÅNGE</t>
        </is>
      </c>
      <c r="G717" t="n">
        <v>1.5</v>
      </c>
      <c r="H717" t="n">
        <v>0</v>
      </c>
      <c r="I717" t="n">
        <v>0</v>
      </c>
      <c r="J717" t="n">
        <v>0</v>
      </c>
      <c r="K717" t="n">
        <v>0</v>
      </c>
      <c r="L717" t="n">
        <v>0</v>
      </c>
      <c r="M717" t="n">
        <v>0</v>
      </c>
      <c r="N717" t="n">
        <v>0</v>
      </c>
      <c r="O717" t="n">
        <v>0</v>
      </c>
      <c r="P717" t="n">
        <v>0</v>
      </c>
      <c r="Q717" t="n">
        <v>0</v>
      </c>
      <c r="R717" s="2" t="inlineStr"/>
    </row>
    <row r="718" ht="15" customHeight="1">
      <c r="A718" t="inlineStr">
        <is>
          <t>A 35488-2024</t>
        </is>
      </c>
      <c r="B718" s="1" t="n">
        <v>45531</v>
      </c>
      <c r="C718" s="1" t="n">
        <v>45926</v>
      </c>
      <c r="D718" t="inlineStr">
        <is>
          <t>VÄSTERNORRLANDS LÄN</t>
        </is>
      </c>
      <c r="E718" t="inlineStr">
        <is>
          <t>ÅNGE</t>
        </is>
      </c>
      <c r="G718" t="n">
        <v>2.4</v>
      </c>
      <c r="H718" t="n">
        <v>0</v>
      </c>
      <c r="I718" t="n">
        <v>0</v>
      </c>
      <c r="J718" t="n">
        <v>0</v>
      </c>
      <c r="K718" t="n">
        <v>0</v>
      </c>
      <c r="L718" t="n">
        <v>0</v>
      </c>
      <c r="M718" t="n">
        <v>0</v>
      </c>
      <c r="N718" t="n">
        <v>0</v>
      </c>
      <c r="O718" t="n">
        <v>0</v>
      </c>
      <c r="P718" t="n">
        <v>0</v>
      </c>
      <c r="Q718" t="n">
        <v>0</v>
      </c>
      <c r="R718" s="2" t="inlineStr"/>
    </row>
    <row r="719" ht="15" customHeight="1">
      <c r="A719" t="inlineStr">
        <is>
          <t>A 3347-2024</t>
        </is>
      </c>
      <c r="B719" s="1" t="n">
        <v>45317</v>
      </c>
      <c r="C719" s="1" t="n">
        <v>45926</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31563-2024</t>
        </is>
      </c>
      <c r="B720" s="1" t="n">
        <v>45505</v>
      </c>
      <c r="C720" s="1" t="n">
        <v>45926</v>
      </c>
      <c r="D720" t="inlineStr">
        <is>
          <t>VÄSTERNORRLANDS LÄN</t>
        </is>
      </c>
      <c r="E720" t="inlineStr">
        <is>
          <t>ÅNGE</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30235-2024</t>
        </is>
      </c>
      <c r="B721" s="1" t="n">
        <v>45490.49040509259</v>
      </c>
      <c r="C721" s="1" t="n">
        <v>45926</v>
      </c>
      <c r="D721" t="inlineStr">
        <is>
          <t>VÄSTERNORRLANDS LÄN</t>
        </is>
      </c>
      <c r="E721" t="inlineStr">
        <is>
          <t>ÅNGE</t>
        </is>
      </c>
      <c r="G721" t="n">
        <v>3.7</v>
      </c>
      <c r="H721" t="n">
        <v>0</v>
      </c>
      <c r="I721" t="n">
        <v>0</v>
      </c>
      <c r="J721" t="n">
        <v>0</v>
      </c>
      <c r="K721" t="n">
        <v>0</v>
      </c>
      <c r="L721" t="n">
        <v>0</v>
      </c>
      <c r="M721" t="n">
        <v>0</v>
      </c>
      <c r="N721" t="n">
        <v>0</v>
      </c>
      <c r="O721" t="n">
        <v>0</v>
      </c>
      <c r="P721" t="n">
        <v>0</v>
      </c>
      <c r="Q721" t="n">
        <v>0</v>
      </c>
      <c r="R721" s="2" t="inlineStr"/>
    </row>
    <row r="722" ht="15" customHeight="1">
      <c r="A722" t="inlineStr">
        <is>
          <t>A 53171-2020</t>
        </is>
      </c>
      <c r="B722" s="1" t="n">
        <v>44120</v>
      </c>
      <c r="C722" s="1" t="n">
        <v>45926</v>
      </c>
      <c r="D722" t="inlineStr">
        <is>
          <t>VÄSTERNORRLANDS LÄN</t>
        </is>
      </c>
      <c r="E722" t="inlineStr">
        <is>
          <t>ÅNGE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53856-2024</t>
        </is>
      </c>
      <c r="B723" s="1" t="n">
        <v>45615</v>
      </c>
      <c r="C723" s="1" t="n">
        <v>45926</v>
      </c>
      <c r="D723" t="inlineStr">
        <is>
          <t>VÄSTERNORRLANDS LÄN</t>
        </is>
      </c>
      <c r="E723" t="inlineStr">
        <is>
          <t>ÅNGE</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53858-2024</t>
        </is>
      </c>
      <c r="B724" s="1" t="n">
        <v>45615</v>
      </c>
      <c r="C724" s="1" t="n">
        <v>45926</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26901-2025</t>
        </is>
      </c>
      <c r="B725" s="1" t="n">
        <v>45811.34457175926</v>
      </c>
      <c r="C725" s="1" t="n">
        <v>45926</v>
      </c>
      <c r="D725" t="inlineStr">
        <is>
          <t>VÄSTERNORRLANDS LÄN</t>
        </is>
      </c>
      <c r="E725" t="inlineStr">
        <is>
          <t>ÅNGE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60817-2024</t>
        </is>
      </c>
      <c r="B726" s="1" t="n">
        <v>45644</v>
      </c>
      <c r="C726" s="1" t="n">
        <v>45926</v>
      </c>
      <c r="D726" t="inlineStr">
        <is>
          <t>VÄSTERNORRLANDS LÄN</t>
        </is>
      </c>
      <c r="E726" t="inlineStr">
        <is>
          <t>ÅNGE</t>
        </is>
      </c>
      <c r="G726" t="n">
        <v>3.2</v>
      </c>
      <c r="H726" t="n">
        <v>0</v>
      </c>
      <c r="I726" t="n">
        <v>0</v>
      </c>
      <c r="J726" t="n">
        <v>0</v>
      </c>
      <c r="K726" t="n">
        <v>0</v>
      </c>
      <c r="L726" t="n">
        <v>0</v>
      </c>
      <c r="M726" t="n">
        <v>0</v>
      </c>
      <c r="N726" t="n">
        <v>0</v>
      </c>
      <c r="O726" t="n">
        <v>0</v>
      </c>
      <c r="P726" t="n">
        <v>0</v>
      </c>
      <c r="Q726" t="n">
        <v>0</v>
      </c>
      <c r="R726" s="2" t="inlineStr"/>
    </row>
    <row r="727" ht="15" customHeight="1">
      <c r="A727" t="inlineStr">
        <is>
          <t>A 18456-2024</t>
        </is>
      </c>
      <c r="B727" s="1" t="n">
        <v>45425.46831018518</v>
      </c>
      <c r="C727" s="1" t="n">
        <v>45926</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26655-2025</t>
        </is>
      </c>
      <c r="B728" s="1" t="n">
        <v>45810.39047453704</v>
      </c>
      <c r="C728" s="1" t="n">
        <v>45926</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5931-2025</t>
        </is>
      </c>
      <c r="B729" s="1" t="n">
        <v>45695.44827546296</v>
      </c>
      <c r="C729" s="1" t="n">
        <v>45926</v>
      </c>
      <c r="D729" t="inlineStr">
        <is>
          <t>VÄSTERNORRLANDS LÄN</t>
        </is>
      </c>
      <c r="E729" t="inlineStr">
        <is>
          <t>ÅNGE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26608-2025</t>
        </is>
      </c>
      <c r="B730" s="1" t="n">
        <v>45809.98600694445</v>
      </c>
      <c r="C730" s="1" t="n">
        <v>45926</v>
      </c>
      <c r="D730" t="inlineStr">
        <is>
          <t>VÄSTERNORRLANDS LÄN</t>
        </is>
      </c>
      <c r="E730" t="inlineStr">
        <is>
          <t>ÅNGE</t>
        </is>
      </c>
      <c r="G730" t="n">
        <v>4.5</v>
      </c>
      <c r="H730" t="n">
        <v>0</v>
      </c>
      <c r="I730" t="n">
        <v>0</v>
      </c>
      <c r="J730" t="n">
        <v>0</v>
      </c>
      <c r="K730" t="n">
        <v>0</v>
      </c>
      <c r="L730" t="n">
        <v>0</v>
      </c>
      <c r="M730" t="n">
        <v>0</v>
      </c>
      <c r="N730" t="n">
        <v>0</v>
      </c>
      <c r="O730" t="n">
        <v>0</v>
      </c>
      <c r="P730" t="n">
        <v>0</v>
      </c>
      <c r="Q730" t="n">
        <v>0</v>
      </c>
      <c r="R730" s="2" t="inlineStr"/>
    </row>
    <row r="731" ht="15" customHeight="1">
      <c r="A731" t="inlineStr">
        <is>
          <t>A 741-2024</t>
        </is>
      </c>
      <c r="B731" s="1" t="n">
        <v>45300.46591435185</v>
      </c>
      <c r="C731" s="1" t="n">
        <v>45926</v>
      </c>
      <c r="D731" t="inlineStr">
        <is>
          <t>VÄSTERNORRLANDS LÄN</t>
        </is>
      </c>
      <c r="E731" t="inlineStr">
        <is>
          <t>ÅNGE</t>
        </is>
      </c>
      <c r="G731" t="n">
        <v>8</v>
      </c>
      <c r="H731" t="n">
        <v>0</v>
      </c>
      <c r="I731" t="n">
        <v>0</v>
      </c>
      <c r="J731" t="n">
        <v>0</v>
      </c>
      <c r="K731" t="n">
        <v>0</v>
      </c>
      <c r="L731" t="n">
        <v>0</v>
      </c>
      <c r="M731" t="n">
        <v>0</v>
      </c>
      <c r="N731" t="n">
        <v>0</v>
      </c>
      <c r="O731" t="n">
        <v>0</v>
      </c>
      <c r="P731" t="n">
        <v>0</v>
      </c>
      <c r="Q731" t="n">
        <v>0</v>
      </c>
      <c r="R731" s="2" t="inlineStr"/>
    </row>
    <row r="732" ht="15" customHeight="1">
      <c r="A732" t="inlineStr">
        <is>
          <t>A 48369-2024</t>
        </is>
      </c>
      <c r="B732" s="1" t="n">
        <v>45590.57960648148</v>
      </c>
      <c r="C732" s="1" t="n">
        <v>45926</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27023-2025</t>
        </is>
      </c>
      <c r="B733" s="1" t="n">
        <v>45811.57342592593</v>
      </c>
      <c r="C733" s="1" t="n">
        <v>45926</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25047-2023</t>
        </is>
      </c>
      <c r="B734" s="1" t="n">
        <v>45085.94569444445</v>
      </c>
      <c r="C734" s="1" t="n">
        <v>45926</v>
      </c>
      <c r="D734" t="inlineStr">
        <is>
          <t>VÄSTERNORRLANDS LÄN</t>
        </is>
      </c>
      <c r="E734" t="inlineStr">
        <is>
          <t>ÅNGE</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36790-2023</t>
        </is>
      </c>
      <c r="B735" s="1" t="n">
        <v>45154.36418981481</v>
      </c>
      <c r="C735" s="1" t="n">
        <v>45926</v>
      </c>
      <c r="D735" t="inlineStr">
        <is>
          <t>VÄSTERNORRLANDS LÄN</t>
        </is>
      </c>
      <c r="E735" t="inlineStr">
        <is>
          <t>ÅNGE</t>
        </is>
      </c>
      <c r="G735" t="n">
        <v>1.4</v>
      </c>
      <c r="H735" t="n">
        <v>0</v>
      </c>
      <c r="I735" t="n">
        <v>0</v>
      </c>
      <c r="J735" t="n">
        <v>0</v>
      </c>
      <c r="K735" t="n">
        <v>0</v>
      </c>
      <c r="L735" t="n">
        <v>0</v>
      </c>
      <c r="M735" t="n">
        <v>0</v>
      </c>
      <c r="N735" t="n">
        <v>0</v>
      </c>
      <c r="O735" t="n">
        <v>0</v>
      </c>
      <c r="P735" t="n">
        <v>0</v>
      </c>
      <c r="Q735" t="n">
        <v>0</v>
      </c>
      <c r="R735" s="2" t="inlineStr"/>
    </row>
    <row r="736" ht="15" customHeight="1">
      <c r="A736" t="inlineStr">
        <is>
          <t>A 16524-2025</t>
        </is>
      </c>
      <c r="B736" s="1" t="n">
        <v>45751.64310185185</v>
      </c>
      <c r="C736" s="1" t="n">
        <v>45926</v>
      </c>
      <c r="D736" t="inlineStr">
        <is>
          <t>VÄSTERNORRLANDS LÄN</t>
        </is>
      </c>
      <c r="E736" t="inlineStr">
        <is>
          <t>ÅNGE</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42242-2023</t>
        </is>
      </c>
      <c r="B737" s="1" t="n">
        <v>45180.35025462963</v>
      </c>
      <c r="C737" s="1" t="n">
        <v>45926</v>
      </c>
      <c r="D737" t="inlineStr">
        <is>
          <t>VÄSTERNORRLANDS LÄN</t>
        </is>
      </c>
      <c r="E737" t="inlineStr">
        <is>
          <t>ÅNGE</t>
        </is>
      </c>
      <c r="G737" t="n">
        <v>5.7</v>
      </c>
      <c r="H737" t="n">
        <v>0</v>
      </c>
      <c r="I737" t="n">
        <v>0</v>
      </c>
      <c r="J737" t="n">
        <v>0</v>
      </c>
      <c r="K737" t="n">
        <v>0</v>
      </c>
      <c r="L737" t="n">
        <v>0</v>
      </c>
      <c r="M737" t="n">
        <v>0</v>
      </c>
      <c r="N737" t="n">
        <v>0</v>
      </c>
      <c r="O737" t="n">
        <v>0</v>
      </c>
      <c r="P737" t="n">
        <v>0</v>
      </c>
      <c r="Q737" t="n">
        <v>0</v>
      </c>
      <c r="R737" s="2" t="inlineStr"/>
    </row>
    <row r="738" ht="15" customHeight="1">
      <c r="A738" t="inlineStr">
        <is>
          <t>A 52683-2024</t>
        </is>
      </c>
      <c r="B738" s="1" t="n">
        <v>45610</v>
      </c>
      <c r="C738" s="1" t="n">
        <v>45926</v>
      </c>
      <c r="D738" t="inlineStr">
        <is>
          <t>VÄSTERNORRLANDS LÄN</t>
        </is>
      </c>
      <c r="E738" t="inlineStr">
        <is>
          <t>ÅNGE</t>
        </is>
      </c>
      <c r="G738" t="n">
        <v>1.8</v>
      </c>
      <c r="H738" t="n">
        <v>0</v>
      </c>
      <c r="I738" t="n">
        <v>0</v>
      </c>
      <c r="J738" t="n">
        <v>0</v>
      </c>
      <c r="K738" t="n">
        <v>0</v>
      </c>
      <c r="L738" t="n">
        <v>0</v>
      </c>
      <c r="M738" t="n">
        <v>0</v>
      </c>
      <c r="N738" t="n">
        <v>0</v>
      </c>
      <c r="O738" t="n">
        <v>0</v>
      </c>
      <c r="P738" t="n">
        <v>0</v>
      </c>
      <c r="Q738" t="n">
        <v>0</v>
      </c>
      <c r="R738" s="2" t="inlineStr"/>
    </row>
    <row r="739" ht="15" customHeight="1">
      <c r="A739" t="inlineStr">
        <is>
          <t>A 40790-2023</t>
        </is>
      </c>
      <c r="B739" s="1" t="n">
        <v>45170.95814814815</v>
      </c>
      <c r="C739" s="1" t="n">
        <v>45926</v>
      </c>
      <c r="D739" t="inlineStr">
        <is>
          <t>VÄSTERNORRLANDS LÄN</t>
        </is>
      </c>
      <c r="E739" t="inlineStr">
        <is>
          <t>ÅNGE</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38002-2024</t>
        </is>
      </c>
      <c r="B740" s="1" t="n">
        <v>45544.61484953704</v>
      </c>
      <c r="C740" s="1" t="n">
        <v>45926</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60514-2024</t>
        </is>
      </c>
      <c r="B741" s="1" t="n">
        <v>45643.67474537037</v>
      </c>
      <c r="C741" s="1" t="n">
        <v>45926</v>
      </c>
      <c r="D741" t="inlineStr">
        <is>
          <t>VÄSTERNORRLANDS LÄN</t>
        </is>
      </c>
      <c r="E741" t="inlineStr">
        <is>
          <t>ÅNGE</t>
        </is>
      </c>
      <c r="G741" t="n">
        <v>2.4</v>
      </c>
      <c r="H741" t="n">
        <v>0</v>
      </c>
      <c r="I741" t="n">
        <v>0</v>
      </c>
      <c r="J741" t="n">
        <v>0</v>
      </c>
      <c r="K741" t="n">
        <v>0</v>
      </c>
      <c r="L741" t="n">
        <v>0</v>
      </c>
      <c r="M741" t="n">
        <v>0</v>
      </c>
      <c r="N741" t="n">
        <v>0</v>
      </c>
      <c r="O741" t="n">
        <v>0</v>
      </c>
      <c r="P741" t="n">
        <v>0</v>
      </c>
      <c r="Q741" t="n">
        <v>0</v>
      </c>
      <c r="R741" s="2" t="inlineStr"/>
    </row>
    <row r="742" ht="15" customHeight="1">
      <c r="A742" t="inlineStr">
        <is>
          <t>A 6684-2024</t>
        </is>
      </c>
      <c r="B742" s="1" t="n">
        <v>45341.92555555556</v>
      </c>
      <c r="C742" s="1" t="n">
        <v>45926</v>
      </c>
      <c r="D742" t="inlineStr">
        <is>
          <t>VÄSTERNORRLANDS LÄN</t>
        </is>
      </c>
      <c r="E742" t="inlineStr">
        <is>
          <t>ÅNGE</t>
        </is>
      </c>
      <c r="G742" t="n">
        <v>1</v>
      </c>
      <c r="H742" t="n">
        <v>0</v>
      </c>
      <c r="I742" t="n">
        <v>0</v>
      </c>
      <c r="J742" t="n">
        <v>0</v>
      </c>
      <c r="K742" t="n">
        <v>0</v>
      </c>
      <c r="L742" t="n">
        <v>0</v>
      </c>
      <c r="M742" t="n">
        <v>0</v>
      </c>
      <c r="N742" t="n">
        <v>0</v>
      </c>
      <c r="O742" t="n">
        <v>0</v>
      </c>
      <c r="P742" t="n">
        <v>0</v>
      </c>
      <c r="Q742" t="n">
        <v>0</v>
      </c>
      <c r="R742" s="2" t="inlineStr"/>
    </row>
    <row r="743" ht="15" customHeight="1">
      <c r="A743" t="inlineStr">
        <is>
          <t>A 6691-2024</t>
        </is>
      </c>
      <c r="B743" s="1" t="n">
        <v>45341</v>
      </c>
      <c r="C743" s="1" t="n">
        <v>45926</v>
      </c>
      <c r="D743" t="inlineStr">
        <is>
          <t>VÄSTERNORRLANDS LÄN</t>
        </is>
      </c>
      <c r="E743" t="inlineStr">
        <is>
          <t>ÅNGE</t>
        </is>
      </c>
      <c r="G743" t="n">
        <v>0.9</v>
      </c>
      <c r="H743" t="n">
        <v>0</v>
      </c>
      <c r="I743" t="n">
        <v>0</v>
      </c>
      <c r="J743" t="n">
        <v>0</v>
      </c>
      <c r="K743" t="n">
        <v>0</v>
      </c>
      <c r="L743" t="n">
        <v>0</v>
      </c>
      <c r="M743" t="n">
        <v>0</v>
      </c>
      <c r="N743" t="n">
        <v>0</v>
      </c>
      <c r="O743" t="n">
        <v>0</v>
      </c>
      <c r="P743" t="n">
        <v>0</v>
      </c>
      <c r="Q743" t="n">
        <v>0</v>
      </c>
      <c r="R743" s="2" t="inlineStr"/>
    </row>
    <row r="744" ht="15" customHeight="1">
      <c r="A744" t="inlineStr">
        <is>
          <t>A 57815-2024</t>
        </is>
      </c>
      <c r="B744" s="1" t="n">
        <v>45631.37068287037</v>
      </c>
      <c r="C744" s="1" t="n">
        <v>45926</v>
      </c>
      <c r="D744" t="inlineStr">
        <is>
          <t>VÄSTERNORRLANDS LÄN</t>
        </is>
      </c>
      <c r="E744" t="inlineStr">
        <is>
          <t>ÅNGE</t>
        </is>
      </c>
      <c r="G744" t="n">
        <v>2.6</v>
      </c>
      <c r="H744" t="n">
        <v>0</v>
      </c>
      <c r="I744" t="n">
        <v>0</v>
      </c>
      <c r="J744" t="n">
        <v>0</v>
      </c>
      <c r="K744" t="n">
        <v>0</v>
      </c>
      <c r="L744" t="n">
        <v>0</v>
      </c>
      <c r="M744" t="n">
        <v>0</v>
      </c>
      <c r="N744" t="n">
        <v>0</v>
      </c>
      <c r="O744" t="n">
        <v>0</v>
      </c>
      <c r="P744" t="n">
        <v>0</v>
      </c>
      <c r="Q744" t="n">
        <v>0</v>
      </c>
      <c r="R744" s="2" t="inlineStr"/>
    </row>
    <row r="745" ht="15" customHeight="1">
      <c r="A745" t="inlineStr">
        <is>
          <t>A 25973-2022</t>
        </is>
      </c>
      <c r="B745" s="1" t="n">
        <v>44734</v>
      </c>
      <c r="C745" s="1" t="n">
        <v>45926</v>
      </c>
      <c r="D745" t="inlineStr">
        <is>
          <t>VÄSTERNORRLANDS LÄN</t>
        </is>
      </c>
      <c r="E745" t="inlineStr">
        <is>
          <t>ÅNGE</t>
        </is>
      </c>
      <c r="G745" t="n">
        <v>4.1</v>
      </c>
      <c r="H745" t="n">
        <v>0</v>
      </c>
      <c r="I745" t="n">
        <v>0</v>
      </c>
      <c r="J745" t="n">
        <v>0</v>
      </c>
      <c r="K745" t="n">
        <v>0</v>
      </c>
      <c r="L745" t="n">
        <v>0</v>
      </c>
      <c r="M745" t="n">
        <v>0</v>
      </c>
      <c r="N745" t="n">
        <v>0</v>
      </c>
      <c r="O745" t="n">
        <v>0</v>
      </c>
      <c r="P745" t="n">
        <v>0</v>
      </c>
      <c r="Q745" t="n">
        <v>0</v>
      </c>
      <c r="R745" s="2" t="inlineStr"/>
    </row>
    <row r="746" ht="15" customHeight="1">
      <c r="A746" t="inlineStr">
        <is>
          <t>A 27164-2025</t>
        </is>
      </c>
      <c r="B746" s="1" t="n">
        <v>45812.34430555555</v>
      </c>
      <c r="C746" s="1" t="n">
        <v>45926</v>
      </c>
      <c r="D746" t="inlineStr">
        <is>
          <t>VÄSTERNORRLANDS LÄN</t>
        </is>
      </c>
      <c r="E746" t="inlineStr">
        <is>
          <t>ÅNGE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27606-2025</t>
        </is>
      </c>
      <c r="B747" s="1" t="n">
        <v>45813.53200231482</v>
      </c>
      <c r="C747" s="1" t="n">
        <v>45926</v>
      </c>
      <c r="D747" t="inlineStr">
        <is>
          <t>VÄSTERNORRLANDS LÄN</t>
        </is>
      </c>
      <c r="E747" t="inlineStr">
        <is>
          <t>ÅNGE</t>
        </is>
      </c>
      <c r="F747" t="inlineStr">
        <is>
          <t>SCA</t>
        </is>
      </c>
      <c r="G747" t="n">
        <v>6.3</v>
      </c>
      <c r="H747" t="n">
        <v>0</v>
      </c>
      <c r="I747" t="n">
        <v>0</v>
      </c>
      <c r="J747" t="n">
        <v>0</v>
      </c>
      <c r="K747" t="n">
        <v>0</v>
      </c>
      <c r="L747" t="n">
        <v>0</v>
      </c>
      <c r="M747" t="n">
        <v>0</v>
      </c>
      <c r="N747" t="n">
        <v>0</v>
      </c>
      <c r="O747" t="n">
        <v>0</v>
      </c>
      <c r="P747" t="n">
        <v>0</v>
      </c>
      <c r="Q747" t="n">
        <v>0</v>
      </c>
      <c r="R747" s="2" t="inlineStr"/>
    </row>
    <row r="748" ht="15" customHeight="1">
      <c r="A748" t="inlineStr">
        <is>
          <t>A 33750-2024</t>
        </is>
      </c>
      <c r="B748" s="1" t="n">
        <v>45520.56475694444</v>
      </c>
      <c r="C748" s="1" t="n">
        <v>45926</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27639-2025</t>
        </is>
      </c>
      <c r="B749" s="1" t="n">
        <v>45813</v>
      </c>
      <c r="C749" s="1" t="n">
        <v>45926</v>
      </c>
      <c r="D749" t="inlineStr">
        <is>
          <t>VÄSTERNORRLANDS LÄN</t>
        </is>
      </c>
      <c r="E749" t="inlineStr">
        <is>
          <t>ÅNGE</t>
        </is>
      </c>
      <c r="G749" t="n">
        <v>22.9</v>
      </c>
      <c r="H749" t="n">
        <v>0</v>
      </c>
      <c r="I749" t="n">
        <v>0</v>
      </c>
      <c r="J749" t="n">
        <v>0</v>
      </c>
      <c r="K749" t="n">
        <v>0</v>
      </c>
      <c r="L749" t="n">
        <v>0</v>
      </c>
      <c r="M749" t="n">
        <v>0</v>
      </c>
      <c r="N749" t="n">
        <v>0</v>
      </c>
      <c r="O749" t="n">
        <v>0</v>
      </c>
      <c r="P749" t="n">
        <v>0</v>
      </c>
      <c r="Q749" t="n">
        <v>0</v>
      </c>
      <c r="R749" s="2" t="inlineStr"/>
    </row>
    <row r="750" ht="15" customHeight="1">
      <c r="A750" t="inlineStr">
        <is>
          <t>A 27572-2025</t>
        </is>
      </c>
      <c r="B750" s="1" t="n">
        <v>45813.49049768518</v>
      </c>
      <c r="C750" s="1" t="n">
        <v>45926</v>
      </c>
      <c r="D750" t="inlineStr">
        <is>
          <t>VÄSTERNORRLANDS LÄN</t>
        </is>
      </c>
      <c r="E750" t="inlineStr">
        <is>
          <t>ÅNGE</t>
        </is>
      </c>
      <c r="F750" t="inlineStr">
        <is>
          <t>SCA</t>
        </is>
      </c>
      <c r="G750" t="n">
        <v>14.3</v>
      </c>
      <c r="H750" t="n">
        <v>0</v>
      </c>
      <c r="I750" t="n">
        <v>0</v>
      </c>
      <c r="J750" t="n">
        <v>0</v>
      </c>
      <c r="K750" t="n">
        <v>0</v>
      </c>
      <c r="L750" t="n">
        <v>0</v>
      </c>
      <c r="M750" t="n">
        <v>0</v>
      </c>
      <c r="N750" t="n">
        <v>0</v>
      </c>
      <c r="O750" t="n">
        <v>0</v>
      </c>
      <c r="P750" t="n">
        <v>0</v>
      </c>
      <c r="Q750" t="n">
        <v>0</v>
      </c>
      <c r="R750" s="2" t="inlineStr"/>
    </row>
    <row r="751" ht="15" customHeight="1">
      <c r="A751" t="inlineStr">
        <is>
          <t>A 27165-2025</t>
        </is>
      </c>
      <c r="B751" s="1" t="n">
        <v>45812.34440972222</v>
      </c>
      <c r="C751" s="1" t="n">
        <v>45926</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56874-2024</t>
        </is>
      </c>
      <c r="B752" s="1" t="n">
        <v>45628</v>
      </c>
      <c r="C752" s="1" t="n">
        <v>45926</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58087-2024</t>
        </is>
      </c>
      <c r="B753" s="1" t="n">
        <v>45632.34502314815</v>
      </c>
      <c r="C753" s="1" t="n">
        <v>45926</v>
      </c>
      <c r="D753" t="inlineStr">
        <is>
          <t>VÄSTERNORRLANDS LÄN</t>
        </is>
      </c>
      <c r="E753" t="inlineStr">
        <is>
          <t>ÅNGE</t>
        </is>
      </c>
      <c r="G753" t="n">
        <v>2.6</v>
      </c>
      <c r="H753" t="n">
        <v>0</v>
      </c>
      <c r="I753" t="n">
        <v>0</v>
      </c>
      <c r="J753" t="n">
        <v>0</v>
      </c>
      <c r="K753" t="n">
        <v>0</v>
      </c>
      <c r="L753" t="n">
        <v>0</v>
      </c>
      <c r="M753" t="n">
        <v>0</v>
      </c>
      <c r="N753" t="n">
        <v>0</v>
      </c>
      <c r="O753" t="n">
        <v>0</v>
      </c>
      <c r="P753" t="n">
        <v>0</v>
      </c>
      <c r="Q753" t="n">
        <v>0</v>
      </c>
      <c r="R753" s="2" t="inlineStr"/>
    </row>
    <row r="754" ht="15" customHeight="1">
      <c r="A754" t="inlineStr">
        <is>
          <t>A 27545-2025</t>
        </is>
      </c>
      <c r="B754" s="1" t="n">
        <v>45813.46942129629</v>
      </c>
      <c r="C754" s="1" t="n">
        <v>45926</v>
      </c>
      <c r="D754" t="inlineStr">
        <is>
          <t>VÄSTERNORRLANDS LÄN</t>
        </is>
      </c>
      <c r="E754" t="inlineStr">
        <is>
          <t>ÅNGE</t>
        </is>
      </c>
      <c r="F754" t="inlineStr">
        <is>
          <t>SCA</t>
        </is>
      </c>
      <c r="G754" t="n">
        <v>14.3</v>
      </c>
      <c r="H754" t="n">
        <v>0</v>
      </c>
      <c r="I754" t="n">
        <v>0</v>
      </c>
      <c r="J754" t="n">
        <v>0</v>
      </c>
      <c r="K754" t="n">
        <v>0</v>
      </c>
      <c r="L754" t="n">
        <v>0</v>
      </c>
      <c r="M754" t="n">
        <v>0</v>
      </c>
      <c r="N754" t="n">
        <v>0</v>
      </c>
      <c r="O754" t="n">
        <v>0</v>
      </c>
      <c r="P754" t="n">
        <v>0</v>
      </c>
      <c r="Q754" t="n">
        <v>0</v>
      </c>
      <c r="R754" s="2" t="inlineStr"/>
    </row>
    <row r="755" ht="15" customHeight="1">
      <c r="A755" t="inlineStr">
        <is>
          <t>A 42044-2024</t>
        </is>
      </c>
      <c r="B755" s="1" t="n">
        <v>45561</v>
      </c>
      <c r="C755" s="1" t="n">
        <v>45926</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42090-2024</t>
        </is>
      </c>
      <c r="B756" s="1" t="n">
        <v>45562</v>
      </c>
      <c r="C756" s="1" t="n">
        <v>45926</v>
      </c>
      <c r="D756" t="inlineStr">
        <is>
          <t>VÄSTERNORRLANDS LÄN</t>
        </is>
      </c>
      <c r="E756" t="inlineStr">
        <is>
          <t>ÅNGE</t>
        </is>
      </c>
      <c r="F756" t="inlineStr">
        <is>
          <t>SCA</t>
        </is>
      </c>
      <c r="G756" t="n">
        <v>20.2</v>
      </c>
      <c r="H756" t="n">
        <v>0</v>
      </c>
      <c r="I756" t="n">
        <v>0</v>
      </c>
      <c r="J756" t="n">
        <v>0</v>
      </c>
      <c r="K756" t="n">
        <v>0</v>
      </c>
      <c r="L756" t="n">
        <v>0</v>
      </c>
      <c r="M756" t="n">
        <v>0</v>
      </c>
      <c r="N756" t="n">
        <v>0</v>
      </c>
      <c r="O756" t="n">
        <v>0</v>
      </c>
      <c r="P756" t="n">
        <v>0</v>
      </c>
      <c r="Q756" t="n">
        <v>0</v>
      </c>
      <c r="R756" s="2" t="inlineStr"/>
    </row>
    <row r="757" ht="15" customHeight="1">
      <c r="A757" t="inlineStr">
        <is>
          <t>A 18112-2025</t>
        </is>
      </c>
      <c r="B757" s="1" t="n">
        <v>45761.57350694444</v>
      </c>
      <c r="C757" s="1" t="n">
        <v>45926</v>
      </c>
      <c r="D757" t="inlineStr">
        <is>
          <t>VÄSTERNORRLANDS LÄN</t>
        </is>
      </c>
      <c r="E757" t="inlineStr">
        <is>
          <t>ÅNGE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11764-2024</t>
        </is>
      </c>
      <c r="B758" s="1" t="n">
        <v>45373.94837962963</v>
      </c>
      <c r="C758" s="1" t="n">
        <v>45926</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16303-2025</t>
        </is>
      </c>
      <c r="B759" s="1" t="n">
        <v>45751.3462037037</v>
      </c>
      <c r="C759" s="1" t="n">
        <v>45926</v>
      </c>
      <c r="D759" t="inlineStr">
        <is>
          <t>VÄSTERNORRLANDS LÄN</t>
        </is>
      </c>
      <c r="E759" t="inlineStr">
        <is>
          <t>ÅNGE</t>
        </is>
      </c>
      <c r="F759" t="inlineStr">
        <is>
          <t>SCA</t>
        </is>
      </c>
      <c r="G759" t="n">
        <v>0.3</v>
      </c>
      <c r="H759" t="n">
        <v>0</v>
      </c>
      <c r="I759" t="n">
        <v>0</v>
      </c>
      <c r="J759" t="n">
        <v>0</v>
      </c>
      <c r="K759" t="n">
        <v>0</v>
      </c>
      <c r="L759" t="n">
        <v>0</v>
      </c>
      <c r="M759" t="n">
        <v>0</v>
      </c>
      <c r="N759" t="n">
        <v>0</v>
      </c>
      <c r="O759" t="n">
        <v>0</v>
      </c>
      <c r="P759" t="n">
        <v>0</v>
      </c>
      <c r="Q759" t="n">
        <v>0</v>
      </c>
      <c r="R759" s="2" t="inlineStr"/>
    </row>
    <row r="760" ht="15" customHeight="1">
      <c r="A760" t="inlineStr">
        <is>
          <t>A 25035-2023</t>
        </is>
      </c>
      <c r="B760" s="1" t="n">
        <v>45085</v>
      </c>
      <c r="C760" s="1" t="n">
        <v>45926</v>
      </c>
      <c r="D760" t="inlineStr">
        <is>
          <t>VÄSTERNORRLANDS LÄN</t>
        </is>
      </c>
      <c r="E760" t="inlineStr">
        <is>
          <t>ÅNGE</t>
        </is>
      </c>
      <c r="G760" t="n">
        <v>0.3</v>
      </c>
      <c r="H760" t="n">
        <v>0</v>
      </c>
      <c r="I760" t="n">
        <v>0</v>
      </c>
      <c r="J760" t="n">
        <v>0</v>
      </c>
      <c r="K760" t="n">
        <v>0</v>
      </c>
      <c r="L760" t="n">
        <v>0</v>
      </c>
      <c r="M760" t="n">
        <v>0</v>
      </c>
      <c r="N760" t="n">
        <v>0</v>
      </c>
      <c r="O760" t="n">
        <v>0</v>
      </c>
      <c r="P760" t="n">
        <v>0</v>
      </c>
      <c r="Q760" t="n">
        <v>0</v>
      </c>
      <c r="R760" s="2" t="inlineStr"/>
    </row>
    <row r="761" ht="15" customHeight="1">
      <c r="A761" t="inlineStr">
        <is>
          <t>A 21200-2024</t>
        </is>
      </c>
      <c r="B761" s="1" t="n">
        <v>45440</v>
      </c>
      <c r="C761" s="1" t="n">
        <v>45926</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10195-2024</t>
        </is>
      </c>
      <c r="B762" s="1" t="n">
        <v>45364</v>
      </c>
      <c r="C762" s="1" t="n">
        <v>45926</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10017-2025</t>
        </is>
      </c>
      <c r="B763" s="1" t="n">
        <v>45719.46957175926</v>
      </c>
      <c r="C763" s="1" t="n">
        <v>45926</v>
      </c>
      <c r="D763" t="inlineStr">
        <is>
          <t>VÄSTERNORRLANDS LÄN</t>
        </is>
      </c>
      <c r="E763" t="inlineStr">
        <is>
          <t>ÅNGE</t>
        </is>
      </c>
      <c r="F763" t="inlineStr">
        <is>
          <t>SCA</t>
        </is>
      </c>
      <c r="G763" t="n">
        <v>9.9</v>
      </c>
      <c r="H763" t="n">
        <v>0</v>
      </c>
      <c r="I763" t="n">
        <v>0</v>
      </c>
      <c r="J763" t="n">
        <v>0</v>
      </c>
      <c r="K763" t="n">
        <v>0</v>
      </c>
      <c r="L763" t="n">
        <v>0</v>
      </c>
      <c r="M763" t="n">
        <v>0</v>
      </c>
      <c r="N763" t="n">
        <v>0</v>
      </c>
      <c r="O763" t="n">
        <v>0</v>
      </c>
      <c r="P763" t="n">
        <v>0</v>
      </c>
      <c r="Q763" t="n">
        <v>0</v>
      </c>
      <c r="R763" s="2" t="inlineStr"/>
    </row>
    <row r="764" ht="15" customHeight="1">
      <c r="A764" t="inlineStr">
        <is>
          <t>A 1127-2023</t>
        </is>
      </c>
      <c r="B764" s="1" t="n">
        <v>44929</v>
      </c>
      <c r="C764" s="1" t="n">
        <v>45926</v>
      </c>
      <c r="D764" t="inlineStr">
        <is>
          <t>VÄSTERNORRLANDS LÄN</t>
        </is>
      </c>
      <c r="E764" t="inlineStr">
        <is>
          <t>ÅNGE</t>
        </is>
      </c>
      <c r="G764" t="n">
        <v>10.5</v>
      </c>
      <c r="H764" t="n">
        <v>0</v>
      </c>
      <c r="I764" t="n">
        <v>0</v>
      </c>
      <c r="J764" t="n">
        <v>0</v>
      </c>
      <c r="K764" t="n">
        <v>0</v>
      </c>
      <c r="L764" t="n">
        <v>0</v>
      </c>
      <c r="M764" t="n">
        <v>0</v>
      </c>
      <c r="N764" t="n">
        <v>0</v>
      </c>
      <c r="O764" t="n">
        <v>0</v>
      </c>
      <c r="P764" t="n">
        <v>0</v>
      </c>
      <c r="Q764" t="n">
        <v>0</v>
      </c>
      <c r="R764" s="2" t="inlineStr"/>
    </row>
    <row r="765" ht="15" customHeight="1">
      <c r="A765" t="inlineStr">
        <is>
          <t>A 22755-2023</t>
        </is>
      </c>
      <c r="B765" s="1" t="n">
        <v>45071.94127314815</v>
      </c>
      <c r="C765" s="1" t="n">
        <v>45926</v>
      </c>
      <c r="D765" t="inlineStr">
        <is>
          <t>VÄSTERNORRLANDS LÄN</t>
        </is>
      </c>
      <c r="E765" t="inlineStr">
        <is>
          <t>ÅNGE</t>
        </is>
      </c>
      <c r="F765" t="inlineStr">
        <is>
          <t>SCA</t>
        </is>
      </c>
      <c r="G765" t="n">
        <v>12.6</v>
      </c>
      <c r="H765" t="n">
        <v>0</v>
      </c>
      <c r="I765" t="n">
        <v>0</v>
      </c>
      <c r="J765" t="n">
        <v>0</v>
      </c>
      <c r="K765" t="n">
        <v>0</v>
      </c>
      <c r="L765" t="n">
        <v>0</v>
      </c>
      <c r="M765" t="n">
        <v>0</v>
      </c>
      <c r="N765" t="n">
        <v>0</v>
      </c>
      <c r="O765" t="n">
        <v>0</v>
      </c>
      <c r="P765" t="n">
        <v>0</v>
      </c>
      <c r="Q765" t="n">
        <v>0</v>
      </c>
      <c r="R765" s="2" t="inlineStr"/>
    </row>
    <row r="766" ht="15" customHeight="1">
      <c r="A766" t="inlineStr">
        <is>
          <t>A 4727-2023</t>
        </is>
      </c>
      <c r="B766" s="1" t="n">
        <v>44953</v>
      </c>
      <c r="C766" s="1" t="n">
        <v>45926</v>
      </c>
      <c r="D766" t="inlineStr">
        <is>
          <t>VÄSTERNORRLANDS LÄN</t>
        </is>
      </c>
      <c r="E766" t="inlineStr">
        <is>
          <t>ÅNGE</t>
        </is>
      </c>
      <c r="G766" t="n">
        <v>0.4</v>
      </c>
      <c r="H766" t="n">
        <v>0</v>
      </c>
      <c r="I766" t="n">
        <v>0</v>
      </c>
      <c r="J766" t="n">
        <v>0</v>
      </c>
      <c r="K766" t="n">
        <v>0</v>
      </c>
      <c r="L766" t="n">
        <v>0</v>
      </c>
      <c r="M766" t="n">
        <v>0</v>
      </c>
      <c r="N766" t="n">
        <v>0</v>
      </c>
      <c r="O766" t="n">
        <v>0</v>
      </c>
      <c r="P766" t="n">
        <v>0</v>
      </c>
      <c r="Q766" t="n">
        <v>0</v>
      </c>
      <c r="R766" s="2" t="inlineStr"/>
    </row>
    <row r="767" ht="15" customHeight="1">
      <c r="A767" t="inlineStr">
        <is>
          <t>A 42488-2024</t>
        </is>
      </c>
      <c r="B767" s="1" t="n">
        <v>45565.49420138889</v>
      </c>
      <c r="C767" s="1" t="n">
        <v>45926</v>
      </c>
      <c r="D767" t="inlineStr">
        <is>
          <t>VÄSTERNORRLANDS LÄN</t>
        </is>
      </c>
      <c r="E767" t="inlineStr">
        <is>
          <t>ÅNGE</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42529-2024</t>
        </is>
      </c>
      <c r="B768" s="1" t="n">
        <v>45565.57324074074</v>
      </c>
      <c r="C768" s="1" t="n">
        <v>45926</v>
      </c>
      <c r="D768" t="inlineStr">
        <is>
          <t>VÄSTERNORRLANDS LÄN</t>
        </is>
      </c>
      <c r="E768" t="inlineStr">
        <is>
          <t>ÅNGE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9211-2023</t>
        </is>
      </c>
      <c r="B769" s="1" t="n">
        <v>44980</v>
      </c>
      <c r="C769" s="1" t="n">
        <v>45926</v>
      </c>
      <c r="D769" t="inlineStr">
        <is>
          <t>VÄSTERNORRLANDS LÄN</t>
        </is>
      </c>
      <c r="E769" t="inlineStr">
        <is>
          <t>ÅNGE</t>
        </is>
      </c>
      <c r="G769" t="n">
        <v>2.3</v>
      </c>
      <c r="H769" t="n">
        <v>0</v>
      </c>
      <c r="I769" t="n">
        <v>0</v>
      </c>
      <c r="J769" t="n">
        <v>0</v>
      </c>
      <c r="K769" t="n">
        <v>0</v>
      </c>
      <c r="L769" t="n">
        <v>0</v>
      </c>
      <c r="M769" t="n">
        <v>0</v>
      </c>
      <c r="N769" t="n">
        <v>0</v>
      </c>
      <c r="O769" t="n">
        <v>0</v>
      </c>
      <c r="P769" t="n">
        <v>0</v>
      </c>
      <c r="Q769" t="n">
        <v>0</v>
      </c>
      <c r="R769" s="2" t="inlineStr"/>
    </row>
    <row r="770" ht="15" customHeight="1">
      <c r="A770" t="inlineStr">
        <is>
          <t>A 29193-2024</t>
        </is>
      </c>
      <c r="B770" s="1" t="n">
        <v>45482.56510416666</v>
      </c>
      <c r="C770" s="1" t="n">
        <v>45926</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28085-2025</t>
        </is>
      </c>
      <c r="B771" s="1" t="n">
        <v>45817.71924768519</v>
      </c>
      <c r="C771" s="1" t="n">
        <v>45926</v>
      </c>
      <c r="D771" t="inlineStr">
        <is>
          <t>VÄSTERNORRLANDS LÄN</t>
        </is>
      </c>
      <c r="E771" t="inlineStr">
        <is>
          <t>ÅNGE</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28070-2025</t>
        </is>
      </c>
      <c r="B772" s="1" t="n">
        <v>45817.67739583334</v>
      </c>
      <c r="C772" s="1" t="n">
        <v>45926</v>
      </c>
      <c r="D772" t="inlineStr">
        <is>
          <t>VÄSTERNORRLANDS LÄN</t>
        </is>
      </c>
      <c r="E772" t="inlineStr">
        <is>
          <t>ÅNGE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42881-2023</t>
        </is>
      </c>
      <c r="B773" s="1" t="n">
        <v>45182.45256944445</v>
      </c>
      <c r="C773" s="1" t="n">
        <v>45926</v>
      </c>
      <c r="D773" t="inlineStr">
        <is>
          <t>VÄSTERNORRLANDS LÄN</t>
        </is>
      </c>
      <c r="E773" t="inlineStr">
        <is>
          <t>ÅNGE</t>
        </is>
      </c>
      <c r="G773" t="n">
        <v>3.9</v>
      </c>
      <c r="H773" t="n">
        <v>0</v>
      </c>
      <c r="I773" t="n">
        <v>0</v>
      </c>
      <c r="J773" t="n">
        <v>0</v>
      </c>
      <c r="K773" t="n">
        <v>0</v>
      </c>
      <c r="L773" t="n">
        <v>0</v>
      </c>
      <c r="M773" t="n">
        <v>0</v>
      </c>
      <c r="N773" t="n">
        <v>0</v>
      </c>
      <c r="O773" t="n">
        <v>0</v>
      </c>
      <c r="P773" t="n">
        <v>0</v>
      </c>
      <c r="Q773" t="n">
        <v>0</v>
      </c>
      <c r="R773" s="2" t="inlineStr"/>
    </row>
    <row r="774" ht="15" customHeight="1">
      <c r="A774" t="inlineStr">
        <is>
          <t>A 30474-2024</t>
        </is>
      </c>
      <c r="B774" s="1" t="n">
        <v>45491</v>
      </c>
      <c r="C774" s="1" t="n">
        <v>45926</v>
      </c>
      <c r="D774" t="inlineStr">
        <is>
          <t>VÄSTERNORRLANDS LÄN</t>
        </is>
      </c>
      <c r="E774" t="inlineStr">
        <is>
          <t>ÅNGE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30475-2024</t>
        </is>
      </c>
      <c r="B775" s="1" t="n">
        <v>45491</v>
      </c>
      <c r="C775" s="1" t="n">
        <v>45926</v>
      </c>
      <c r="D775" t="inlineStr">
        <is>
          <t>VÄSTERNORRLANDS LÄN</t>
        </is>
      </c>
      <c r="E775" t="inlineStr">
        <is>
          <t>ÅNGE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47243-2024</t>
        </is>
      </c>
      <c r="B776" s="1" t="n">
        <v>45586.6987962963</v>
      </c>
      <c r="C776" s="1" t="n">
        <v>45926</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42043-2024</t>
        </is>
      </c>
      <c r="B777" s="1" t="n">
        <v>45561</v>
      </c>
      <c r="C777" s="1" t="n">
        <v>45926</v>
      </c>
      <c r="D777" t="inlineStr">
        <is>
          <t>VÄSTERNORRLANDS LÄN</t>
        </is>
      </c>
      <c r="E777" t="inlineStr">
        <is>
          <t>ÅNGE</t>
        </is>
      </c>
      <c r="G777" t="n">
        <v>3.1</v>
      </c>
      <c r="H777" t="n">
        <v>0</v>
      </c>
      <c r="I777" t="n">
        <v>0</v>
      </c>
      <c r="J777" t="n">
        <v>0</v>
      </c>
      <c r="K777" t="n">
        <v>0</v>
      </c>
      <c r="L777" t="n">
        <v>0</v>
      </c>
      <c r="M777" t="n">
        <v>0</v>
      </c>
      <c r="N777" t="n">
        <v>0</v>
      </c>
      <c r="O777" t="n">
        <v>0</v>
      </c>
      <c r="P777" t="n">
        <v>0</v>
      </c>
      <c r="Q777" t="n">
        <v>0</v>
      </c>
      <c r="R777" s="2" t="inlineStr"/>
    </row>
    <row r="778" ht="15" customHeight="1">
      <c r="A778" t="inlineStr">
        <is>
          <t>A 42046-2024</t>
        </is>
      </c>
      <c r="B778" s="1" t="n">
        <v>45561.83422453704</v>
      </c>
      <c r="C778" s="1" t="n">
        <v>45926</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3023-2023</t>
        </is>
      </c>
      <c r="B779" s="1" t="n">
        <v>44945</v>
      </c>
      <c r="C779" s="1" t="n">
        <v>45926</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3025-2023</t>
        </is>
      </c>
      <c r="B780" s="1" t="n">
        <v>44945</v>
      </c>
      <c r="C780" s="1" t="n">
        <v>45926</v>
      </c>
      <c r="D780" t="inlineStr">
        <is>
          <t>VÄSTERNORRLANDS LÄN</t>
        </is>
      </c>
      <c r="E780" t="inlineStr">
        <is>
          <t>ÅNGE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56232-2024</t>
        </is>
      </c>
      <c r="B781" s="1" t="n">
        <v>45624</v>
      </c>
      <c r="C781" s="1" t="n">
        <v>45926</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16853-2023</t>
        </is>
      </c>
      <c r="B782" s="1" t="n">
        <v>45033</v>
      </c>
      <c r="C782" s="1" t="n">
        <v>45926</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55664-2023</t>
        </is>
      </c>
      <c r="B783" s="1" t="n">
        <v>45238.96748842593</v>
      </c>
      <c r="C783" s="1" t="n">
        <v>45926</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57595-2022</t>
        </is>
      </c>
      <c r="B784" s="1" t="n">
        <v>44896.97862268519</v>
      </c>
      <c r="C784" s="1" t="n">
        <v>45926</v>
      </c>
      <c r="D784" t="inlineStr">
        <is>
          <t>VÄSTERNORRLANDS LÄN</t>
        </is>
      </c>
      <c r="E784" t="inlineStr">
        <is>
          <t>ÅNGE</t>
        </is>
      </c>
      <c r="F784" t="inlineStr">
        <is>
          <t>SCA</t>
        </is>
      </c>
      <c r="G784" t="n">
        <v>4.7</v>
      </c>
      <c r="H784" t="n">
        <v>0</v>
      </c>
      <c r="I784" t="n">
        <v>0</v>
      </c>
      <c r="J784" t="n">
        <v>0</v>
      </c>
      <c r="K784" t="n">
        <v>0</v>
      </c>
      <c r="L784" t="n">
        <v>0</v>
      </c>
      <c r="M784" t="n">
        <v>0</v>
      </c>
      <c r="N784" t="n">
        <v>0</v>
      </c>
      <c r="O784" t="n">
        <v>0</v>
      </c>
      <c r="P784" t="n">
        <v>0</v>
      </c>
      <c r="Q784" t="n">
        <v>0</v>
      </c>
      <c r="R784" s="2" t="inlineStr"/>
    </row>
    <row r="785" ht="15" customHeight="1">
      <c r="A785" t="inlineStr">
        <is>
          <t>A 30747-2024</t>
        </is>
      </c>
      <c r="B785" s="1" t="n">
        <v>45496</v>
      </c>
      <c r="C785" s="1" t="n">
        <v>45926</v>
      </c>
      <c r="D785" t="inlineStr">
        <is>
          <t>VÄSTERNORRLANDS LÄN</t>
        </is>
      </c>
      <c r="E785" t="inlineStr">
        <is>
          <t>ÅNGE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28143-2025</t>
        </is>
      </c>
      <c r="B786" s="1" t="n">
        <v>45818.34546296296</v>
      </c>
      <c r="C786" s="1" t="n">
        <v>45926</v>
      </c>
      <c r="D786" t="inlineStr">
        <is>
          <t>VÄSTERNORRLANDS LÄN</t>
        </is>
      </c>
      <c r="E786" t="inlineStr">
        <is>
          <t>ÅNGE</t>
        </is>
      </c>
      <c r="F786" t="inlineStr">
        <is>
          <t>SCA</t>
        </is>
      </c>
      <c r="G786" t="n">
        <v>6.8</v>
      </c>
      <c r="H786" t="n">
        <v>0</v>
      </c>
      <c r="I786" t="n">
        <v>0</v>
      </c>
      <c r="J786" t="n">
        <v>0</v>
      </c>
      <c r="K786" t="n">
        <v>0</v>
      </c>
      <c r="L786" t="n">
        <v>0</v>
      </c>
      <c r="M786" t="n">
        <v>0</v>
      </c>
      <c r="N786" t="n">
        <v>0</v>
      </c>
      <c r="O786" t="n">
        <v>0</v>
      </c>
      <c r="P786" t="n">
        <v>0</v>
      </c>
      <c r="Q786" t="n">
        <v>0</v>
      </c>
      <c r="R786" s="2" t="inlineStr"/>
    </row>
    <row r="787" ht="15" customHeight="1">
      <c r="A787" t="inlineStr">
        <is>
          <t>A 28404-2025</t>
        </is>
      </c>
      <c r="B787" s="1" t="n">
        <v>45819.34532407407</v>
      </c>
      <c r="C787" s="1" t="n">
        <v>45926</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7528-2023</t>
        </is>
      </c>
      <c r="B788" s="1" t="n">
        <v>44971.97662037037</v>
      </c>
      <c r="C788" s="1" t="n">
        <v>45926</v>
      </c>
      <c r="D788" t="inlineStr">
        <is>
          <t>VÄSTERNORRLANDS LÄN</t>
        </is>
      </c>
      <c r="E788" t="inlineStr">
        <is>
          <t>ÅNGE</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53988-2024</t>
        </is>
      </c>
      <c r="B789" s="1" t="n">
        <v>45616.34408564815</v>
      </c>
      <c r="C789" s="1" t="n">
        <v>45926</v>
      </c>
      <c r="D789" t="inlineStr">
        <is>
          <t>VÄSTERNORRLANDS LÄN</t>
        </is>
      </c>
      <c r="E789" t="inlineStr">
        <is>
          <t>ÅNGE</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54002-2024</t>
        </is>
      </c>
      <c r="B790" s="1" t="n">
        <v>45616.36491898148</v>
      </c>
      <c r="C790" s="1" t="n">
        <v>45926</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54059-2024</t>
        </is>
      </c>
      <c r="B791" s="1" t="n">
        <v>45616.46943287037</v>
      </c>
      <c r="C791" s="1" t="n">
        <v>45926</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29153-2025</t>
        </is>
      </c>
      <c r="B792" s="1" t="n">
        <v>45821.63574074074</v>
      </c>
      <c r="C792" s="1" t="n">
        <v>45926</v>
      </c>
      <c r="D792" t="inlineStr">
        <is>
          <t>VÄSTERNORRLANDS LÄN</t>
        </is>
      </c>
      <c r="E792" t="inlineStr">
        <is>
          <t>ÅNGE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58939-2021</t>
        </is>
      </c>
      <c r="B793" s="1" t="n">
        <v>44489</v>
      </c>
      <c r="C793" s="1" t="n">
        <v>45926</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28896-2025</t>
        </is>
      </c>
      <c r="B794" s="1" t="n">
        <v>45820.63584490741</v>
      </c>
      <c r="C794" s="1" t="n">
        <v>45926</v>
      </c>
      <c r="D794" t="inlineStr">
        <is>
          <t>VÄSTERNORRLANDS LÄN</t>
        </is>
      </c>
      <c r="E794" t="inlineStr">
        <is>
          <t>ÅNGE</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28814-2025</t>
        </is>
      </c>
      <c r="B795" s="1" t="n">
        <v>45820.52846064815</v>
      </c>
      <c r="C795" s="1" t="n">
        <v>45926</v>
      </c>
      <c r="D795" t="inlineStr">
        <is>
          <t>VÄSTERNORRLANDS LÄN</t>
        </is>
      </c>
      <c r="E795" t="inlineStr">
        <is>
          <t>ÅNGE</t>
        </is>
      </c>
      <c r="G795" t="n">
        <v>2.6</v>
      </c>
      <c r="H795" t="n">
        <v>0</v>
      </c>
      <c r="I795" t="n">
        <v>0</v>
      </c>
      <c r="J795" t="n">
        <v>0</v>
      </c>
      <c r="K795" t="n">
        <v>0</v>
      </c>
      <c r="L795" t="n">
        <v>0</v>
      </c>
      <c r="M795" t="n">
        <v>0</v>
      </c>
      <c r="N795" t="n">
        <v>0</v>
      </c>
      <c r="O795" t="n">
        <v>0</v>
      </c>
      <c r="P795" t="n">
        <v>0</v>
      </c>
      <c r="Q795" t="n">
        <v>0</v>
      </c>
      <c r="R795" s="2" t="inlineStr"/>
    </row>
    <row r="796" ht="15" customHeight="1">
      <c r="A796" t="inlineStr">
        <is>
          <t>A 50235-2021</t>
        </is>
      </c>
      <c r="B796" s="1" t="n">
        <v>44457</v>
      </c>
      <c r="C796" s="1" t="n">
        <v>45926</v>
      </c>
      <c r="D796" t="inlineStr">
        <is>
          <t>VÄSTERNORRLANDS LÄN</t>
        </is>
      </c>
      <c r="E796" t="inlineStr">
        <is>
          <t>ÅNGE</t>
        </is>
      </c>
      <c r="G796" t="n">
        <v>3.8</v>
      </c>
      <c r="H796" t="n">
        <v>0</v>
      </c>
      <c r="I796" t="n">
        <v>0</v>
      </c>
      <c r="J796" t="n">
        <v>0</v>
      </c>
      <c r="K796" t="n">
        <v>0</v>
      </c>
      <c r="L796" t="n">
        <v>0</v>
      </c>
      <c r="M796" t="n">
        <v>0</v>
      </c>
      <c r="N796" t="n">
        <v>0</v>
      </c>
      <c r="O796" t="n">
        <v>0</v>
      </c>
      <c r="P796" t="n">
        <v>0</v>
      </c>
      <c r="Q796" t="n">
        <v>0</v>
      </c>
      <c r="R796" s="2" t="inlineStr"/>
    </row>
    <row r="797" ht="15" customHeight="1">
      <c r="A797" t="inlineStr">
        <is>
          <t>A 58639-2023</t>
        </is>
      </c>
      <c r="B797" s="1" t="n">
        <v>45251</v>
      </c>
      <c r="C797" s="1" t="n">
        <v>45926</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44600-2024</t>
        </is>
      </c>
      <c r="B798" s="1" t="n">
        <v>45574.51113425926</v>
      </c>
      <c r="C798" s="1" t="n">
        <v>45926</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37382-2021</t>
        </is>
      </c>
      <c r="B799" s="1" t="n">
        <v>44397</v>
      </c>
      <c r="C799" s="1" t="n">
        <v>45926</v>
      </c>
      <c r="D799" t="inlineStr">
        <is>
          <t>VÄSTERNORRLANDS LÄN</t>
        </is>
      </c>
      <c r="E799" t="inlineStr">
        <is>
          <t>ÅNGE</t>
        </is>
      </c>
      <c r="G799" t="n">
        <v>2.4</v>
      </c>
      <c r="H799" t="n">
        <v>0</v>
      </c>
      <c r="I799" t="n">
        <v>0</v>
      </c>
      <c r="J799" t="n">
        <v>0</v>
      </c>
      <c r="K799" t="n">
        <v>0</v>
      </c>
      <c r="L799" t="n">
        <v>0</v>
      </c>
      <c r="M799" t="n">
        <v>0</v>
      </c>
      <c r="N799" t="n">
        <v>0</v>
      </c>
      <c r="O799" t="n">
        <v>0</v>
      </c>
      <c r="P799" t="n">
        <v>0</v>
      </c>
      <c r="Q799" t="n">
        <v>0</v>
      </c>
      <c r="R799" s="2" t="inlineStr"/>
    </row>
    <row r="800" ht="15" customHeight="1">
      <c r="A800" t="inlineStr">
        <is>
          <t>A 12806-2025</t>
        </is>
      </c>
      <c r="B800" s="1" t="n">
        <v>45733.61518518518</v>
      </c>
      <c r="C800" s="1" t="n">
        <v>45926</v>
      </c>
      <c r="D800" t="inlineStr">
        <is>
          <t>VÄSTERNORRLANDS LÄN</t>
        </is>
      </c>
      <c r="E800" t="inlineStr">
        <is>
          <t>ÅNGE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11529-2023</t>
        </is>
      </c>
      <c r="B801" s="1" t="n">
        <v>44993</v>
      </c>
      <c r="C801" s="1" t="n">
        <v>45926</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44635-2024</t>
        </is>
      </c>
      <c r="B802" s="1" t="n">
        <v>45574.51488425926</v>
      </c>
      <c r="C802" s="1" t="n">
        <v>45926</v>
      </c>
      <c r="D802" t="inlineStr">
        <is>
          <t>VÄSTERNORRLANDS LÄN</t>
        </is>
      </c>
      <c r="E802" t="inlineStr">
        <is>
          <t>ÅNGE</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17009-2023</t>
        </is>
      </c>
      <c r="B803" s="1" t="n">
        <v>45033.9455787037</v>
      </c>
      <c r="C803" s="1" t="n">
        <v>45926</v>
      </c>
      <c r="D803" t="inlineStr">
        <is>
          <t>VÄSTERNORRLANDS LÄN</t>
        </is>
      </c>
      <c r="E803" t="inlineStr">
        <is>
          <t>ÅNGE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45890-2021</t>
        </is>
      </c>
      <c r="B804" s="1" t="n">
        <v>44441</v>
      </c>
      <c r="C804" s="1" t="n">
        <v>45926</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24324-2022</t>
        </is>
      </c>
      <c r="B805" s="1" t="n">
        <v>44725.945</v>
      </c>
      <c r="C805" s="1" t="n">
        <v>45926</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24325-2022</t>
        </is>
      </c>
      <c r="B806" s="1" t="n">
        <v>44725.94506944445</v>
      </c>
      <c r="C806" s="1" t="n">
        <v>45926</v>
      </c>
      <c r="D806" t="inlineStr">
        <is>
          <t>VÄSTERNORRLANDS LÄN</t>
        </is>
      </c>
      <c r="E806" t="inlineStr">
        <is>
          <t>ÅNGE</t>
        </is>
      </c>
      <c r="G806" t="n">
        <v>1.6</v>
      </c>
      <c r="H806" t="n">
        <v>0</v>
      </c>
      <c r="I806" t="n">
        <v>0</v>
      </c>
      <c r="J806" t="n">
        <v>0</v>
      </c>
      <c r="K806" t="n">
        <v>0</v>
      </c>
      <c r="L806" t="n">
        <v>0</v>
      </c>
      <c r="M806" t="n">
        <v>0</v>
      </c>
      <c r="N806" t="n">
        <v>0</v>
      </c>
      <c r="O806" t="n">
        <v>0</v>
      </c>
      <c r="P806" t="n">
        <v>0</v>
      </c>
      <c r="Q806" t="n">
        <v>0</v>
      </c>
      <c r="R806" s="2" t="inlineStr"/>
    </row>
    <row r="807" ht="15" customHeight="1">
      <c r="A807" t="inlineStr">
        <is>
          <t>A 43066-2022</t>
        </is>
      </c>
      <c r="B807" s="1" t="n">
        <v>44833</v>
      </c>
      <c r="C807" s="1" t="n">
        <v>45926</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1869-2022</t>
        </is>
      </c>
      <c r="B808" s="1" t="n">
        <v>44574</v>
      </c>
      <c r="C808" s="1" t="n">
        <v>45926</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54346-2023</t>
        </is>
      </c>
      <c r="B809" s="1" t="n">
        <v>45232.96087962963</v>
      </c>
      <c r="C809" s="1" t="n">
        <v>45926</v>
      </c>
      <c r="D809" t="inlineStr">
        <is>
          <t>VÄSTERNORRLANDS LÄN</t>
        </is>
      </c>
      <c r="E809" t="inlineStr">
        <is>
          <t>ÅNGE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48988-2021</t>
        </is>
      </c>
      <c r="B810" s="1" t="n">
        <v>44453.43</v>
      </c>
      <c r="C810" s="1" t="n">
        <v>45926</v>
      </c>
      <c r="D810" t="inlineStr">
        <is>
          <t>VÄSTERNORRLANDS LÄN</t>
        </is>
      </c>
      <c r="E810" t="inlineStr">
        <is>
          <t>ÅNGE</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60812-2024</t>
        </is>
      </c>
      <c r="B811" s="1" t="n">
        <v>45644</v>
      </c>
      <c r="C811" s="1" t="n">
        <v>45926</v>
      </c>
      <c r="D811" t="inlineStr">
        <is>
          <t>VÄSTERNORRLANDS LÄN</t>
        </is>
      </c>
      <c r="E811" t="inlineStr">
        <is>
          <t>ÅNGE</t>
        </is>
      </c>
      <c r="G811" t="n">
        <v>3.6</v>
      </c>
      <c r="H811" t="n">
        <v>0</v>
      </c>
      <c r="I811" t="n">
        <v>0</v>
      </c>
      <c r="J811" t="n">
        <v>0</v>
      </c>
      <c r="K811" t="n">
        <v>0</v>
      </c>
      <c r="L811" t="n">
        <v>0</v>
      </c>
      <c r="M811" t="n">
        <v>0</v>
      </c>
      <c r="N811" t="n">
        <v>0</v>
      </c>
      <c r="O811" t="n">
        <v>0</v>
      </c>
      <c r="P811" t="n">
        <v>0</v>
      </c>
      <c r="Q811" t="n">
        <v>0</v>
      </c>
      <c r="R811" s="2" t="inlineStr"/>
    </row>
    <row r="812" ht="15" customHeight="1">
      <c r="A812" t="inlineStr">
        <is>
          <t>A 54611-2023</t>
        </is>
      </c>
      <c r="B812" s="1" t="n">
        <v>45233</v>
      </c>
      <c r="C812" s="1" t="n">
        <v>45926</v>
      </c>
      <c r="D812" t="inlineStr">
        <is>
          <t>VÄSTERNORRLANDS LÄN</t>
        </is>
      </c>
      <c r="E812" t="inlineStr">
        <is>
          <t>ÅNGE</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49187-2024</t>
        </is>
      </c>
      <c r="B813" s="1" t="n">
        <v>45595.34490740741</v>
      </c>
      <c r="C813" s="1" t="n">
        <v>45926</v>
      </c>
      <c r="D813" t="inlineStr">
        <is>
          <t>VÄSTERNORRLANDS LÄN</t>
        </is>
      </c>
      <c r="E813" t="inlineStr">
        <is>
          <t>ÅNGE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28717-2025</t>
        </is>
      </c>
      <c r="B814" s="1" t="n">
        <v>45820</v>
      </c>
      <c r="C814" s="1" t="n">
        <v>45926</v>
      </c>
      <c r="D814" t="inlineStr">
        <is>
          <t>VÄSTERNORRLANDS LÄN</t>
        </is>
      </c>
      <c r="E814" t="inlineStr">
        <is>
          <t>ÅNGE</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51810-2023</t>
        </is>
      </c>
      <c r="B815" s="1" t="n">
        <v>45222.96583333334</v>
      </c>
      <c r="C815" s="1" t="n">
        <v>45926</v>
      </c>
      <c r="D815" t="inlineStr">
        <is>
          <t>VÄSTERNORRLANDS LÄN</t>
        </is>
      </c>
      <c r="E815" t="inlineStr">
        <is>
          <t>ÅNGE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5520-2022</t>
        </is>
      </c>
      <c r="B816" s="1" t="n">
        <v>44595</v>
      </c>
      <c r="C816" s="1" t="n">
        <v>45926</v>
      </c>
      <c r="D816" t="inlineStr">
        <is>
          <t>VÄSTERNORRLANDS LÄN</t>
        </is>
      </c>
      <c r="E816" t="inlineStr">
        <is>
          <t>ÅNGE</t>
        </is>
      </c>
      <c r="G816" t="n">
        <v>4.9</v>
      </c>
      <c r="H816" t="n">
        <v>0</v>
      </c>
      <c r="I816" t="n">
        <v>0</v>
      </c>
      <c r="J816" t="n">
        <v>0</v>
      </c>
      <c r="K816" t="n">
        <v>0</v>
      </c>
      <c r="L816" t="n">
        <v>0</v>
      </c>
      <c r="M816" t="n">
        <v>0</v>
      </c>
      <c r="N816" t="n">
        <v>0</v>
      </c>
      <c r="O816" t="n">
        <v>0</v>
      </c>
      <c r="P816" t="n">
        <v>0</v>
      </c>
      <c r="Q816" t="n">
        <v>0</v>
      </c>
      <c r="R816" s="2" t="inlineStr"/>
    </row>
    <row r="817" ht="15" customHeight="1">
      <c r="A817" t="inlineStr">
        <is>
          <t>A 58469-2023</t>
        </is>
      </c>
      <c r="B817" s="1" t="n">
        <v>45250</v>
      </c>
      <c r="C817" s="1" t="n">
        <v>45926</v>
      </c>
      <c r="D817" t="inlineStr">
        <is>
          <t>VÄSTERNORRLANDS LÄN</t>
        </is>
      </c>
      <c r="E817" t="inlineStr">
        <is>
          <t>ÅNGE</t>
        </is>
      </c>
      <c r="F817" t="inlineStr">
        <is>
          <t>SCA</t>
        </is>
      </c>
      <c r="G817" t="n">
        <v>4.3</v>
      </c>
      <c r="H817" t="n">
        <v>0</v>
      </c>
      <c r="I817" t="n">
        <v>0</v>
      </c>
      <c r="J817" t="n">
        <v>0</v>
      </c>
      <c r="K817" t="n">
        <v>0</v>
      </c>
      <c r="L817" t="n">
        <v>0</v>
      </c>
      <c r="M817" t="n">
        <v>0</v>
      </c>
      <c r="N817" t="n">
        <v>0</v>
      </c>
      <c r="O817" t="n">
        <v>0</v>
      </c>
      <c r="P817" t="n">
        <v>0</v>
      </c>
      <c r="Q817" t="n">
        <v>0</v>
      </c>
      <c r="R817" s="2" t="inlineStr"/>
    </row>
    <row r="818" ht="15" customHeight="1">
      <c r="A818" t="inlineStr">
        <is>
          <t>A 31177-2024</t>
        </is>
      </c>
      <c r="B818" s="1" t="n">
        <v>45503</v>
      </c>
      <c r="C818" s="1" t="n">
        <v>45926</v>
      </c>
      <c r="D818" t="inlineStr">
        <is>
          <t>VÄSTERNORRLANDS LÄN</t>
        </is>
      </c>
      <c r="E818" t="inlineStr">
        <is>
          <t>ÅNGE</t>
        </is>
      </c>
      <c r="G818" t="n">
        <v>10.2</v>
      </c>
      <c r="H818" t="n">
        <v>0</v>
      </c>
      <c r="I818" t="n">
        <v>0</v>
      </c>
      <c r="J818" t="n">
        <v>0</v>
      </c>
      <c r="K818" t="n">
        <v>0</v>
      </c>
      <c r="L818" t="n">
        <v>0</v>
      </c>
      <c r="M818" t="n">
        <v>0</v>
      </c>
      <c r="N818" t="n">
        <v>0</v>
      </c>
      <c r="O818" t="n">
        <v>0</v>
      </c>
      <c r="P818" t="n">
        <v>0</v>
      </c>
      <c r="Q818" t="n">
        <v>0</v>
      </c>
      <c r="R818" s="2" t="inlineStr"/>
    </row>
    <row r="819" ht="15" customHeight="1">
      <c r="A819" t="inlineStr">
        <is>
          <t>A 63530-2023</t>
        </is>
      </c>
      <c r="B819" s="1" t="n">
        <v>45274</v>
      </c>
      <c r="C819" s="1" t="n">
        <v>45926</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29063-2023</t>
        </is>
      </c>
      <c r="B820" s="1" t="n">
        <v>45104.94068287037</v>
      </c>
      <c r="C820" s="1" t="n">
        <v>45926</v>
      </c>
      <c r="D820" t="inlineStr">
        <is>
          <t>VÄSTERNORRLANDS LÄN</t>
        </is>
      </c>
      <c r="E820" t="inlineStr">
        <is>
          <t>ÅNGE</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59412-2024</t>
        </is>
      </c>
      <c r="B821" s="1" t="n">
        <v>45638</v>
      </c>
      <c r="C821" s="1" t="n">
        <v>45926</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60401-2020</t>
        </is>
      </c>
      <c r="B822" s="1" t="n">
        <v>44152</v>
      </c>
      <c r="C822" s="1" t="n">
        <v>45926</v>
      </c>
      <c r="D822" t="inlineStr">
        <is>
          <t>VÄSTERNORRLANDS LÄN</t>
        </is>
      </c>
      <c r="E822" t="inlineStr">
        <is>
          <t>ÅNGE</t>
        </is>
      </c>
      <c r="G822" t="n">
        <v>0.8</v>
      </c>
      <c r="H822" t="n">
        <v>0</v>
      </c>
      <c r="I822" t="n">
        <v>0</v>
      </c>
      <c r="J822" t="n">
        <v>0</v>
      </c>
      <c r="K822" t="n">
        <v>0</v>
      </c>
      <c r="L822" t="n">
        <v>0</v>
      </c>
      <c r="M822" t="n">
        <v>0</v>
      </c>
      <c r="N822" t="n">
        <v>0</v>
      </c>
      <c r="O822" t="n">
        <v>0</v>
      </c>
      <c r="P822" t="n">
        <v>0</v>
      </c>
      <c r="Q822" t="n">
        <v>0</v>
      </c>
      <c r="R822" s="2" t="inlineStr"/>
    </row>
    <row r="823" ht="15" customHeight="1">
      <c r="A823" t="inlineStr">
        <is>
          <t>A 3249-2024</t>
        </is>
      </c>
      <c r="B823" s="1" t="n">
        <v>45316</v>
      </c>
      <c r="C823" s="1" t="n">
        <v>45926</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58275-2022</t>
        </is>
      </c>
      <c r="B824" s="1" t="n">
        <v>44901.47865740741</v>
      </c>
      <c r="C824" s="1" t="n">
        <v>45926</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42948-2024</t>
        </is>
      </c>
      <c r="B825" s="1" t="n">
        <v>45567.36628472222</v>
      </c>
      <c r="C825" s="1" t="n">
        <v>45926</v>
      </c>
      <c r="D825" t="inlineStr">
        <is>
          <t>VÄSTERNORRLANDS LÄN</t>
        </is>
      </c>
      <c r="E825" t="inlineStr">
        <is>
          <t>ÅNGE</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42953-2024</t>
        </is>
      </c>
      <c r="B826" s="1" t="n">
        <v>45567</v>
      </c>
      <c r="C826" s="1" t="n">
        <v>45926</v>
      </c>
      <c r="D826" t="inlineStr">
        <is>
          <t>VÄSTERNORRLANDS LÄN</t>
        </is>
      </c>
      <c r="E826" t="inlineStr">
        <is>
          <t>ÅNGE</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42968-2024</t>
        </is>
      </c>
      <c r="B827" s="1" t="n">
        <v>45567</v>
      </c>
      <c r="C827" s="1" t="n">
        <v>45926</v>
      </c>
      <c r="D827" t="inlineStr">
        <is>
          <t>VÄSTERNORRLANDS LÄN</t>
        </is>
      </c>
      <c r="E827" t="inlineStr">
        <is>
          <t>ÅNGE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14673-2025</t>
        </is>
      </c>
      <c r="B828" s="1" t="n">
        <v>45742.55309027778</v>
      </c>
      <c r="C828" s="1" t="n">
        <v>45926</v>
      </c>
      <c r="D828" t="inlineStr">
        <is>
          <t>VÄSTERNORRLANDS LÄN</t>
        </is>
      </c>
      <c r="E828" t="inlineStr">
        <is>
          <t>ÅNGE</t>
        </is>
      </c>
      <c r="G828" t="n">
        <v>2.5</v>
      </c>
      <c r="H828" t="n">
        <v>0</v>
      </c>
      <c r="I828" t="n">
        <v>0</v>
      </c>
      <c r="J828" t="n">
        <v>0</v>
      </c>
      <c r="K828" t="n">
        <v>0</v>
      </c>
      <c r="L828" t="n">
        <v>0</v>
      </c>
      <c r="M828" t="n">
        <v>0</v>
      </c>
      <c r="N828" t="n">
        <v>0</v>
      </c>
      <c r="O828" t="n">
        <v>0</v>
      </c>
      <c r="P828" t="n">
        <v>0</v>
      </c>
      <c r="Q828" t="n">
        <v>0</v>
      </c>
      <c r="R828" s="2" t="inlineStr"/>
    </row>
    <row r="829" ht="15" customHeight="1">
      <c r="A829" t="inlineStr">
        <is>
          <t>A 16191-2023</t>
        </is>
      </c>
      <c r="B829" s="1" t="n">
        <v>45027.94111111111</v>
      </c>
      <c r="C829" s="1" t="n">
        <v>45926</v>
      </c>
      <c r="D829" t="inlineStr">
        <is>
          <t>VÄSTERNORRLANDS LÄN</t>
        </is>
      </c>
      <c r="E829" t="inlineStr">
        <is>
          <t>ÅNGE</t>
        </is>
      </c>
      <c r="F829" t="inlineStr">
        <is>
          <t>SCA</t>
        </is>
      </c>
      <c r="G829" t="n">
        <v>6.8</v>
      </c>
      <c r="H829" t="n">
        <v>0</v>
      </c>
      <c r="I829" t="n">
        <v>0</v>
      </c>
      <c r="J829" t="n">
        <v>0</v>
      </c>
      <c r="K829" t="n">
        <v>0</v>
      </c>
      <c r="L829" t="n">
        <v>0</v>
      </c>
      <c r="M829" t="n">
        <v>0</v>
      </c>
      <c r="N829" t="n">
        <v>0</v>
      </c>
      <c r="O829" t="n">
        <v>0</v>
      </c>
      <c r="P829" t="n">
        <v>0</v>
      </c>
      <c r="Q829" t="n">
        <v>0</v>
      </c>
      <c r="R829" s="2" t="inlineStr"/>
    </row>
    <row r="830" ht="15" customHeight="1">
      <c r="A830" t="inlineStr">
        <is>
          <t>A 35498-2022</t>
        </is>
      </c>
      <c r="B830" s="1" t="n">
        <v>44798.94810185185</v>
      </c>
      <c r="C830" s="1" t="n">
        <v>45926</v>
      </c>
      <c r="D830" t="inlineStr">
        <is>
          <t>VÄSTERNORRLANDS LÄN</t>
        </is>
      </c>
      <c r="E830" t="inlineStr">
        <is>
          <t>ÅNGE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9567-2024</t>
        </is>
      </c>
      <c r="B831" s="1" t="n">
        <v>45360.03635416667</v>
      </c>
      <c r="C831" s="1" t="n">
        <v>45926</v>
      </c>
      <c r="D831" t="inlineStr">
        <is>
          <t>VÄSTERNORRLANDS LÄN</t>
        </is>
      </c>
      <c r="E831" t="inlineStr">
        <is>
          <t>ÅNGE</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22988-2024</t>
        </is>
      </c>
      <c r="B832" s="1" t="n">
        <v>45449.94530092592</v>
      </c>
      <c r="C832" s="1" t="n">
        <v>45926</v>
      </c>
      <c r="D832" t="inlineStr">
        <is>
          <t>VÄSTERNORRLANDS LÄN</t>
        </is>
      </c>
      <c r="E832" t="inlineStr">
        <is>
          <t>ÅNGE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56908-2021</t>
        </is>
      </c>
      <c r="B833" s="1" t="n">
        <v>44481.93844907408</v>
      </c>
      <c r="C833" s="1" t="n">
        <v>45926</v>
      </c>
      <c r="D833" t="inlineStr">
        <is>
          <t>VÄSTERNORRLANDS LÄN</t>
        </is>
      </c>
      <c r="E833" t="inlineStr">
        <is>
          <t>ÅNGE</t>
        </is>
      </c>
      <c r="G833" t="n">
        <v>12</v>
      </c>
      <c r="H833" t="n">
        <v>0</v>
      </c>
      <c r="I833" t="n">
        <v>0</v>
      </c>
      <c r="J833" t="n">
        <v>0</v>
      </c>
      <c r="K833" t="n">
        <v>0</v>
      </c>
      <c r="L833" t="n">
        <v>0</v>
      </c>
      <c r="M833" t="n">
        <v>0</v>
      </c>
      <c r="N833" t="n">
        <v>0</v>
      </c>
      <c r="O833" t="n">
        <v>0</v>
      </c>
      <c r="P833" t="n">
        <v>0</v>
      </c>
      <c r="Q833" t="n">
        <v>0</v>
      </c>
      <c r="R833" s="2" t="inlineStr"/>
    </row>
    <row r="834" ht="15" customHeight="1">
      <c r="A834" t="inlineStr">
        <is>
          <t>A 2299-2025</t>
        </is>
      </c>
      <c r="B834" s="1" t="n">
        <v>45673.59516203704</v>
      </c>
      <c r="C834" s="1" t="n">
        <v>45926</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31457-2024</t>
        </is>
      </c>
      <c r="B835" s="1" t="n">
        <v>45505</v>
      </c>
      <c r="C835" s="1" t="n">
        <v>45926</v>
      </c>
      <c r="D835" t="inlineStr">
        <is>
          <t>VÄSTERNORRLANDS LÄN</t>
        </is>
      </c>
      <c r="E835" t="inlineStr">
        <is>
          <t>ÅNGE</t>
        </is>
      </c>
      <c r="F835" t="inlineStr">
        <is>
          <t>SCA</t>
        </is>
      </c>
      <c r="G835" t="n">
        <v>5.2</v>
      </c>
      <c r="H835" t="n">
        <v>0</v>
      </c>
      <c r="I835" t="n">
        <v>0</v>
      </c>
      <c r="J835" t="n">
        <v>0</v>
      </c>
      <c r="K835" t="n">
        <v>0</v>
      </c>
      <c r="L835" t="n">
        <v>0</v>
      </c>
      <c r="M835" t="n">
        <v>0</v>
      </c>
      <c r="N835" t="n">
        <v>0</v>
      </c>
      <c r="O835" t="n">
        <v>0</v>
      </c>
      <c r="P835" t="n">
        <v>0</v>
      </c>
      <c r="Q835" t="n">
        <v>0</v>
      </c>
      <c r="R835" s="2" t="inlineStr"/>
    </row>
    <row r="836" ht="15" customHeight="1">
      <c r="A836" t="inlineStr">
        <is>
          <t>A 54771-2023</t>
        </is>
      </c>
      <c r="B836" s="1" t="n">
        <v>45229</v>
      </c>
      <c r="C836" s="1" t="n">
        <v>45926</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26011-2024</t>
        </is>
      </c>
      <c r="B837" s="1" t="n">
        <v>45467.95828703704</v>
      </c>
      <c r="C837" s="1" t="n">
        <v>45926</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26014-2024</t>
        </is>
      </c>
      <c r="B838" s="1" t="n">
        <v>45467.95862268518</v>
      </c>
      <c r="C838" s="1" t="n">
        <v>45926</v>
      </c>
      <c r="D838" t="inlineStr">
        <is>
          <t>VÄSTERNORRLANDS LÄN</t>
        </is>
      </c>
      <c r="E838" t="inlineStr">
        <is>
          <t>ÅNGE</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3629-2023</t>
        </is>
      </c>
      <c r="B839" s="1" t="n">
        <v>44950</v>
      </c>
      <c r="C839" s="1" t="n">
        <v>45926</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3631-2023</t>
        </is>
      </c>
      <c r="B840" s="1" t="n">
        <v>44950</v>
      </c>
      <c r="C840" s="1" t="n">
        <v>45926</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17210-2022</t>
        </is>
      </c>
      <c r="B841" s="1" t="n">
        <v>44677.92701388889</v>
      </c>
      <c r="C841" s="1" t="n">
        <v>45926</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56574-2024</t>
        </is>
      </c>
      <c r="B842" s="1" t="n">
        <v>45625.59616898148</v>
      </c>
      <c r="C842" s="1" t="n">
        <v>45926</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31568-2024</t>
        </is>
      </c>
      <c r="B843" s="1" t="n">
        <v>45505.96721064814</v>
      </c>
      <c r="C843" s="1" t="n">
        <v>45926</v>
      </c>
      <c r="D843" t="inlineStr">
        <is>
          <t>VÄSTERNORRLANDS LÄN</t>
        </is>
      </c>
      <c r="E843" t="inlineStr">
        <is>
          <t>ÅNGE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17703-2025</t>
        </is>
      </c>
      <c r="B844" s="1" t="n">
        <v>45758.4275462963</v>
      </c>
      <c r="C844" s="1" t="n">
        <v>45926</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27468-2024</t>
        </is>
      </c>
      <c r="B845" s="1" t="n">
        <v>45474</v>
      </c>
      <c r="C845" s="1" t="n">
        <v>45926</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28779-2023</t>
        </is>
      </c>
      <c r="B846" s="1" t="n">
        <v>45104.34314814815</v>
      </c>
      <c r="C846" s="1" t="n">
        <v>45926</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25311-2023</t>
        </is>
      </c>
      <c r="B847" s="1" t="n">
        <v>45086.93869212963</v>
      </c>
      <c r="C847" s="1" t="n">
        <v>45926</v>
      </c>
      <c r="D847" t="inlineStr">
        <is>
          <t>VÄSTERNORRLANDS LÄN</t>
        </is>
      </c>
      <c r="E847" t="inlineStr">
        <is>
          <t>ÅNGE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28873-2024</t>
        </is>
      </c>
      <c r="B848" s="1" t="n">
        <v>45478.94766203704</v>
      </c>
      <c r="C848" s="1" t="n">
        <v>45926</v>
      </c>
      <c r="D848" t="inlineStr">
        <is>
          <t>VÄSTERNORRLANDS LÄN</t>
        </is>
      </c>
      <c r="E848" t="inlineStr">
        <is>
          <t>ÅNGE</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27682-2023</t>
        </is>
      </c>
      <c r="B849" s="1" t="n">
        <v>45097.93758101852</v>
      </c>
      <c r="C849" s="1" t="n">
        <v>45926</v>
      </c>
      <c r="D849" t="inlineStr">
        <is>
          <t>VÄSTERNORRLANDS LÄN</t>
        </is>
      </c>
      <c r="E849" t="inlineStr">
        <is>
          <t>ÅNGE</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50612-2024</t>
        </is>
      </c>
      <c r="B850" s="1" t="n">
        <v>45601</v>
      </c>
      <c r="C850" s="1" t="n">
        <v>45926</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28819-2025</t>
        </is>
      </c>
      <c r="B851" s="1" t="n">
        <v>45820.53758101852</v>
      </c>
      <c r="C851" s="1" t="n">
        <v>45926</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12123-2024</t>
        </is>
      </c>
      <c r="B852" s="1" t="n">
        <v>45377</v>
      </c>
      <c r="C852" s="1" t="n">
        <v>45926</v>
      </c>
      <c r="D852" t="inlineStr">
        <is>
          <t>VÄSTERNORRLANDS LÄN</t>
        </is>
      </c>
      <c r="E852" t="inlineStr">
        <is>
          <t>ÅNGE</t>
        </is>
      </c>
      <c r="G852" t="n">
        <v>2.2</v>
      </c>
      <c r="H852" t="n">
        <v>0</v>
      </c>
      <c r="I852" t="n">
        <v>0</v>
      </c>
      <c r="J852" t="n">
        <v>0</v>
      </c>
      <c r="K852" t="n">
        <v>0</v>
      </c>
      <c r="L852" t="n">
        <v>0</v>
      </c>
      <c r="M852" t="n">
        <v>0</v>
      </c>
      <c r="N852" t="n">
        <v>0</v>
      </c>
      <c r="O852" t="n">
        <v>0</v>
      </c>
      <c r="P852" t="n">
        <v>0</v>
      </c>
      <c r="Q852" t="n">
        <v>0</v>
      </c>
      <c r="R852" s="2" t="inlineStr"/>
    </row>
    <row r="853" ht="15" customHeight="1">
      <c r="A853" t="inlineStr">
        <is>
          <t>A 11299-2023</t>
        </is>
      </c>
      <c r="B853" s="1" t="n">
        <v>44993.01074074074</v>
      </c>
      <c r="C853" s="1" t="n">
        <v>45926</v>
      </c>
      <c r="D853" t="inlineStr">
        <is>
          <t>VÄSTERNORRLANDS LÄN</t>
        </is>
      </c>
      <c r="E853" t="inlineStr">
        <is>
          <t>ÅNGE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11309-2023</t>
        </is>
      </c>
      <c r="B854" s="1" t="n">
        <v>44993.0118287037</v>
      </c>
      <c r="C854" s="1" t="n">
        <v>45926</v>
      </c>
      <c r="D854" t="inlineStr">
        <is>
          <t>VÄSTERNORRLANDS LÄN</t>
        </is>
      </c>
      <c r="E854" t="inlineStr">
        <is>
          <t>ÅNGE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45932-2023</t>
        </is>
      </c>
      <c r="B855" s="1" t="n">
        <v>45195</v>
      </c>
      <c r="C855" s="1" t="n">
        <v>45926</v>
      </c>
      <c r="D855" t="inlineStr">
        <is>
          <t>VÄSTERNORRLANDS LÄN</t>
        </is>
      </c>
      <c r="E855" t="inlineStr">
        <is>
          <t>ÅNGE</t>
        </is>
      </c>
      <c r="F855" t="inlineStr">
        <is>
          <t>SCA</t>
        </is>
      </c>
      <c r="G855" t="n">
        <v>0.1</v>
      </c>
      <c r="H855" t="n">
        <v>0</v>
      </c>
      <c r="I855" t="n">
        <v>0</v>
      </c>
      <c r="J855" t="n">
        <v>0</v>
      </c>
      <c r="K855" t="n">
        <v>0</v>
      </c>
      <c r="L855" t="n">
        <v>0</v>
      </c>
      <c r="M855" t="n">
        <v>0</v>
      </c>
      <c r="N855" t="n">
        <v>0</v>
      </c>
      <c r="O855" t="n">
        <v>0</v>
      </c>
      <c r="P855" t="n">
        <v>0</v>
      </c>
      <c r="Q855" t="n">
        <v>0</v>
      </c>
      <c r="R855" s="2" t="inlineStr"/>
    </row>
    <row r="856" ht="15" customHeight="1">
      <c r="A856" t="inlineStr">
        <is>
          <t>A 56699-2023</t>
        </is>
      </c>
      <c r="B856" s="1" t="n">
        <v>45243</v>
      </c>
      <c r="C856" s="1" t="n">
        <v>45926</v>
      </c>
      <c r="D856" t="inlineStr">
        <is>
          <t>VÄSTERNORRLANDS LÄN</t>
        </is>
      </c>
      <c r="E856" t="inlineStr">
        <is>
          <t>ÅNGE</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8648-2025</t>
        </is>
      </c>
      <c r="B857" s="1" t="n">
        <v>45712.34501157407</v>
      </c>
      <c r="C857" s="1" t="n">
        <v>45926</v>
      </c>
      <c r="D857" t="inlineStr">
        <is>
          <t>VÄSTERNORRLANDS LÄN</t>
        </is>
      </c>
      <c r="E857" t="inlineStr">
        <is>
          <t>ÅNGE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28845-2025</t>
        </is>
      </c>
      <c r="B858" s="1" t="n">
        <v>45820.57324074074</v>
      </c>
      <c r="C858" s="1" t="n">
        <v>45926</v>
      </c>
      <c r="D858" t="inlineStr">
        <is>
          <t>VÄSTERNORRLANDS LÄN</t>
        </is>
      </c>
      <c r="E858" t="inlineStr">
        <is>
          <t>ÅNGE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30751-2024</t>
        </is>
      </c>
      <c r="B859" s="1" t="n">
        <v>45496.69339120371</v>
      </c>
      <c r="C859" s="1" t="n">
        <v>45926</v>
      </c>
      <c r="D859" t="inlineStr">
        <is>
          <t>VÄSTERNORRLANDS LÄN</t>
        </is>
      </c>
      <c r="E859" t="inlineStr">
        <is>
          <t>ÅNGE</t>
        </is>
      </c>
      <c r="G859" t="n">
        <v>0.3</v>
      </c>
      <c r="H859" t="n">
        <v>0</v>
      </c>
      <c r="I859" t="n">
        <v>0</v>
      </c>
      <c r="J859" t="n">
        <v>0</v>
      </c>
      <c r="K859" t="n">
        <v>0</v>
      </c>
      <c r="L859" t="n">
        <v>0</v>
      </c>
      <c r="M859" t="n">
        <v>0</v>
      </c>
      <c r="N859" t="n">
        <v>0</v>
      </c>
      <c r="O859" t="n">
        <v>0</v>
      </c>
      <c r="P859" t="n">
        <v>0</v>
      </c>
      <c r="Q859" t="n">
        <v>0</v>
      </c>
      <c r="R859" s="2" t="inlineStr"/>
    </row>
    <row r="860" ht="15" customHeight="1">
      <c r="A860" t="inlineStr">
        <is>
          <t>A 24541-2023</t>
        </is>
      </c>
      <c r="B860" s="1" t="n">
        <v>45082.94135416667</v>
      </c>
      <c r="C860" s="1" t="n">
        <v>45926</v>
      </c>
      <c r="D860" t="inlineStr">
        <is>
          <t>VÄSTERNORRLANDS LÄN</t>
        </is>
      </c>
      <c r="E860" t="inlineStr">
        <is>
          <t>ÅNGE</t>
        </is>
      </c>
      <c r="F860" t="inlineStr">
        <is>
          <t>SCA</t>
        </is>
      </c>
      <c r="G860" t="n">
        <v>6.8</v>
      </c>
      <c r="H860" t="n">
        <v>0</v>
      </c>
      <c r="I860" t="n">
        <v>0</v>
      </c>
      <c r="J860" t="n">
        <v>0</v>
      </c>
      <c r="K860" t="n">
        <v>0</v>
      </c>
      <c r="L860" t="n">
        <v>0</v>
      </c>
      <c r="M860" t="n">
        <v>0</v>
      </c>
      <c r="N860" t="n">
        <v>0</v>
      </c>
      <c r="O860" t="n">
        <v>0</v>
      </c>
      <c r="P860" t="n">
        <v>0</v>
      </c>
      <c r="Q860" t="n">
        <v>0</v>
      </c>
      <c r="R860" s="2" t="inlineStr"/>
    </row>
    <row r="861" ht="15" customHeight="1">
      <c r="A861" t="inlineStr">
        <is>
          <t>A 55324-2023</t>
        </is>
      </c>
      <c r="B861" s="1" t="n">
        <v>45237.9734837963</v>
      </c>
      <c r="C861" s="1" t="n">
        <v>45926</v>
      </c>
      <c r="D861" t="inlineStr">
        <is>
          <t>VÄSTERNORRLANDS LÄN</t>
        </is>
      </c>
      <c r="E861" t="inlineStr">
        <is>
          <t>ÅNGE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24552-2023</t>
        </is>
      </c>
      <c r="B862" s="1" t="n">
        <v>45082.94226851852</v>
      </c>
      <c r="C862" s="1" t="n">
        <v>45926</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58445-2022</t>
        </is>
      </c>
      <c r="B863" s="1" t="n">
        <v>44901.95453703704</v>
      </c>
      <c r="C863" s="1" t="n">
        <v>45926</v>
      </c>
      <c r="D863" t="inlineStr">
        <is>
          <t>VÄSTERNORRLANDS LÄN</t>
        </is>
      </c>
      <c r="E863" t="inlineStr">
        <is>
          <t>ÅNGE</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51131-2022</t>
        </is>
      </c>
      <c r="B864" s="1" t="n">
        <v>44868</v>
      </c>
      <c r="C864" s="1" t="n">
        <v>45926</v>
      </c>
      <c r="D864" t="inlineStr">
        <is>
          <t>VÄSTERNORRLANDS LÄN</t>
        </is>
      </c>
      <c r="E864" t="inlineStr">
        <is>
          <t>ÅNGE</t>
        </is>
      </c>
      <c r="G864" t="n">
        <v>11.1</v>
      </c>
      <c r="H864" t="n">
        <v>0</v>
      </c>
      <c r="I864" t="n">
        <v>0</v>
      </c>
      <c r="J864" t="n">
        <v>0</v>
      </c>
      <c r="K864" t="n">
        <v>0</v>
      </c>
      <c r="L864" t="n">
        <v>0</v>
      </c>
      <c r="M864" t="n">
        <v>0</v>
      </c>
      <c r="N864" t="n">
        <v>0</v>
      </c>
      <c r="O864" t="n">
        <v>0</v>
      </c>
      <c r="P864" t="n">
        <v>0</v>
      </c>
      <c r="Q864" t="n">
        <v>0</v>
      </c>
      <c r="R864" s="2" t="inlineStr"/>
    </row>
    <row r="865" ht="15" customHeight="1">
      <c r="A865" t="inlineStr">
        <is>
          <t>A 33631-2024</t>
        </is>
      </c>
      <c r="B865" s="1" t="n">
        <v>45520</v>
      </c>
      <c r="C865" s="1" t="n">
        <v>45926</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25680-2023</t>
        </is>
      </c>
      <c r="B866" s="1" t="n">
        <v>45089</v>
      </c>
      <c r="C866" s="1" t="n">
        <v>45926</v>
      </c>
      <c r="D866" t="inlineStr">
        <is>
          <t>VÄSTERNORRLANDS LÄN</t>
        </is>
      </c>
      <c r="E866" t="inlineStr">
        <is>
          <t>ÅNGE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63522-2021</t>
        </is>
      </c>
      <c r="B867" s="1" t="n">
        <v>44508</v>
      </c>
      <c r="C867" s="1" t="n">
        <v>45926</v>
      </c>
      <c r="D867" t="inlineStr">
        <is>
          <t>VÄSTERNORRLANDS LÄN</t>
        </is>
      </c>
      <c r="E867" t="inlineStr">
        <is>
          <t>ÅNGE</t>
        </is>
      </c>
      <c r="F867" t="inlineStr">
        <is>
          <t>Övriga Aktiebolag</t>
        </is>
      </c>
      <c r="G867" t="n">
        <v>3.5</v>
      </c>
      <c r="H867" t="n">
        <v>0</v>
      </c>
      <c r="I867" t="n">
        <v>0</v>
      </c>
      <c r="J867" t="n">
        <v>0</v>
      </c>
      <c r="K867" t="n">
        <v>0</v>
      </c>
      <c r="L867" t="n">
        <v>0</v>
      </c>
      <c r="M867" t="n">
        <v>0</v>
      </c>
      <c r="N867" t="n">
        <v>0</v>
      </c>
      <c r="O867" t="n">
        <v>0</v>
      </c>
      <c r="P867" t="n">
        <v>0</v>
      </c>
      <c r="Q867" t="n">
        <v>0</v>
      </c>
      <c r="R867" s="2" t="inlineStr"/>
    </row>
    <row r="868" ht="15" customHeight="1">
      <c r="A868" t="inlineStr">
        <is>
          <t>A 51411-2023</t>
        </is>
      </c>
      <c r="B868" s="1" t="n">
        <v>45219</v>
      </c>
      <c r="C868" s="1" t="n">
        <v>45926</v>
      </c>
      <c r="D868" t="inlineStr">
        <is>
          <t>VÄSTERNORRLANDS LÄN</t>
        </is>
      </c>
      <c r="E868" t="inlineStr">
        <is>
          <t>ÅNGE</t>
        </is>
      </c>
      <c r="G868" t="n">
        <v>2.5</v>
      </c>
      <c r="H868" t="n">
        <v>0</v>
      </c>
      <c r="I868" t="n">
        <v>0</v>
      </c>
      <c r="J868" t="n">
        <v>0</v>
      </c>
      <c r="K868" t="n">
        <v>0</v>
      </c>
      <c r="L868" t="n">
        <v>0</v>
      </c>
      <c r="M868" t="n">
        <v>0</v>
      </c>
      <c r="N868" t="n">
        <v>0</v>
      </c>
      <c r="O868" t="n">
        <v>0</v>
      </c>
      <c r="P868" t="n">
        <v>0</v>
      </c>
      <c r="Q868" t="n">
        <v>0</v>
      </c>
      <c r="R868" s="2" t="inlineStr"/>
    </row>
    <row r="869" ht="15" customHeight="1">
      <c r="A869" t="inlineStr">
        <is>
          <t>A 31229-2023</t>
        </is>
      </c>
      <c r="B869" s="1" t="n">
        <v>45114</v>
      </c>
      <c r="C869" s="1" t="n">
        <v>45926</v>
      </c>
      <c r="D869" t="inlineStr">
        <is>
          <t>VÄSTERNORRLANDS LÄN</t>
        </is>
      </c>
      <c r="E869" t="inlineStr">
        <is>
          <t>ÅNGE</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45926</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55007-2022</t>
        </is>
      </c>
      <c r="B871" s="1" t="n">
        <v>44881</v>
      </c>
      <c r="C871" s="1" t="n">
        <v>45926</v>
      </c>
      <c r="D871" t="inlineStr">
        <is>
          <t>VÄSTERNORRLANDS LÄN</t>
        </is>
      </c>
      <c r="E871" t="inlineStr">
        <is>
          <t>ÅNGE</t>
        </is>
      </c>
      <c r="G871" t="n">
        <v>2</v>
      </c>
      <c r="H871" t="n">
        <v>0</v>
      </c>
      <c r="I871" t="n">
        <v>0</v>
      </c>
      <c r="J871" t="n">
        <v>0</v>
      </c>
      <c r="K871" t="n">
        <v>0</v>
      </c>
      <c r="L871" t="n">
        <v>0</v>
      </c>
      <c r="M871" t="n">
        <v>0</v>
      </c>
      <c r="N871" t="n">
        <v>0</v>
      </c>
      <c r="O871" t="n">
        <v>0</v>
      </c>
      <c r="P871" t="n">
        <v>0</v>
      </c>
      <c r="Q871" t="n">
        <v>0</v>
      </c>
      <c r="R871" s="2" t="inlineStr"/>
    </row>
    <row r="872" ht="15" customHeight="1">
      <c r="A872" t="inlineStr">
        <is>
          <t>A 63607-2021</t>
        </is>
      </c>
      <c r="B872" s="1" t="n">
        <v>44508.94650462963</v>
      </c>
      <c r="C872" s="1" t="n">
        <v>45926</v>
      </c>
      <c r="D872" t="inlineStr">
        <is>
          <t>VÄSTERNORRLANDS LÄN</t>
        </is>
      </c>
      <c r="E872" t="inlineStr">
        <is>
          <t>ÅNGE</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41222-2024</t>
        </is>
      </c>
      <c r="B873" s="1" t="n">
        <v>45559.55306712963</v>
      </c>
      <c r="C873" s="1" t="n">
        <v>45926</v>
      </c>
      <c r="D873" t="inlineStr">
        <is>
          <t>VÄSTERNORRLANDS LÄN</t>
        </is>
      </c>
      <c r="E873" t="inlineStr">
        <is>
          <t>ÅNGE</t>
        </is>
      </c>
      <c r="G873" t="n">
        <v>0.4</v>
      </c>
      <c r="H873" t="n">
        <v>0</v>
      </c>
      <c r="I873" t="n">
        <v>0</v>
      </c>
      <c r="J873" t="n">
        <v>0</v>
      </c>
      <c r="K873" t="n">
        <v>0</v>
      </c>
      <c r="L873" t="n">
        <v>0</v>
      </c>
      <c r="M873" t="n">
        <v>0</v>
      </c>
      <c r="N873" t="n">
        <v>0</v>
      </c>
      <c r="O873" t="n">
        <v>0</v>
      </c>
      <c r="P873" t="n">
        <v>0</v>
      </c>
      <c r="Q873" t="n">
        <v>0</v>
      </c>
      <c r="R873" s="2" t="inlineStr"/>
    </row>
    <row r="874" ht="15" customHeight="1">
      <c r="A874" t="inlineStr">
        <is>
          <t>A 13706-2023</t>
        </is>
      </c>
      <c r="B874" s="1" t="n">
        <v>45006</v>
      </c>
      <c r="C874" s="1" t="n">
        <v>45926</v>
      </c>
      <c r="D874" t="inlineStr">
        <is>
          <t>VÄSTERNORRLANDS LÄN</t>
        </is>
      </c>
      <c r="E874" t="inlineStr">
        <is>
          <t>ÅNGE</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29786-2025</t>
        </is>
      </c>
      <c r="B875" s="1" t="n">
        <v>45825.65663194445</v>
      </c>
      <c r="C875" s="1" t="n">
        <v>45926</v>
      </c>
      <c r="D875" t="inlineStr">
        <is>
          <t>VÄSTERNORRLANDS LÄN</t>
        </is>
      </c>
      <c r="E875" t="inlineStr">
        <is>
          <t>ÅNGE</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53336-2024</t>
        </is>
      </c>
      <c r="B876" s="1" t="n">
        <v>45614.42753472222</v>
      </c>
      <c r="C876" s="1" t="n">
        <v>45926</v>
      </c>
      <c r="D876" t="inlineStr">
        <is>
          <t>VÄSTERNORRLANDS LÄN</t>
        </is>
      </c>
      <c r="E876" t="inlineStr">
        <is>
          <t>ÅNGE</t>
        </is>
      </c>
      <c r="G876" t="n">
        <v>1.5</v>
      </c>
      <c r="H876" t="n">
        <v>0</v>
      </c>
      <c r="I876" t="n">
        <v>0</v>
      </c>
      <c r="J876" t="n">
        <v>0</v>
      </c>
      <c r="K876" t="n">
        <v>0</v>
      </c>
      <c r="L876" t="n">
        <v>0</v>
      </c>
      <c r="M876" t="n">
        <v>0</v>
      </c>
      <c r="N876" t="n">
        <v>0</v>
      </c>
      <c r="O876" t="n">
        <v>0</v>
      </c>
      <c r="P876" t="n">
        <v>0</v>
      </c>
      <c r="Q876" t="n">
        <v>0</v>
      </c>
      <c r="R876" s="2" t="inlineStr"/>
    </row>
    <row r="877" ht="15" customHeight="1">
      <c r="A877" t="inlineStr">
        <is>
          <t>A 7692-2024</t>
        </is>
      </c>
      <c r="B877" s="1" t="n">
        <v>45349</v>
      </c>
      <c r="C877" s="1" t="n">
        <v>45926</v>
      </c>
      <c r="D877" t="inlineStr">
        <is>
          <t>VÄSTERNORRLANDS LÄN</t>
        </is>
      </c>
      <c r="E877" t="inlineStr">
        <is>
          <t>ÅNGE</t>
        </is>
      </c>
      <c r="F877" t="inlineStr">
        <is>
          <t>SCA</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47950-2024</t>
        </is>
      </c>
      <c r="B878" s="1" t="n">
        <v>45589.36511574074</v>
      </c>
      <c r="C878" s="1" t="n">
        <v>45926</v>
      </c>
      <c r="D878" t="inlineStr">
        <is>
          <t>VÄSTERNORRLANDS LÄN</t>
        </is>
      </c>
      <c r="E878" t="inlineStr">
        <is>
          <t>ÅNGE</t>
        </is>
      </c>
      <c r="F878" t="inlineStr">
        <is>
          <t>SCA</t>
        </is>
      </c>
      <c r="G878" t="n">
        <v>6</v>
      </c>
      <c r="H878" t="n">
        <v>0</v>
      </c>
      <c r="I878" t="n">
        <v>0</v>
      </c>
      <c r="J878" t="n">
        <v>0</v>
      </c>
      <c r="K878" t="n">
        <v>0</v>
      </c>
      <c r="L878" t="n">
        <v>0</v>
      </c>
      <c r="M878" t="n">
        <v>0</v>
      </c>
      <c r="N878" t="n">
        <v>0</v>
      </c>
      <c r="O878" t="n">
        <v>0</v>
      </c>
      <c r="P878" t="n">
        <v>0</v>
      </c>
      <c r="Q878" t="n">
        <v>0</v>
      </c>
      <c r="R878" s="2" t="inlineStr"/>
    </row>
    <row r="879" ht="15" customHeight="1">
      <c r="A879" t="inlineStr">
        <is>
          <t>A 39589-2022</t>
        </is>
      </c>
      <c r="B879" s="1" t="n">
        <v>44818</v>
      </c>
      <c r="C879" s="1" t="n">
        <v>45926</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36342-2024</t>
        </is>
      </c>
      <c r="B880" s="1" t="n">
        <v>45534.64315972223</v>
      </c>
      <c r="C880" s="1" t="n">
        <v>45926</v>
      </c>
      <c r="D880" t="inlineStr">
        <is>
          <t>VÄSTERNORRLANDS LÄN</t>
        </is>
      </c>
      <c r="E880" t="inlineStr">
        <is>
          <t>ÅNGE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29350-2025</t>
        </is>
      </c>
      <c r="B881" s="1" t="n">
        <v>45824.53206018519</v>
      </c>
      <c r="C881" s="1" t="n">
        <v>45926</v>
      </c>
      <c r="D881" t="inlineStr">
        <is>
          <t>VÄSTERNORRLANDS LÄN</t>
        </is>
      </c>
      <c r="E881" t="inlineStr">
        <is>
          <t>ÅNGE</t>
        </is>
      </c>
      <c r="G881" t="n">
        <v>8.6</v>
      </c>
      <c r="H881" t="n">
        <v>0</v>
      </c>
      <c r="I881" t="n">
        <v>0</v>
      </c>
      <c r="J881" t="n">
        <v>0</v>
      </c>
      <c r="K881" t="n">
        <v>0</v>
      </c>
      <c r="L881" t="n">
        <v>0</v>
      </c>
      <c r="M881" t="n">
        <v>0</v>
      </c>
      <c r="N881" t="n">
        <v>0</v>
      </c>
      <c r="O881" t="n">
        <v>0</v>
      </c>
      <c r="P881" t="n">
        <v>0</v>
      </c>
      <c r="Q881" t="n">
        <v>0</v>
      </c>
      <c r="R881" s="2" t="inlineStr"/>
    </row>
    <row r="882" ht="15" customHeight="1">
      <c r="A882" t="inlineStr">
        <is>
          <t>A 42098-2024</t>
        </is>
      </c>
      <c r="B882" s="1" t="n">
        <v>45562.34532407407</v>
      </c>
      <c r="C882" s="1" t="n">
        <v>45926</v>
      </c>
      <c r="D882" t="inlineStr">
        <is>
          <t>VÄSTERNORRLANDS LÄN</t>
        </is>
      </c>
      <c r="E882" t="inlineStr">
        <is>
          <t>ÅNGE</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17749-2025</t>
        </is>
      </c>
      <c r="B883" s="1" t="n">
        <v>45758.48380787037</v>
      </c>
      <c r="C883" s="1" t="n">
        <v>45926</v>
      </c>
      <c r="D883" t="inlineStr">
        <is>
          <t>VÄSTERNORRLANDS LÄN</t>
        </is>
      </c>
      <c r="E883" t="inlineStr">
        <is>
          <t>ÅNGE</t>
        </is>
      </c>
      <c r="G883" t="n">
        <v>7.3</v>
      </c>
      <c r="H883" t="n">
        <v>0</v>
      </c>
      <c r="I883" t="n">
        <v>0</v>
      </c>
      <c r="J883" t="n">
        <v>0</v>
      </c>
      <c r="K883" t="n">
        <v>0</v>
      </c>
      <c r="L883" t="n">
        <v>0</v>
      </c>
      <c r="M883" t="n">
        <v>0</v>
      </c>
      <c r="N883" t="n">
        <v>0</v>
      </c>
      <c r="O883" t="n">
        <v>0</v>
      </c>
      <c r="P883" t="n">
        <v>0</v>
      </c>
      <c r="Q883" t="n">
        <v>0</v>
      </c>
      <c r="R883" s="2" t="inlineStr"/>
    </row>
    <row r="884" ht="15" customHeight="1">
      <c r="A884" t="inlineStr">
        <is>
          <t>A 10071-2023</t>
        </is>
      </c>
      <c r="B884" s="1" t="n">
        <v>44985.92418981482</v>
      </c>
      <c r="C884" s="1" t="n">
        <v>45926</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44518-2024</t>
        </is>
      </c>
      <c r="B885" s="1" t="n">
        <v>45574.43376157407</v>
      </c>
      <c r="C885" s="1" t="n">
        <v>45926</v>
      </c>
      <c r="D885" t="inlineStr">
        <is>
          <t>VÄSTERNORRLANDS LÄN</t>
        </is>
      </c>
      <c r="E885" t="inlineStr">
        <is>
          <t>ÅNGE</t>
        </is>
      </c>
      <c r="G885" t="n">
        <v>2.6</v>
      </c>
      <c r="H885" t="n">
        <v>0</v>
      </c>
      <c r="I885" t="n">
        <v>0</v>
      </c>
      <c r="J885" t="n">
        <v>0</v>
      </c>
      <c r="K885" t="n">
        <v>0</v>
      </c>
      <c r="L885" t="n">
        <v>0</v>
      </c>
      <c r="M885" t="n">
        <v>0</v>
      </c>
      <c r="N885" t="n">
        <v>0</v>
      </c>
      <c r="O885" t="n">
        <v>0</v>
      </c>
      <c r="P885" t="n">
        <v>0</v>
      </c>
      <c r="Q885" t="n">
        <v>0</v>
      </c>
      <c r="R885" s="2" t="inlineStr"/>
    </row>
    <row r="886" ht="15" customHeight="1">
      <c r="A886" t="inlineStr">
        <is>
          <t>A 15822-2025</t>
        </is>
      </c>
      <c r="B886" s="1" t="n">
        <v>45748.70172453704</v>
      </c>
      <c r="C886" s="1" t="n">
        <v>45926</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41083-2024</t>
        </is>
      </c>
      <c r="B887" s="1" t="n">
        <v>45559.40684027778</v>
      </c>
      <c r="C887" s="1" t="n">
        <v>45926</v>
      </c>
      <c r="D887" t="inlineStr">
        <is>
          <t>VÄSTERNORRLANDS LÄN</t>
        </is>
      </c>
      <c r="E887" t="inlineStr">
        <is>
          <t>ÅNGE</t>
        </is>
      </c>
      <c r="F887" t="inlineStr">
        <is>
          <t>SCA</t>
        </is>
      </c>
      <c r="G887" t="n">
        <v>8.4</v>
      </c>
      <c r="H887" t="n">
        <v>0</v>
      </c>
      <c r="I887" t="n">
        <v>0</v>
      </c>
      <c r="J887" t="n">
        <v>0</v>
      </c>
      <c r="K887" t="n">
        <v>0</v>
      </c>
      <c r="L887" t="n">
        <v>0</v>
      </c>
      <c r="M887" t="n">
        <v>0</v>
      </c>
      <c r="N887" t="n">
        <v>0</v>
      </c>
      <c r="O887" t="n">
        <v>0</v>
      </c>
      <c r="P887" t="n">
        <v>0</v>
      </c>
      <c r="Q887" t="n">
        <v>0</v>
      </c>
      <c r="R887" s="2" t="inlineStr"/>
    </row>
    <row r="888" ht="15" customHeight="1">
      <c r="A888" t="inlineStr">
        <is>
          <t>A 41781-2024</t>
        </is>
      </c>
      <c r="B888" s="1" t="n">
        <v>45561.34938657407</v>
      </c>
      <c r="C888" s="1" t="n">
        <v>45926</v>
      </c>
      <c r="D888" t="inlineStr">
        <is>
          <t>VÄSTERNORRLANDS LÄN</t>
        </is>
      </c>
      <c r="E888" t="inlineStr">
        <is>
          <t>ÅNGE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3330-2025</t>
        </is>
      </c>
      <c r="B889" s="1" t="n">
        <v>45679.70041666667</v>
      </c>
      <c r="C889" s="1" t="n">
        <v>45926</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38272-2024</t>
        </is>
      </c>
      <c r="B890" s="1" t="n">
        <v>45545.60392361111</v>
      </c>
      <c r="C890" s="1" t="n">
        <v>45926</v>
      </c>
      <c r="D890" t="inlineStr">
        <is>
          <t>VÄSTERNORRLANDS LÄN</t>
        </is>
      </c>
      <c r="E890" t="inlineStr">
        <is>
          <t>ÅNGE</t>
        </is>
      </c>
      <c r="G890" t="n">
        <v>1.7</v>
      </c>
      <c r="H890" t="n">
        <v>0</v>
      </c>
      <c r="I890" t="n">
        <v>0</v>
      </c>
      <c r="J890" t="n">
        <v>0</v>
      </c>
      <c r="K890" t="n">
        <v>0</v>
      </c>
      <c r="L890" t="n">
        <v>0</v>
      </c>
      <c r="M890" t="n">
        <v>0</v>
      </c>
      <c r="N890" t="n">
        <v>0</v>
      </c>
      <c r="O890" t="n">
        <v>0</v>
      </c>
      <c r="P890" t="n">
        <v>0</v>
      </c>
      <c r="Q890" t="n">
        <v>0</v>
      </c>
      <c r="R890" s="2" t="inlineStr"/>
    </row>
    <row r="891" ht="15" customHeight="1">
      <c r="A891" t="inlineStr">
        <is>
          <t>A 4094-2025</t>
        </is>
      </c>
      <c r="B891" s="1" t="n">
        <v>45684.6778125</v>
      </c>
      <c r="C891" s="1" t="n">
        <v>45926</v>
      </c>
      <c r="D891" t="inlineStr">
        <is>
          <t>VÄSTERNORRLANDS LÄN</t>
        </is>
      </c>
      <c r="E891" t="inlineStr">
        <is>
          <t>ÅNGE</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41507-2024</t>
        </is>
      </c>
      <c r="B892" s="1" t="n">
        <v>45560</v>
      </c>
      <c r="C892" s="1" t="n">
        <v>45926</v>
      </c>
      <c r="D892" t="inlineStr">
        <is>
          <t>VÄSTERNORRLANDS LÄN</t>
        </is>
      </c>
      <c r="E892" t="inlineStr">
        <is>
          <t>ÅNGE</t>
        </is>
      </c>
      <c r="G892" t="n">
        <v>1.2</v>
      </c>
      <c r="H892" t="n">
        <v>0</v>
      </c>
      <c r="I892" t="n">
        <v>0</v>
      </c>
      <c r="J892" t="n">
        <v>0</v>
      </c>
      <c r="K892" t="n">
        <v>0</v>
      </c>
      <c r="L892" t="n">
        <v>0</v>
      </c>
      <c r="M892" t="n">
        <v>0</v>
      </c>
      <c r="N892" t="n">
        <v>0</v>
      </c>
      <c r="O892" t="n">
        <v>0</v>
      </c>
      <c r="P892" t="n">
        <v>0</v>
      </c>
      <c r="Q892" t="n">
        <v>0</v>
      </c>
      <c r="R892" s="2" t="inlineStr"/>
    </row>
    <row r="893" ht="15" customHeight="1">
      <c r="A893" t="inlineStr">
        <is>
          <t>A 26019-2024</t>
        </is>
      </c>
      <c r="B893" s="1" t="n">
        <v>45467.96015046296</v>
      </c>
      <c r="C893" s="1" t="n">
        <v>45926</v>
      </c>
      <c r="D893" t="inlineStr">
        <is>
          <t>VÄSTERNORRLANDS LÄN</t>
        </is>
      </c>
      <c r="E893" t="inlineStr">
        <is>
          <t>ÅNGE</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8747-2022</t>
        </is>
      </c>
      <c r="B894" s="1" t="n">
        <v>44614.33912037037</v>
      </c>
      <c r="C894" s="1" t="n">
        <v>45926</v>
      </c>
      <c r="D894" t="inlineStr">
        <is>
          <t>VÄSTERNORRLANDS LÄN</t>
        </is>
      </c>
      <c r="E894" t="inlineStr">
        <is>
          <t>ÅNGE</t>
        </is>
      </c>
      <c r="G894" t="n">
        <v>1.5</v>
      </c>
      <c r="H894" t="n">
        <v>0</v>
      </c>
      <c r="I894" t="n">
        <v>0</v>
      </c>
      <c r="J894" t="n">
        <v>0</v>
      </c>
      <c r="K894" t="n">
        <v>0</v>
      </c>
      <c r="L894" t="n">
        <v>0</v>
      </c>
      <c r="M894" t="n">
        <v>0</v>
      </c>
      <c r="N894" t="n">
        <v>0</v>
      </c>
      <c r="O894" t="n">
        <v>0</v>
      </c>
      <c r="P894" t="n">
        <v>0</v>
      </c>
      <c r="Q894" t="n">
        <v>0</v>
      </c>
      <c r="R894" s="2" t="inlineStr"/>
    </row>
    <row r="895" ht="15" customHeight="1">
      <c r="A895" t="inlineStr">
        <is>
          <t>A 8755-2022</t>
        </is>
      </c>
      <c r="B895" s="1" t="n">
        <v>44614</v>
      </c>
      <c r="C895" s="1" t="n">
        <v>45926</v>
      </c>
      <c r="D895" t="inlineStr">
        <is>
          <t>VÄSTERNORRLANDS LÄN</t>
        </is>
      </c>
      <c r="E895" t="inlineStr">
        <is>
          <t>ÅNGE</t>
        </is>
      </c>
      <c r="G895" t="n">
        <v>2</v>
      </c>
      <c r="H895" t="n">
        <v>0</v>
      </c>
      <c r="I895" t="n">
        <v>0</v>
      </c>
      <c r="J895" t="n">
        <v>0</v>
      </c>
      <c r="K895" t="n">
        <v>0</v>
      </c>
      <c r="L895" t="n">
        <v>0</v>
      </c>
      <c r="M895" t="n">
        <v>0</v>
      </c>
      <c r="N895" t="n">
        <v>0</v>
      </c>
      <c r="O895" t="n">
        <v>0</v>
      </c>
      <c r="P895" t="n">
        <v>0</v>
      </c>
      <c r="Q895" t="n">
        <v>0</v>
      </c>
      <c r="R895" s="2" t="inlineStr"/>
    </row>
    <row r="896" ht="15" customHeight="1">
      <c r="A896" t="inlineStr">
        <is>
          <t>A 41831-2021</t>
        </is>
      </c>
      <c r="B896" s="1" t="n">
        <v>44425.92212962963</v>
      </c>
      <c r="C896" s="1" t="n">
        <v>45926</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32922-2024</t>
        </is>
      </c>
      <c r="B897" s="1" t="n">
        <v>45516.95263888889</v>
      </c>
      <c r="C897" s="1" t="n">
        <v>45926</v>
      </c>
      <c r="D897" t="inlineStr">
        <is>
          <t>VÄSTERNORRLANDS LÄN</t>
        </is>
      </c>
      <c r="E897" t="inlineStr">
        <is>
          <t>ÅNGE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10282-2025</t>
        </is>
      </c>
      <c r="B898" s="1" t="n">
        <v>45720.40659722222</v>
      </c>
      <c r="C898" s="1" t="n">
        <v>45926</v>
      </c>
      <c r="D898" t="inlineStr">
        <is>
          <t>VÄSTERNORRLANDS LÄN</t>
        </is>
      </c>
      <c r="E898" t="inlineStr">
        <is>
          <t>ÅNGE</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51055-2023</t>
        </is>
      </c>
      <c r="B899" s="1" t="n">
        <v>45218</v>
      </c>
      <c r="C899" s="1" t="n">
        <v>45926</v>
      </c>
      <c r="D899" t="inlineStr">
        <is>
          <t>VÄSTERNORRLANDS LÄN</t>
        </is>
      </c>
      <c r="E899" t="inlineStr">
        <is>
          <t>ÅNGE</t>
        </is>
      </c>
      <c r="G899" t="n">
        <v>1.3</v>
      </c>
      <c r="H899" t="n">
        <v>0</v>
      </c>
      <c r="I899" t="n">
        <v>0</v>
      </c>
      <c r="J899" t="n">
        <v>0</v>
      </c>
      <c r="K899" t="n">
        <v>0</v>
      </c>
      <c r="L899" t="n">
        <v>0</v>
      </c>
      <c r="M899" t="n">
        <v>0</v>
      </c>
      <c r="N899" t="n">
        <v>0</v>
      </c>
      <c r="O899" t="n">
        <v>0</v>
      </c>
      <c r="P899" t="n">
        <v>0</v>
      </c>
      <c r="Q899" t="n">
        <v>0</v>
      </c>
      <c r="R899" s="2" t="inlineStr"/>
    </row>
    <row r="900" ht="15" customHeight="1">
      <c r="A900" t="inlineStr">
        <is>
          <t>A 5455-2023</t>
        </is>
      </c>
      <c r="B900" s="1" t="n">
        <v>44959.93983796296</v>
      </c>
      <c r="C900" s="1" t="n">
        <v>45926</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43775-2022</t>
        </is>
      </c>
      <c r="B901" s="1" t="n">
        <v>44837.95053240741</v>
      </c>
      <c r="C901" s="1" t="n">
        <v>45926</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6690-2024</t>
        </is>
      </c>
      <c r="B902" s="1" t="n">
        <v>45341</v>
      </c>
      <c r="C902" s="1" t="n">
        <v>45926</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64375-2023</t>
        </is>
      </c>
      <c r="B903" s="1" t="n">
        <v>45280</v>
      </c>
      <c r="C903" s="1" t="n">
        <v>45926</v>
      </c>
      <c r="D903" t="inlineStr">
        <is>
          <t>VÄSTERNORRLANDS LÄN</t>
        </is>
      </c>
      <c r="E903" t="inlineStr">
        <is>
          <t>ÅNGE</t>
        </is>
      </c>
      <c r="G903" t="n">
        <v>7.5</v>
      </c>
      <c r="H903" t="n">
        <v>0</v>
      </c>
      <c r="I903" t="n">
        <v>0</v>
      </c>
      <c r="J903" t="n">
        <v>0</v>
      </c>
      <c r="K903" t="n">
        <v>0</v>
      </c>
      <c r="L903" t="n">
        <v>0</v>
      </c>
      <c r="M903" t="n">
        <v>0</v>
      </c>
      <c r="N903" t="n">
        <v>0</v>
      </c>
      <c r="O903" t="n">
        <v>0</v>
      </c>
      <c r="P903" t="n">
        <v>0</v>
      </c>
      <c r="Q903" t="n">
        <v>0</v>
      </c>
      <c r="R903" s="2" t="inlineStr"/>
    </row>
    <row r="904" ht="15" customHeight="1">
      <c r="A904" t="inlineStr">
        <is>
          <t>A 1235-2023</t>
        </is>
      </c>
      <c r="B904" s="1" t="n">
        <v>44935</v>
      </c>
      <c r="C904" s="1" t="n">
        <v>45926</v>
      </c>
      <c r="D904" t="inlineStr">
        <is>
          <t>VÄSTERNORRLANDS LÄN</t>
        </is>
      </c>
      <c r="E904" t="inlineStr">
        <is>
          <t>ÅNGE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62261-2022</t>
        </is>
      </c>
      <c r="B905" s="1" t="n">
        <v>44922.94378472222</v>
      </c>
      <c r="C905" s="1" t="n">
        <v>45926</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16915-2024</t>
        </is>
      </c>
      <c r="B906" s="1" t="n">
        <v>45411.65185185185</v>
      </c>
      <c r="C906" s="1" t="n">
        <v>45926</v>
      </c>
      <c r="D906" t="inlineStr">
        <is>
          <t>VÄSTERNORRLANDS LÄN</t>
        </is>
      </c>
      <c r="E906" t="inlineStr">
        <is>
          <t>ÅNGE</t>
        </is>
      </c>
      <c r="G906" t="n">
        <v>2.1</v>
      </c>
      <c r="H906" t="n">
        <v>0</v>
      </c>
      <c r="I906" t="n">
        <v>0</v>
      </c>
      <c r="J906" t="n">
        <v>0</v>
      </c>
      <c r="K906" t="n">
        <v>0</v>
      </c>
      <c r="L906" t="n">
        <v>0</v>
      </c>
      <c r="M906" t="n">
        <v>0</v>
      </c>
      <c r="N906" t="n">
        <v>0</v>
      </c>
      <c r="O906" t="n">
        <v>0</v>
      </c>
      <c r="P906" t="n">
        <v>0</v>
      </c>
      <c r="Q906" t="n">
        <v>0</v>
      </c>
      <c r="R906" s="2" t="inlineStr"/>
    </row>
    <row r="907" ht="15" customHeight="1">
      <c r="A907" t="inlineStr">
        <is>
          <t>A 41302-2024</t>
        </is>
      </c>
      <c r="B907" s="1" t="n">
        <v>45559.62077546296</v>
      </c>
      <c r="C907" s="1" t="n">
        <v>45926</v>
      </c>
      <c r="D907" t="inlineStr">
        <is>
          <t>VÄSTERNORRLANDS LÄN</t>
        </is>
      </c>
      <c r="E907" t="inlineStr">
        <is>
          <t>ÅNGE</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57560-2023</t>
        </is>
      </c>
      <c r="B908" s="1" t="n">
        <v>45243</v>
      </c>
      <c r="C908" s="1" t="n">
        <v>45926</v>
      </c>
      <c r="D908" t="inlineStr">
        <is>
          <t>VÄSTERNORRLANDS LÄN</t>
        </is>
      </c>
      <c r="E908" t="inlineStr">
        <is>
          <t>ÅNGE</t>
        </is>
      </c>
      <c r="G908" t="n">
        <v>7.4</v>
      </c>
      <c r="H908" t="n">
        <v>0</v>
      </c>
      <c r="I908" t="n">
        <v>0</v>
      </c>
      <c r="J908" t="n">
        <v>0</v>
      </c>
      <c r="K908" t="n">
        <v>0</v>
      </c>
      <c r="L908" t="n">
        <v>0</v>
      </c>
      <c r="M908" t="n">
        <v>0</v>
      </c>
      <c r="N908" t="n">
        <v>0</v>
      </c>
      <c r="O908" t="n">
        <v>0</v>
      </c>
      <c r="P908" t="n">
        <v>0</v>
      </c>
      <c r="Q908" t="n">
        <v>0</v>
      </c>
      <c r="R908" s="2" t="inlineStr"/>
    </row>
    <row r="909" ht="15" customHeight="1">
      <c r="A909" t="inlineStr">
        <is>
          <t>A 57568-2023</t>
        </is>
      </c>
      <c r="B909" s="1" t="n">
        <v>45246.50484953704</v>
      </c>
      <c r="C909" s="1" t="n">
        <v>45926</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16576-2023</t>
        </is>
      </c>
      <c r="B910" s="1" t="n">
        <v>45029.94251157407</v>
      </c>
      <c r="C910" s="1" t="n">
        <v>45926</v>
      </c>
      <c r="D910" t="inlineStr">
        <is>
          <t>VÄSTERNORRLANDS LÄN</t>
        </is>
      </c>
      <c r="E910" t="inlineStr">
        <is>
          <t>ÅNGE</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5249-2025</t>
        </is>
      </c>
      <c r="B911" s="1" t="n">
        <v>45692.34465277778</v>
      </c>
      <c r="C911" s="1" t="n">
        <v>45926</v>
      </c>
      <c r="D911" t="inlineStr">
        <is>
          <t>VÄSTERNORRLANDS LÄN</t>
        </is>
      </c>
      <c r="E911" t="inlineStr">
        <is>
          <t>ÅNGE</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43366-2024</t>
        </is>
      </c>
      <c r="B912" s="1" t="n">
        <v>45568</v>
      </c>
      <c r="C912" s="1" t="n">
        <v>45926</v>
      </c>
      <c r="D912" t="inlineStr">
        <is>
          <t>VÄSTERNORRLANDS LÄN</t>
        </is>
      </c>
      <c r="E912" t="inlineStr">
        <is>
          <t>ÅNGE</t>
        </is>
      </c>
      <c r="G912" t="n">
        <v>1.6</v>
      </c>
      <c r="H912" t="n">
        <v>0</v>
      </c>
      <c r="I912" t="n">
        <v>0</v>
      </c>
      <c r="J912" t="n">
        <v>0</v>
      </c>
      <c r="K912" t="n">
        <v>0</v>
      </c>
      <c r="L912" t="n">
        <v>0</v>
      </c>
      <c r="M912" t="n">
        <v>0</v>
      </c>
      <c r="N912" t="n">
        <v>0</v>
      </c>
      <c r="O912" t="n">
        <v>0</v>
      </c>
      <c r="P912" t="n">
        <v>0</v>
      </c>
      <c r="Q912" t="n">
        <v>0</v>
      </c>
      <c r="R912" s="2" t="inlineStr"/>
    </row>
    <row r="913" ht="15" customHeight="1">
      <c r="A913" t="inlineStr">
        <is>
          <t>A 4359-2025</t>
        </is>
      </c>
      <c r="B913" s="1" t="n">
        <v>45686.33072916666</v>
      </c>
      <c r="C913" s="1" t="n">
        <v>45926</v>
      </c>
      <c r="D913" t="inlineStr">
        <is>
          <t>VÄSTERNORRLANDS LÄN</t>
        </is>
      </c>
      <c r="E913" t="inlineStr">
        <is>
          <t>ÅNGE</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35577-2024</t>
        </is>
      </c>
      <c r="B914" s="1" t="n">
        <v>45531</v>
      </c>
      <c r="C914" s="1" t="n">
        <v>45926</v>
      </c>
      <c r="D914" t="inlineStr">
        <is>
          <t>VÄSTERNORRLANDS LÄN</t>
        </is>
      </c>
      <c r="E914" t="inlineStr">
        <is>
          <t>ÅNGE</t>
        </is>
      </c>
      <c r="F914" t="inlineStr">
        <is>
          <t>SCA</t>
        </is>
      </c>
      <c r="G914" t="n">
        <v>0.1</v>
      </c>
      <c r="H914" t="n">
        <v>0</v>
      </c>
      <c r="I914" t="n">
        <v>0</v>
      </c>
      <c r="J914" t="n">
        <v>0</v>
      </c>
      <c r="K914" t="n">
        <v>0</v>
      </c>
      <c r="L914" t="n">
        <v>0</v>
      </c>
      <c r="M914" t="n">
        <v>0</v>
      </c>
      <c r="N914" t="n">
        <v>0</v>
      </c>
      <c r="O914" t="n">
        <v>0</v>
      </c>
      <c r="P914" t="n">
        <v>0</v>
      </c>
      <c r="Q914" t="n">
        <v>0</v>
      </c>
      <c r="R914" s="2" t="inlineStr"/>
    </row>
    <row r="915" ht="15" customHeight="1">
      <c r="A915" t="inlineStr">
        <is>
          <t>A 35580-2024</t>
        </is>
      </c>
      <c r="B915" s="1" t="n">
        <v>45531</v>
      </c>
      <c r="C915" s="1" t="n">
        <v>45926</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28428-2023</t>
        </is>
      </c>
      <c r="B916" s="1" t="n">
        <v>45102</v>
      </c>
      <c r="C916" s="1" t="n">
        <v>45926</v>
      </c>
      <c r="D916" t="inlineStr">
        <is>
          <t>VÄSTERNORRLANDS LÄN</t>
        </is>
      </c>
      <c r="E916" t="inlineStr">
        <is>
          <t>ÅNGE</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24797-2024</t>
        </is>
      </c>
      <c r="B917" s="1" t="n">
        <v>45460.95269675926</v>
      </c>
      <c r="C917" s="1" t="n">
        <v>45926</v>
      </c>
      <c r="D917" t="inlineStr">
        <is>
          <t>VÄSTERNORRLANDS LÄN</t>
        </is>
      </c>
      <c r="E917" t="inlineStr">
        <is>
          <t>ÅNGE</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24798-2024</t>
        </is>
      </c>
      <c r="B918" s="1" t="n">
        <v>45460.95277777778</v>
      </c>
      <c r="C918" s="1" t="n">
        <v>45926</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32069-2023</t>
        </is>
      </c>
      <c r="B919" s="1" t="n">
        <v>45107</v>
      </c>
      <c r="C919" s="1" t="n">
        <v>45926</v>
      </c>
      <c r="D919" t="inlineStr">
        <is>
          <t>VÄSTERNORRLANDS LÄN</t>
        </is>
      </c>
      <c r="E919" t="inlineStr">
        <is>
          <t>ÅNGE</t>
        </is>
      </c>
      <c r="G919" t="n">
        <v>4.4</v>
      </c>
      <c r="H919" t="n">
        <v>0</v>
      </c>
      <c r="I919" t="n">
        <v>0</v>
      </c>
      <c r="J919" t="n">
        <v>0</v>
      </c>
      <c r="K919" t="n">
        <v>0</v>
      </c>
      <c r="L919" t="n">
        <v>0</v>
      </c>
      <c r="M919" t="n">
        <v>0</v>
      </c>
      <c r="N919" t="n">
        <v>0</v>
      </c>
      <c r="O919" t="n">
        <v>0</v>
      </c>
      <c r="P919" t="n">
        <v>0</v>
      </c>
      <c r="Q919" t="n">
        <v>0</v>
      </c>
      <c r="R919" s="2" t="inlineStr"/>
    </row>
    <row r="920" ht="15" customHeight="1">
      <c r="A920" t="inlineStr">
        <is>
          <t>A 26013-2024</t>
        </is>
      </c>
      <c r="B920" s="1" t="n">
        <v>45467</v>
      </c>
      <c r="C920" s="1" t="n">
        <v>45926</v>
      </c>
      <c r="D920" t="inlineStr">
        <is>
          <t>VÄSTERNORRLANDS LÄN</t>
        </is>
      </c>
      <c r="E920" t="inlineStr">
        <is>
          <t>ÅNGE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72239-2021</t>
        </is>
      </c>
      <c r="B921" s="1" t="n">
        <v>44544.9203587963</v>
      </c>
      <c r="C921" s="1" t="n">
        <v>45926</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59986-2021</t>
        </is>
      </c>
      <c r="B922" s="1" t="n">
        <v>44494</v>
      </c>
      <c r="C922" s="1" t="n">
        <v>45926</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30556-2023</t>
        </is>
      </c>
      <c r="B923" s="1" t="n">
        <v>45111.87935185185</v>
      </c>
      <c r="C923" s="1" t="n">
        <v>45926</v>
      </c>
      <c r="D923" t="inlineStr">
        <is>
          <t>VÄSTERNORRLANDS LÄN</t>
        </is>
      </c>
      <c r="E923" t="inlineStr">
        <is>
          <t>ÅNGE</t>
        </is>
      </c>
      <c r="G923" t="n">
        <v>3.7</v>
      </c>
      <c r="H923" t="n">
        <v>0</v>
      </c>
      <c r="I923" t="n">
        <v>0</v>
      </c>
      <c r="J923" t="n">
        <v>0</v>
      </c>
      <c r="K923" t="n">
        <v>0</v>
      </c>
      <c r="L923" t="n">
        <v>0</v>
      </c>
      <c r="M923" t="n">
        <v>0</v>
      </c>
      <c r="N923" t="n">
        <v>0</v>
      </c>
      <c r="O923" t="n">
        <v>0</v>
      </c>
      <c r="P923" t="n">
        <v>0</v>
      </c>
      <c r="Q923" t="n">
        <v>0</v>
      </c>
      <c r="R923" s="2" t="inlineStr"/>
    </row>
    <row r="924" ht="15" customHeight="1">
      <c r="A924" t="inlineStr">
        <is>
          <t>A 53549-2023</t>
        </is>
      </c>
      <c r="B924" s="1" t="n">
        <v>45230</v>
      </c>
      <c r="C924" s="1" t="n">
        <v>45926</v>
      </c>
      <c r="D924" t="inlineStr">
        <is>
          <t>VÄSTERNORRLANDS LÄN</t>
        </is>
      </c>
      <c r="E924" t="inlineStr">
        <is>
          <t>ÅNGE</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16903-2024</t>
        </is>
      </c>
      <c r="B925" s="1" t="n">
        <v>45411.63106481481</v>
      </c>
      <c r="C925" s="1" t="n">
        <v>45926</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32439-2024</t>
        </is>
      </c>
      <c r="B926" s="1" t="n">
        <v>45512</v>
      </c>
      <c r="C926" s="1" t="n">
        <v>45926</v>
      </c>
      <c r="D926" t="inlineStr">
        <is>
          <t>VÄSTERNORRLANDS LÄN</t>
        </is>
      </c>
      <c r="E926" t="inlineStr">
        <is>
          <t>ÅNGE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34705-2023</t>
        </is>
      </c>
      <c r="B927" s="1" t="n">
        <v>45140.96452546296</v>
      </c>
      <c r="C927" s="1" t="n">
        <v>45926</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16572-2023</t>
        </is>
      </c>
      <c r="B928" s="1" t="n">
        <v>45029.94224537037</v>
      </c>
      <c r="C928" s="1" t="n">
        <v>45926</v>
      </c>
      <c r="D928" t="inlineStr">
        <is>
          <t>VÄSTERNORRLANDS LÄN</t>
        </is>
      </c>
      <c r="E928" t="inlineStr">
        <is>
          <t>ÅNGE</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50186-2021</t>
        </is>
      </c>
      <c r="B929" s="1" t="n">
        <v>44456</v>
      </c>
      <c r="C929" s="1" t="n">
        <v>45926</v>
      </c>
      <c r="D929" t="inlineStr">
        <is>
          <t>VÄSTERNORRLANDS LÄN</t>
        </is>
      </c>
      <c r="E929" t="inlineStr">
        <is>
          <t>ÅNGE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3256-2024</t>
        </is>
      </c>
      <c r="B930" s="1" t="n">
        <v>45316</v>
      </c>
      <c r="C930" s="1" t="n">
        <v>45926</v>
      </c>
      <c r="D930" t="inlineStr">
        <is>
          <t>VÄSTERNORRLANDS LÄN</t>
        </is>
      </c>
      <c r="E930" t="inlineStr">
        <is>
          <t>ÅNGE</t>
        </is>
      </c>
      <c r="G930" t="n">
        <v>3.7</v>
      </c>
      <c r="H930" t="n">
        <v>0</v>
      </c>
      <c r="I930" t="n">
        <v>0</v>
      </c>
      <c r="J930" t="n">
        <v>0</v>
      </c>
      <c r="K930" t="n">
        <v>0</v>
      </c>
      <c r="L930" t="n">
        <v>0</v>
      </c>
      <c r="M930" t="n">
        <v>0</v>
      </c>
      <c r="N930" t="n">
        <v>0</v>
      </c>
      <c r="O930" t="n">
        <v>0</v>
      </c>
      <c r="P930" t="n">
        <v>0</v>
      </c>
      <c r="Q930" t="n">
        <v>0</v>
      </c>
      <c r="R930" s="2" t="inlineStr"/>
    </row>
    <row r="931" ht="15" customHeight="1">
      <c r="A931" t="inlineStr">
        <is>
          <t>A 49487-2024</t>
        </is>
      </c>
      <c r="B931" s="1" t="n">
        <v>45596.35813657408</v>
      </c>
      <c r="C931" s="1" t="n">
        <v>45926</v>
      </c>
      <c r="D931" t="inlineStr">
        <is>
          <t>VÄSTERNORRLANDS LÄN</t>
        </is>
      </c>
      <c r="E931" t="inlineStr">
        <is>
          <t>ÅNGE</t>
        </is>
      </c>
      <c r="G931" t="n">
        <v>4.3</v>
      </c>
      <c r="H931" t="n">
        <v>0</v>
      </c>
      <c r="I931" t="n">
        <v>0</v>
      </c>
      <c r="J931" t="n">
        <v>0</v>
      </c>
      <c r="K931" t="n">
        <v>0</v>
      </c>
      <c r="L931" t="n">
        <v>0</v>
      </c>
      <c r="M931" t="n">
        <v>0</v>
      </c>
      <c r="N931" t="n">
        <v>0</v>
      </c>
      <c r="O931" t="n">
        <v>0</v>
      </c>
      <c r="P931" t="n">
        <v>0</v>
      </c>
      <c r="Q931" t="n">
        <v>0</v>
      </c>
      <c r="R931" s="2" t="inlineStr"/>
    </row>
    <row r="932" ht="15" customHeight="1">
      <c r="A932" t="inlineStr">
        <is>
          <t>A 29560-2025</t>
        </is>
      </c>
      <c r="B932" s="1" t="n">
        <v>45825.36497685185</v>
      </c>
      <c r="C932" s="1" t="n">
        <v>45926</v>
      </c>
      <c r="D932" t="inlineStr">
        <is>
          <t>VÄSTERNORRLANDS LÄN</t>
        </is>
      </c>
      <c r="E932" t="inlineStr">
        <is>
          <t>ÅNGE</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35392-2024</t>
        </is>
      </c>
      <c r="B933" s="1" t="n">
        <v>45531.4025462963</v>
      </c>
      <c r="C933" s="1" t="n">
        <v>45926</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27952-2024</t>
        </is>
      </c>
      <c r="B934" s="1" t="n">
        <v>45476.33063657407</v>
      </c>
      <c r="C934" s="1" t="n">
        <v>45926</v>
      </c>
      <c r="D934" t="inlineStr">
        <is>
          <t>VÄSTERNORRLANDS LÄN</t>
        </is>
      </c>
      <c r="E934" t="inlineStr">
        <is>
          <t>ÅNGE</t>
        </is>
      </c>
      <c r="G934" t="n">
        <v>12.2</v>
      </c>
      <c r="H934" t="n">
        <v>0</v>
      </c>
      <c r="I934" t="n">
        <v>0</v>
      </c>
      <c r="J934" t="n">
        <v>0</v>
      </c>
      <c r="K934" t="n">
        <v>0</v>
      </c>
      <c r="L934" t="n">
        <v>0</v>
      </c>
      <c r="M934" t="n">
        <v>0</v>
      </c>
      <c r="N934" t="n">
        <v>0</v>
      </c>
      <c r="O934" t="n">
        <v>0</v>
      </c>
      <c r="P934" t="n">
        <v>0</v>
      </c>
      <c r="Q934" t="n">
        <v>0</v>
      </c>
      <c r="R934" s="2" t="inlineStr"/>
    </row>
    <row r="935" ht="15" customHeight="1">
      <c r="A935" t="inlineStr">
        <is>
          <t>A 58634-2023</t>
        </is>
      </c>
      <c r="B935" s="1" t="n">
        <v>45251</v>
      </c>
      <c r="C935" s="1" t="n">
        <v>45926</v>
      </c>
      <c r="D935" t="inlineStr">
        <is>
          <t>VÄSTERNORRLANDS LÄN</t>
        </is>
      </c>
      <c r="E935" t="inlineStr">
        <is>
          <t>ÅNGE</t>
        </is>
      </c>
      <c r="G935" t="n">
        <v>1</v>
      </c>
      <c r="H935" t="n">
        <v>0</v>
      </c>
      <c r="I935" t="n">
        <v>0</v>
      </c>
      <c r="J935" t="n">
        <v>0</v>
      </c>
      <c r="K935" t="n">
        <v>0</v>
      </c>
      <c r="L935" t="n">
        <v>0</v>
      </c>
      <c r="M935" t="n">
        <v>0</v>
      </c>
      <c r="N935" t="n">
        <v>0</v>
      </c>
      <c r="O935" t="n">
        <v>0</v>
      </c>
      <c r="P935" t="n">
        <v>0</v>
      </c>
      <c r="Q935" t="n">
        <v>0</v>
      </c>
      <c r="R935" s="2" t="inlineStr"/>
    </row>
    <row r="936" ht="15" customHeight="1">
      <c r="A936" t="inlineStr">
        <is>
          <t>A 41825-2022</t>
        </is>
      </c>
      <c r="B936" s="1" t="n">
        <v>44827</v>
      </c>
      <c r="C936" s="1" t="n">
        <v>45926</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c r="U936">
        <f>HYPERLINK("https://klasma.github.io/Logging_2260/knärot/A 41825-2022 karta knärot.png", "A 41825-2022")</f>
        <v/>
      </c>
      <c r="V936">
        <f>HYPERLINK("https://klasma.github.io/Logging_2260/klagomål/A 41825-2022 FSC-klagomål.docx", "A 41825-2022")</f>
        <v/>
      </c>
      <c r="W936">
        <f>HYPERLINK("https://klasma.github.io/Logging_2260/klagomålsmail/A 41825-2022 FSC-klagomål mail.docx", "A 41825-2022")</f>
        <v/>
      </c>
      <c r="X936">
        <f>HYPERLINK("https://klasma.github.io/Logging_2260/tillsyn/A 41825-2022 tillsynsbegäran.docx", "A 41825-2022")</f>
        <v/>
      </c>
      <c r="Y936">
        <f>HYPERLINK("https://klasma.github.io/Logging_2260/tillsynsmail/A 41825-2022 tillsynsbegäran mail.docx", "A 41825-2022")</f>
        <v/>
      </c>
    </row>
    <row r="937" ht="15" customHeight="1">
      <c r="A937" t="inlineStr">
        <is>
          <t>A 57287-2022</t>
        </is>
      </c>
      <c r="B937" s="1" t="n">
        <v>44895.95</v>
      </c>
      <c r="C937" s="1" t="n">
        <v>45926</v>
      </c>
      <c r="D937" t="inlineStr">
        <is>
          <t>VÄSTERNORRLANDS LÄN</t>
        </is>
      </c>
      <c r="E937" t="inlineStr">
        <is>
          <t>ÅNGE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20576-2021</t>
        </is>
      </c>
      <c r="B938" s="1" t="n">
        <v>44316.3290162037</v>
      </c>
      <c r="C938" s="1" t="n">
        <v>45926</v>
      </c>
      <c r="D938" t="inlineStr">
        <is>
          <t>VÄSTERNORRLANDS LÄN</t>
        </is>
      </c>
      <c r="E938" t="inlineStr">
        <is>
          <t>ÅNGE</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35581-2024</t>
        </is>
      </c>
      <c r="B939" s="1" t="n">
        <v>45531</v>
      </c>
      <c r="C939" s="1" t="n">
        <v>45926</v>
      </c>
      <c r="D939" t="inlineStr">
        <is>
          <t>VÄSTERNORRLANDS LÄN</t>
        </is>
      </c>
      <c r="E939" t="inlineStr">
        <is>
          <t>ÅNGE</t>
        </is>
      </c>
      <c r="G939" t="n">
        <v>1</v>
      </c>
      <c r="H939" t="n">
        <v>0</v>
      </c>
      <c r="I939" t="n">
        <v>0</v>
      </c>
      <c r="J939" t="n">
        <v>0</v>
      </c>
      <c r="K939" t="n">
        <v>0</v>
      </c>
      <c r="L939" t="n">
        <v>0</v>
      </c>
      <c r="M939" t="n">
        <v>0</v>
      </c>
      <c r="N939" t="n">
        <v>0</v>
      </c>
      <c r="O939" t="n">
        <v>0</v>
      </c>
      <c r="P939" t="n">
        <v>0</v>
      </c>
      <c r="Q939" t="n">
        <v>0</v>
      </c>
      <c r="R939" s="2" t="inlineStr"/>
    </row>
    <row r="940" ht="15" customHeight="1">
      <c r="A940" t="inlineStr">
        <is>
          <t>A 35582-2024</t>
        </is>
      </c>
      <c r="B940" s="1" t="n">
        <v>45531.64800925926</v>
      </c>
      <c r="C940" s="1" t="n">
        <v>45926</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1090-2023</t>
        </is>
      </c>
      <c r="B941" s="1" t="n">
        <v>44929</v>
      </c>
      <c r="C941" s="1" t="n">
        <v>45926</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1116-2023</t>
        </is>
      </c>
      <c r="B942" s="1" t="n">
        <v>44929</v>
      </c>
      <c r="C942" s="1" t="n">
        <v>45926</v>
      </c>
      <c r="D942" t="inlineStr">
        <is>
          <t>VÄSTERNORRLANDS LÄN</t>
        </is>
      </c>
      <c r="E942" t="inlineStr">
        <is>
          <t>ÅNGE</t>
        </is>
      </c>
      <c r="G942" t="n">
        <v>17.2</v>
      </c>
      <c r="H942" t="n">
        <v>0</v>
      </c>
      <c r="I942" t="n">
        <v>0</v>
      </c>
      <c r="J942" t="n">
        <v>0</v>
      </c>
      <c r="K942" t="n">
        <v>0</v>
      </c>
      <c r="L942" t="n">
        <v>0</v>
      </c>
      <c r="M942" t="n">
        <v>0</v>
      </c>
      <c r="N942" t="n">
        <v>0</v>
      </c>
      <c r="O942" t="n">
        <v>0</v>
      </c>
      <c r="P942" t="n">
        <v>0</v>
      </c>
      <c r="Q942" t="n">
        <v>0</v>
      </c>
      <c r="R942" s="2" t="inlineStr"/>
    </row>
    <row r="943" ht="15" customHeight="1">
      <c r="A943" t="inlineStr">
        <is>
          <t>A 51609-2023</t>
        </is>
      </c>
      <c r="B943" s="1" t="n">
        <v>45215</v>
      </c>
      <c r="C943" s="1" t="n">
        <v>45926</v>
      </c>
      <c r="D943" t="inlineStr">
        <is>
          <t>VÄSTERNORRLANDS LÄN</t>
        </is>
      </c>
      <c r="E943" t="inlineStr">
        <is>
          <t>ÅNGE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27661-2024</t>
        </is>
      </c>
      <c r="B944" s="1" t="n">
        <v>45474.95365740741</v>
      </c>
      <c r="C944" s="1" t="n">
        <v>45926</v>
      </c>
      <c r="D944" t="inlineStr">
        <is>
          <t>VÄSTERNORRLANDS LÄN</t>
        </is>
      </c>
      <c r="E944" t="inlineStr">
        <is>
          <t>ÅNGE</t>
        </is>
      </c>
      <c r="F944" t="inlineStr">
        <is>
          <t>SCA</t>
        </is>
      </c>
      <c r="G944" t="n">
        <v>19.1</v>
      </c>
      <c r="H944" t="n">
        <v>0</v>
      </c>
      <c r="I944" t="n">
        <v>0</v>
      </c>
      <c r="J944" t="n">
        <v>0</v>
      </c>
      <c r="K944" t="n">
        <v>0</v>
      </c>
      <c r="L944" t="n">
        <v>0</v>
      </c>
      <c r="M944" t="n">
        <v>0</v>
      </c>
      <c r="N944" t="n">
        <v>0</v>
      </c>
      <c r="O944" t="n">
        <v>0</v>
      </c>
      <c r="P944" t="n">
        <v>0</v>
      </c>
      <c r="Q944" t="n">
        <v>0</v>
      </c>
      <c r="R944" s="2" t="inlineStr"/>
    </row>
    <row r="945" ht="15" customHeight="1">
      <c r="A945" t="inlineStr">
        <is>
          <t>A 27668-2024</t>
        </is>
      </c>
      <c r="B945" s="1" t="n">
        <v>45474.95435185185</v>
      </c>
      <c r="C945" s="1" t="n">
        <v>45926</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4904-2024</t>
        </is>
      </c>
      <c r="B946" s="1" t="n">
        <v>45329.47856481482</v>
      </c>
      <c r="C946" s="1" t="n">
        <v>45926</v>
      </c>
      <c r="D946" t="inlineStr">
        <is>
          <t>VÄSTERNORRLANDS LÄN</t>
        </is>
      </c>
      <c r="E946" t="inlineStr">
        <is>
          <t>ÅNGE</t>
        </is>
      </c>
      <c r="G946" t="n">
        <v>3.5</v>
      </c>
      <c r="H946" t="n">
        <v>0</v>
      </c>
      <c r="I946" t="n">
        <v>0</v>
      </c>
      <c r="J946" t="n">
        <v>0</v>
      </c>
      <c r="K946" t="n">
        <v>0</v>
      </c>
      <c r="L946" t="n">
        <v>0</v>
      </c>
      <c r="M946" t="n">
        <v>0</v>
      </c>
      <c r="N946" t="n">
        <v>0</v>
      </c>
      <c r="O946" t="n">
        <v>0</v>
      </c>
      <c r="P946" t="n">
        <v>0</v>
      </c>
      <c r="Q946" t="n">
        <v>0</v>
      </c>
      <c r="R946" s="2" t="inlineStr"/>
    </row>
    <row r="947" ht="15" customHeight="1">
      <c r="A947" t="inlineStr">
        <is>
          <t>A 12021-2022</t>
        </is>
      </c>
      <c r="B947" s="1" t="n">
        <v>44635</v>
      </c>
      <c r="C947" s="1" t="n">
        <v>45926</v>
      </c>
      <c r="D947" t="inlineStr">
        <is>
          <t>VÄSTERNORRLANDS LÄN</t>
        </is>
      </c>
      <c r="E947" t="inlineStr">
        <is>
          <t>ÅNGE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57592-2022</t>
        </is>
      </c>
      <c r="B948" s="1" t="n">
        <v>44896.97841435186</v>
      </c>
      <c r="C948" s="1" t="n">
        <v>45926</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57602-2022</t>
        </is>
      </c>
      <c r="B949" s="1" t="n">
        <v>44896</v>
      </c>
      <c r="C949" s="1" t="n">
        <v>45926</v>
      </c>
      <c r="D949" t="inlineStr">
        <is>
          <t>VÄSTERNORRLANDS LÄN</t>
        </is>
      </c>
      <c r="E949" t="inlineStr">
        <is>
          <t>ÅNGE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35399-2024</t>
        </is>
      </c>
      <c r="B950" s="1" t="n">
        <v>45531.40438657408</v>
      </c>
      <c r="C950" s="1" t="n">
        <v>45926</v>
      </c>
      <c r="D950" t="inlineStr">
        <is>
          <t>VÄSTERNORRLANDS LÄN</t>
        </is>
      </c>
      <c r="E950" t="inlineStr">
        <is>
          <t>ÅNGE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22680-2024</t>
        </is>
      </c>
      <c r="B951" s="1" t="n">
        <v>45447.94548611111</v>
      </c>
      <c r="C951" s="1" t="n">
        <v>45926</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18430-2025</t>
        </is>
      </c>
      <c r="B952" s="1" t="n">
        <v>45762.63576388889</v>
      </c>
      <c r="C952" s="1" t="n">
        <v>45926</v>
      </c>
      <c r="D952" t="inlineStr">
        <is>
          <t>VÄSTERNORRLANDS LÄN</t>
        </is>
      </c>
      <c r="E952" t="inlineStr">
        <is>
          <t>ÅNGE</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13501-2021</t>
        </is>
      </c>
      <c r="B953" s="1" t="n">
        <v>44273</v>
      </c>
      <c r="C953" s="1" t="n">
        <v>45926</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34815-2024</t>
        </is>
      </c>
      <c r="B954" s="1" t="n">
        <v>45526.70732638889</v>
      </c>
      <c r="C954" s="1" t="n">
        <v>45926</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3624-2024</t>
        </is>
      </c>
      <c r="B955" s="1" t="n">
        <v>45320.95305555555</v>
      </c>
      <c r="C955" s="1" t="n">
        <v>45926</v>
      </c>
      <c r="D955" t="inlineStr">
        <is>
          <t>VÄSTERNORRLANDS LÄN</t>
        </is>
      </c>
      <c r="E955" t="inlineStr">
        <is>
          <t>ÅNGE</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10922-2024</t>
        </is>
      </c>
      <c r="B956" s="1" t="n">
        <v>45370</v>
      </c>
      <c r="C956" s="1" t="n">
        <v>45926</v>
      </c>
      <c r="D956" t="inlineStr">
        <is>
          <t>VÄSTERNORRLANDS LÄN</t>
        </is>
      </c>
      <c r="E956" t="inlineStr">
        <is>
          <t>ÅNGE</t>
        </is>
      </c>
      <c r="G956" t="n">
        <v>1.5</v>
      </c>
      <c r="H956" t="n">
        <v>0</v>
      </c>
      <c r="I956" t="n">
        <v>0</v>
      </c>
      <c r="J956" t="n">
        <v>0</v>
      </c>
      <c r="K956" t="n">
        <v>0</v>
      </c>
      <c r="L956" t="n">
        <v>0</v>
      </c>
      <c r="M956" t="n">
        <v>0</v>
      </c>
      <c r="N956" t="n">
        <v>0</v>
      </c>
      <c r="O956" t="n">
        <v>0</v>
      </c>
      <c r="P956" t="n">
        <v>0</v>
      </c>
      <c r="Q956" t="n">
        <v>0</v>
      </c>
      <c r="R956" s="2" t="inlineStr"/>
    </row>
    <row r="957" ht="15" customHeight="1">
      <c r="A957" t="inlineStr">
        <is>
          <t>A 3977-2025</t>
        </is>
      </c>
      <c r="B957" s="1" t="n">
        <v>45684</v>
      </c>
      <c r="C957" s="1" t="n">
        <v>45926</v>
      </c>
      <c r="D957" t="inlineStr">
        <is>
          <t>VÄSTERNORRLANDS LÄN</t>
        </is>
      </c>
      <c r="E957" t="inlineStr">
        <is>
          <t>ÅNGE</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31864-2024</t>
        </is>
      </c>
      <c r="B958" s="1" t="n">
        <v>45509.74791666667</v>
      </c>
      <c r="C958" s="1" t="n">
        <v>45926</v>
      </c>
      <c r="D958" t="inlineStr">
        <is>
          <t>VÄSTERNORRLANDS LÄN</t>
        </is>
      </c>
      <c r="E958" t="inlineStr">
        <is>
          <t>ÅNGE</t>
        </is>
      </c>
      <c r="G958" t="n">
        <v>0.9</v>
      </c>
      <c r="H958" t="n">
        <v>0</v>
      </c>
      <c r="I958" t="n">
        <v>0</v>
      </c>
      <c r="J958" t="n">
        <v>0</v>
      </c>
      <c r="K958" t="n">
        <v>0</v>
      </c>
      <c r="L958" t="n">
        <v>0</v>
      </c>
      <c r="M958" t="n">
        <v>0</v>
      </c>
      <c r="N958" t="n">
        <v>0</v>
      </c>
      <c r="O958" t="n">
        <v>0</v>
      </c>
      <c r="P958" t="n">
        <v>0</v>
      </c>
      <c r="Q958" t="n">
        <v>0</v>
      </c>
      <c r="R958" s="2" t="inlineStr"/>
    </row>
    <row r="959" ht="15" customHeight="1">
      <c r="A959" t="inlineStr">
        <is>
          <t>A 29862-2025</t>
        </is>
      </c>
      <c r="B959" s="1" t="n">
        <v>45826.3465625</v>
      </c>
      <c r="C959" s="1" t="n">
        <v>45926</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29880-2025</t>
        </is>
      </c>
      <c r="B960" s="1" t="n">
        <v>45826.36510416667</v>
      </c>
      <c r="C960" s="1" t="n">
        <v>45926</v>
      </c>
      <c r="D960" t="inlineStr">
        <is>
          <t>VÄSTERNORRLANDS LÄN</t>
        </is>
      </c>
      <c r="E960" t="inlineStr">
        <is>
          <t>ÅNGE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29882-2025</t>
        </is>
      </c>
      <c r="B961" s="1" t="n">
        <v>45826.36548611111</v>
      </c>
      <c r="C961" s="1" t="n">
        <v>45926</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29916-2025</t>
        </is>
      </c>
      <c r="B962" s="1" t="n">
        <v>45826.41822916667</v>
      </c>
      <c r="C962" s="1" t="n">
        <v>45926</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46681-2023</t>
        </is>
      </c>
      <c r="B963" s="1" t="n">
        <v>45198</v>
      </c>
      <c r="C963" s="1" t="n">
        <v>45926</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46255-2023</t>
        </is>
      </c>
      <c r="B964" s="1" t="n">
        <v>45196</v>
      </c>
      <c r="C964" s="1" t="n">
        <v>45926</v>
      </c>
      <c r="D964" t="inlineStr">
        <is>
          <t>VÄSTERNORRLANDS LÄN</t>
        </is>
      </c>
      <c r="E964" t="inlineStr">
        <is>
          <t>ÅNGE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30475-2025</t>
        </is>
      </c>
      <c r="B965" s="1" t="n">
        <v>45828.34444444445</v>
      </c>
      <c r="C965" s="1" t="n">
        <v>45926</v>
      </c>
      <c r="D965" t="inlineStr">
        <is>
          <t>VÄSTERNORRLANDS LÄN</t>
        </is>
      </c>
      <c r="E965" t="inlineStr">
        <is>
          <t>ÅNGE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53512-2023</t>
        </is>
      </c>
      <c r="B966" s="1" t="n">
        <v>45230</v>
      </c>
      <c r="C966" s="1" t="n">
        <v>45926</v>
      </c>
      <c r="D966" t="inlineStr">
        <is>
          <t>VÄSTERNORRLANDS LÄN</t>
        </is>
      </c>
      <c r="E966" t="inlineStr">
        <is>
          <t>ÅNGE</t>
        </is>
      </c>
      <c r="F966" t="inlineStr">
        <is>
          <t>Holmen skog AB</t>
        </is>
      </c>
      <c r="G966" t="n">
        <v>3</v>
      </c>
      <c r="H966" t="n">
        <v>0</v>
      </c>
      <c r="I966" t="n">
        <v>0</v>
      </c>
      <c r="J966" t="n">
        <v>0</v>
      </c>
      <c r="K966" t="n">
        <v>0</v>
      </c>
      <c r="L966" t="n">
        <v>0</v>
      </c>
      <c r="M966" t="n">
        <v>0</v>
      </c>
      <c r="N966" t="n">
        <v>0</v>
      </c>
      <c r="O966" t="n">
        <v>0</v>
      </c>
      <c r="P966" t="n">
        <v>0</v>
      </c>
      <c r="Q966" t="n">
        <v>0</v>
      </c>
      <c r="R966" s="2" t="inlineStr"/>
    </row>
    <row r="967" ht="15" customHeight="1">
      <c r="A967" t="inlineStr">
        <is>
          <t>A 37558-2023</t>
        </is>
      </c>
      <c r="B967" s="1" t="n">
        <v>45159.34511574074</v>
      </c>
      <c r="C967" s="1" t="n">
        <v>45926</v>
      </c>
      <c r="D967" t="inlineStr">
        <is>
          <t>VÄSTERNORRLANDS LÄN</t>
        </is>
      </c>
      <c r="E967" t="inlineStr">
        <is>
          <t>ÅNGE</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55197-2022</t>
        </is>
      </c>
      <c r="B968" s="1" t="n">
        <v>44886.93714120371</v>
      </c>
      <c r="C968" s="1" t="n">
        <v>45926</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30618-2025</t>
        </is>
      </c>
      <c r="B969" s="1" t="n">
        <v>45831.46909722222</v>
      </c>
      <c r="C969" s="1" t="n">
        <v>45926</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18617-2024</t>
        </is>
      </c>
      <c r="B970" s="1" t="n">
        <v>45425</v>
      </c>
      <c r="C970" s="1" t="n">
        <v>45926</v>
      </c>
      <c r="D970" t="inlineStr">
        <is>
          <t>VÄSTERNORRLANDS LÄN</t>
        </is>
      </c>
      <c r="E970" t="inlineStr">
        <is>
          <t>ÅNGE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18869-2024</t>
        </is>
      </c>
      <c r="B971" s="1" t="n">
        <v>45426</v>
      </c>
      <c r="C971" s="1" t="n">
        <v>45926</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37540-2024</t>
        </is>
      </c>
      <c r="B972" s="1" t="n">
        <v>45541.42111111111</v>
      </c>
      <c r="C972" s="1" t="n">
        <v>45926</v>
      </c>
      <c r="D972" t="inlineStr">
        <is>
          <t>VÄSTERNORRLANDS LÄN</t>
        </is>
      </c>
      <c r="E972" t="inlineStr">
        <is>
          <t>ÅNGE</t>
        </is>
      </c>
      <c r="G972" t="n">
        <v>0.5</v>
      </c>
      <c r="H972" t="n">
        <v>0</v>
      </c>
      <c r="I972" t="n">
        <v>0</v>
      </c>
      <c r="J972" t="n">
        <v>0</v>
      </c>
      <c r="K972" t="n">
        <v>0</v>
      </c>
      <c r="L972" t="n">
        <v>0</v>
      </c>
      <c r="M972" t="n">
        <v>0</v>
      </c>
      <c r="N972" t="n">
        <v>0</v>
      </c>
      <c r="O972" t="n">
        <v>0</v>
      </c>
      <c r="P972" t="n">
        <v>0</v>
      </c>
      <c r="Q972" t="n">
        <v>0</v>
      </c>
      <c r="R972" s="2" t="inlineStr"/>
    </row>
    <row r="973" ht="15" customHeight="1">
      <c r="A973" t="inlineStr">
        <is>
          <t>A 42958-2024</t>
        </is>
      </c>
      <c r="B973" s="1" t="n">
        <v>45567.37131944444</v>
      </c>
      <c r="C973" s="1" t="n">
        <v>45926</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42969-2024</t>
        </is>
      </c>
      <c r="B974" s="1" t="n">
        <v>45567.37300925926</v>
      </c>
      <c r="C974" s="1" t="n">
        <v>45926</v>
      </c>
      <c r="D974" t="inlineStr">
        <is>
          <t>VÄSTERNORRLANDS LÄN</t>
        </is>
      </c>
      <c r="E974" t="inlineStr">
        <is>
          <t>ÅNGE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58774-2023</t>
        </is>
      </c>
      <c r="B975" s="1" t="n">
        <v>45251</v>
      </c>
      <c r="C975" s="1" t="n">
        <v>45926</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21089-2024</t>
        </is>
      </c>
      <c r="B976" s="1" t="n">
        <v>45439.94987268518</v>
      </c>
      <c r="C976" s="1" t="n">
        <v>45926</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21151-2024</t>
        </is>
      </c>
      <c r="B977" s="1" t="n">
        <v>45440</v>
      </c>
      <c r="C977" s="1" t="n">
        <v>45926</v>
      </c>
      <c r="D977" t="inlineStr">
        <is>
          <t>VÄSTERNORRLANDS LÄN</t>
        </is>
      </c>
      <c r="E977" t="inlineStr">
        <is>
          <t>ÅNGE</t>
        </is>
      </c>
      <c r="G977" t="n">
        <v>3.7</v>
      </c>
      <c r="H977" t="n">
        <v>0</v>
      </c>
      <c r="I977" t="n">
        <v>0</v>
      </c>
      <c r="J977" t="n">
        <v>0</v>
      </c>
      <c r="K977" t="n">
        <v>0</v>
      </c>
      <c r="L977" t="n">
        <v>0</v>
      </c>
      <c r="M977" t="n">
        <v>0</v>
      </c>
      <c r="N977" t="n">
        <v>0</v>
      </c>
      <c r="O977" t="n">
        <v>0</v>
      </c>
      <c r="P977" t="n">
        <v>0</v>
      </c>
      <c r="Q977" t="n">
        <v>0</v>
      </c>
      <c r="R977" s="2" t="inlineStr"/>
    </row>
    <row r="978" ht="15" customHeight="1">
      <c r="A978" t="inlineStr">
        <is>
          <t>A 17923-2025</t>
        </is>
      </c>
      <c r="B978" s="1" t="n">
        <v>45759.34415509259</v>
      </c>
      <c r="C978" s="1" t="n">
        <v>45926</v>
      </c>
      <c r="D978" t="inlineStr">
        <is>
          <t>VÄSTERNORRLANDS LÄN</t>
        </is>
      </c>
      <c r="E978" t="inlineStr">
        <is>
          <t>ÅNGE</t>
        </is>
      </c>
      <c r="F978" t="inlineStr">
        <is>
          <t>SCA</t>
        </is>
      </c>
      <c r="G978" t="n">
        <v>9.6</v>
      </c>
      <c r="H978" t="n">
        <v>0</v>
      </c>
      <c r="I978" t="n">
        <v>0</v>
      </c>
      <c r="J978" t="n">
        <v>0</v>
      </c>
      <c r="K978" t="n">
        <v>0</v>
      </c>
      <c r="L978" t="n">
        <v>0</v>
      </c>
      <c r="M978" t="n">
        <v>0</v>
      </c>
      <c r="N978" t="n">
        <v>0</v>
      </c>
      <c r="O978" t="n">
        <v>0</v>
      </c>
      <c r="P978" t="n">
        <v>0</v>
      </c>
      <c r="Q978" t="n">
        <v>0</v>
      </c>
      <c r="R978" s="2" t="inlineStr"/>
    </row>
    <row r="979" ht="15" customHeight="1">
      <c r="A979" t="inlineStr">
        <is>
          <t>A 13164-2022</t>
        </is>
      </c>
      <c r="B979" s="1" t="n">
        <v>44644</v>
      </c>
      <c r="C979" s="1" t="n">
        <v>45926</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44861.92613425926</v>
      </c>
      <c r="C980" s="1" t="n">
        <v>45926</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20231-2022</t>
        </is>
      </c>
      <c r="B981" s="1" t="n">
        <v>44698</v>
      </c>
      <c r="C981" s="1" t="n">
        <v>45926</v>
      </c>
      <c r="D981" t="inlineStr">
        <is>
          <t>VÄSTERNORRLANDS LÄN</t>
        </is>
      </c>
      <c r="E981" t="inlineStr">
        <is>
          <t>ÅNGE</t>
        </is>
      </c>
      <c r="G981" t="n">
        <v>4.2</v>
      </c>
      <c r="H981" t="n">
        <v>0</v>
      </c>
      <c r="I981" t="n">
        <v>0</v>
      </c>
      <c r="J981" t="n">
        <v>0</v>
      </c>
      <c r="K981" t="n">
        <v>0</v>
      </c>
      <c r="L981" t="n">
        <v>0</v>
      </c>
      <c r="M981" t="n">
        <v>0</v>
      </c>
      <c r="N981" t="n">
        <v>0</v>
      </c>
      <c r="O981" t="n">
        <v>0</v>
      </c>
      <c r="P981" t="n">
        <v>0</v>
      </c>
      <c r="Q981" t="n">
        <v>0</v>
      </c>
      <c r="R981" s="2" t="inlineStr"/>
    </row>
    <row r="982" ht="15" customHeight="1">
      <c r="A982" t="inlineStr">
        <is>
          <t>A 60363-2024</t>
        </is>
      </c>
      <c r="B982" s="1" t="n">
        <v>45643</v>
      </c>
      <c r="C982" s="1" t="n">
        <v>45926</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15369-2024</t>
        </is>
      </c>
      <c r="B983" s="1" t="n">
        <v>45400.92290509259</v>
      </c>
      <c r="C983" s="1" t="n">
        <v>45926</v>
      </c>
      <c r="D983" t="inlineStr">
        <is>
          <t>VÄSTERNORRLANDS LÄN</t>
        </is>
      </c>
      <c r="E983" t="inlineStr">
        <is>
          <t>ÅNGE</t>
        </is>
      </c>
      <c r="G983" t="n">
        <v>0.4</v>
      </c>
      <c r="H983" t="n">
        <v>0</v>
      </c>
      <c r="I983" t="n">
        <v>0</v>
      </c>
      <c r="J983" t="n">
        <v>0</v>
      </c>
      <c r="K983" t="n">
        <v>0</v>
      </c>
      <c r="L983" t="n">
        <v>0</v>
      </c>
      <c r="M983" t="n">
        <v>0</v>
      </c>
      <c r="N983" t="n">
        <v>0</v>
      </c>
      <c r="O983" t="n">
        <v>0</v>
      </c>
      <c r="P983" t="n">
        <v>0</v>
      </c>
      <c r="Q983" t="n">
        <v>0</v>
      </c>
      <c r="R983" s="2" t="inlineStr"/>
    </row>
    <row r="984" ht="15" customHeight="1">
      <c r="A984" t="inlineStr">
        <is>
          <t>A 26010-2024</t>
        </is>
      </c>
      <c r="B984" s="1" t="n">
        <v>45467.95819444444</v>
      </c>
      <c r="C984" s="1" t="n">
        <v>45926</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52785-2024</t>
        </is>
      </c>
      <c r="B985" s="1" t="n">
        <v>45610.55273148148</v>
      </c>
      <c r="C985" s="1" t="n">
        <v>45926</v>
      </c>
      <c r="D985" t="inlineStr">
        <is>
          <t>VÄSTERNORRLANDS LÄN</t>
        </is>
      </c>
      <c r="E985" t="inlineStr">
        <is>
          <t>ÅNGE</t>
        </is>
      </c>
      <c r="F985" t="inlineStr">
        <is>
          <t>SCA</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52786-2024</t>
        </is>
      </c>
      <c r="B986" s="1" t="n">
        <v>45610.55283564814</v>
      </c>
      <c r="C986" s="1" t="n">
        <v>45926</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46254-2023</t>
        </is>
      </c>
      <c r="B987" s="1" t="n">
        <v>45196</v>
      </c>
      <c r="C987" s="1" t="n">
        <v>45926</v>
      </c>
      <c r="D987" t="inlineStr">
        <is>
          <t>VÄSTERNORRLANDS LÄN</t>
        </is>
      </c>
      <c r="E987" t="inlineStr">
        <is>
          <t>ÅNGE</t>
        </is>
      </c>
      <c r="F987" t="inlineStr">
        <is>
          <t>SCA</t>
        </is>
      </c>
      <c r="G987" t="n">
        <v>0.1</v>
      </c>
      <c r="H987" t="n">
        <v>0</v>
      </c>
      <c r="I987" t="n">
        <v>0</v>
      </c>
      <c r="J987" t="n">
        <v>0</v>
      </c>
      <c r="K987" t="n">
        <v>0</v>
      </c>
      <c r="L987" t="n">
        <v>0</v>
      </c>
      <c r="M987" t="n">
        <v>0</v>
      </c>
      <c r="N987" t="n">
        <v>0</v>
      </c>
      <c r="O987" t="n">
        <v>0</v>
      </c>
      <c r="P987" t="n">
        <v>0</v>
      </c>
      <c r="Q987" t="n">
        <v>0</v>
      </c>
      <c r="R987" s="2" t="inlineStr"/>
    </row>
    <row r="988" ht="15" customHeight="1">
      <c r="A988" t="inlineStr">
        <is>
          <t>A 46262-2023</t>
        </is>
      </c>
      <c r="B988" s="1" t="n">
        <v>45196.93855324074</v>
      </c>
      <c r="C988" s="1" t="n">
        <v>45926</v>
      </c>
      <c r="D988" t="inlineStr">
        <is>
          <t>VÄSTERNORRLANDS LÄN</t>
        </is>
      </c>
      <c r="E988" t="inlineStr">
        <is>
          <t>ÅNGE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38795-2023</t>
        </is>
      </c>
      <c r="B989" s="1" t="n">
        <v>45162</v>
      </c>
      <c r="C989" s="1" t="n">
        <v>45926</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30598-2025</t>
        </is>
      </c>
      <c r="B990" s="1" t="n">
        <v>45831.44834490741</v>
      </c>
      <c r="C990" s="1" t="n">
        <v>45926</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17601-2024</t>
        </is>
      </c>
      <c r="B991" s="1" t="n">
        <v>45415</v>
      </c>
      <c r="C991" s="1" t="n">
        <v>45926</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34649-2024</t>
        </is>
      </c>
      <c r="B992" s="1" t="n">
        <v>45526.48325231481</v>
      </c>
      <c r="C992" s="1" t="n">
        <v>45926</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48725-2024</t>
        </is>
      </c>
      <c r="B993" s="1" t="n">
        <v>45593.55793981482</v>
      </c>
      <c r="C993" s="1" t="n">
        <v>45926</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13091-2024</t>
        </is>
      </c>
      <c r="B994" s="1" t="n">
        <v>45385</v>
      </c>
      <c r="C994" s="1" t="n">
        <v>45926</v>
      </c>
      <c r="D994" t="inlineStr">
        <is>
          <t>VÄSTERNORRLANDS LÄN</t>
        </is>
      </c>
      <c r="E994" t="inlineStr">
        <is>
          <t>ÅNGE</t>
        </is>
      </c>
      <c r="G994" t="n">
        <v>1.1</v>
      </c>
      <c r="H994" t="n">
        <v>0</v>
      </c>
      <c r="I994" t="n">
        <v>0</v>
      </c>
      <c r="J994" t="n">
        <v>0</v>
      </c>
      <c r="K994" t="n">
        <v>0</v>
      </c>
      <c r="L994" t="n">
        <v>0</v>
      </c>
      <c r="M994" t="n">
        <v>0</v>
      </c>
      <c r="N994" t="n">
        <v>0</v>
      </c>
      <c r="O994" t="n">
        <v>0</v>
      </c>
      <c r="P994" t="n">
        <v>0</v>
      </c>
      <c r="Q994" t="n">
        <v>0</v>
      </c>
      <c r="R994" s="2" t="inlineStr"/>
    </row>
    <row r="995" ht="15" customHeight="1">
      <c r="A995" t="inlineStr">
        <is>
          <t>A 30892-2025</t>
        </is>
      </c>
      <c r="B995" s="1" t="n">
        <v>45832.34663194444</v>
      </c>
      <c r="C995" s="1" t="n">
        <v>45926</v>
      </c>
      <c r="D995" t="inlineStr">
        <is>
          <t>VÄSTERNORRLANDS LÄN</t>
        </is>
      </c>
      <c r="E995" t="inlineStr">
        <is>
          <t>ÅNGE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20108-2025</t>
        </is>
      </c>
      <c r="B996" s="1" t="n">
        <v>45772.47006944445</v>
      </c>
      <c r="C996" s="1" t="n">
        <v>45926</v>
      </c>
      <c r="D996" t="inlineStr">
        <is>
          <t>VÄSTERNORRLANDS LÄN</t>
        </is>
      </c>
      <c r="E996" t="inlineStr">
        <is>
          <t>ÅNGE</t>
        </is>
      </c>
      <c r="F996" t="inlineStr">
        <is>
          <t>Naturvårdsverket</t>
        </is>
      </c>
      <c r="G996" t="n">
        <v>2</v>
      </c>
      <c r="H996" t="n">
        <v>0</v>
      </c>
      <c r="I996" t="n">
        <v>0</v>
      </c>
      <c r="J996" t="n">
        <v>0</v>
      </c>
      <c r="K996" t="n">
        <v>0</v>
      </c>
      <c r="L996" t="n">
        <v>0</v>
      </c>
      <c r="M996" t="n">
        <v>0</v>
      </c>
      <c r="N996" t="n">
        <v>0</v>
      </c>
      <c r="O996" t="n">
        <v>0</v>
      </c>
      <c r="P996" t="n">
        <v>0</v>
      </c>
      <c r="Q996" t="n">
        <v>0</v>
      </c>
      <c r="R996" s="2" t="inlineStr"/>
    </row>
    <row r="997" ht="15" customHeight="1">
      <c r="A997" t="inlineStr">
        <is>
          <t>A 50419-2022</t>
        </is>
      </c>
      <c r="B997" s="1" t="n">
        <v>44861</v>
      </c>
      <c r="C997" s="1" t="n">
        <v>45926</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31188-2025</t>
        </is>
      </c>
      <c r="B998" s="1" t="n">
        <v>45832.67842592593</v>
      </c>
      <c r="C998" s="1" t="n">
        <v>45926</v>
      </c>
      <c r="D998" t="inlineStr">
        <is>
          <t>VÄSTERNORRLANDS LÄN</t>
        </is>
      </c>
      <c r="E998" t="inlineStr">
        <is>
          <t>ÅNGE</t>
        </is>
      </c>
      <c r="F998" t="inlineStr">
        <is>
          <t>SCA</t>
        </is>
      </c>
      <c r="G998" t="n">
        <v>14.9</v>
      </c>
      <c r="H998" t="n">
        <v>0</v>
      </c>
      <c r="I998" t="n">
        <v>0</v>
      </c>
      <c r="J998" t="n">
        <v>0</v>
      </c>
      <c r="K998" t="n">
        <v>0</v>
      </c>
      <c r="L998" t="n">
        <v>0</v>
      </c>
      <c r="M998" t="n">
        <v>0</v>
      </c>
      <c r="N998" t="n">
        <v>0</v>
      </c>
      <c r="O998" t="n">
        <v>0</v>
      </c>
      <c r="P998" t="n">
        <v>0</v>
      </c>
      <c r="Q998" t="n">
        <v>0</v>
      </c>
      <c r="R998" s="2" t="inlineStr"/>
    </row>
    <row r="999" ht="15" customHeight="1">
      <c r="A999" t="inlineStr">
        <is>
          <t>A 31452-2025</t>
        </is>
      </c>
      <c r="B999" s="1" t="n">
        <v>45833.53179398148</v>
      </c>
      <c r="C999" s="1" t="n">
        <v>45926</v>
      </c>
      <c r="D999" t="inlineStr">
        <is>
          <t>VÄSTERNORRLANDS LÄN</t>
        </is>
      </c>
      <c r="E999" t="inlineStr">
        <is>
          <t>ÅNGE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31544-2025</t>
        </is>
      </c>
      <c r="B1000" s="1" t="n">
        <v>45833.63597222222</v>
      </c>
      <c r="C1000" s="1" t="n">
        <v>45926</v>
      </c>
      <c r="D1000" t="inlineStr">
        <is>
          <t>VÄSTERNORRLANDS LÄN</t>
        </is>
      </c>
      <c r="E1000" t="inlineStr">
        <is>
          <t>ÅNGE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8627-2023</t>
        </is>
      </c>
      <c r="B1001" s="1" t="n">
        <v>44977</v>
      </c>
      <c r="C1001" s="1" t="n">
        <v>45926</v>
      </c>
      <c r="D1001" t="inlineStr">
        <is>
          <t>VÄSTERNORRLANDS LÄN</t>
        </is>
      </c>
      <c r="E1001" t="inlineStr">
        <is>
          <t>ÅNGE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39619-2024</t>
        </is>
      </c>
      <c r="B1002" s="1" t="n">
        <v>45552</v>
      </c>
      <c r="C1002" s="1" t="n">
        <v>45926</v>
      </c>
      <c r="D1002" t="inlineStr">
        <is>
          <t>VÄSTERNORRLANDS LÄN</t>
        </is>
      </c>
      <c r="E1002" t="inlineStr">
        <is>
          <t>ÅNGE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37051-2021</t>
        </is>
      </c>
      <c r="B1003" s="1" t="n">
        <v>44393</v>
      </c>
      <c r="C1003" s="1" t="n">
        <v>45926</v>
      </c>
      <c r="D1003" t="inlineStr">
        <is>
          <t>VÄSTERNORRLANDS LÄN</t>
        </is>
      </c>
      <c r="E1003" t="inlineStr">
        <is>
          <t>ÅNGE</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31042-2025</t>
        </is>
      </c>
      <c r="B1004" s="1" t="n">
        <v>45832.55267361111</v>
      </c>
      <c r="C1004" s="1" t="n">
        <v>45926</v>
      </c>
      <c r="D1004" t="inlineStr">
        <is>
          <t>VÄSTERNORRLANDS LÄN</t>
        </is>
      </c>
      <c r="E1004" t="inlineStr">
        <is>
          <t>ÅNGE</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31275-2025</t>
        </is>
      </c>
      <c r="B1005" s="1" t="n">
        <v>45833.34459490741</v>
      </c>
      <c r="C1005" s="1" t="n">
        <v>45926</v>
      </c>
      <c r="D1005" t="inlineStr">
        <is>
          <t>VÄSTERNORRLANDS LÄN</t>
        </is>
      </c>
      <c r="E1005" t="inlineStr">
        <is>
          <t>ÅNGE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5613-2024</t>
        </is>
      </c>
      <c r="B1006" s="1" t="n">
        <v>45334</v>
      </c>
      <c r="C1006" s="1" t="n">
        <v>45926</v>
      </c>
      <c r="D1006" t="inlineStr">
        <is>
          <t>VÄSTERNORRLANDS LÄN</t>
        </is>
      </c>
      <c r="E1006" t="inlineStr">
        <is>
          <t>ÅNGE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31135-2025</t>
        </is>
      </c>
      <c r="B1007" s="1" t="n">
        <v>45832.63581018519</v>
      </c>
      <c r="C1007" s="1" t="n">
        <v>45926</v>
      </c>
      <c r="D1007" t="inlineStr">
        <is>
          <t>VÄSTERNORRLANDS LÄN</t>
        </is>
      </c>
      <c r="E1007" t="inlineStr">
        <is>
          <t>ÅNGE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30888-2025</t>
        </is>
      </c>
      <c r="B1008" s="1" t="n">
        <v>45832.34606481482</v>
      </c>
      <c r="C1008" s="1" t="n">
        <v>45926</v>
      </c>
      <c r="D1008" t="inlineStr">
        <is>
          <t>VÄSTERNORRLANDS LÄN</t>
        </is>
      </c>
      <c r="E1008" t="inlineStr">
        <is>
          <t>ÅNGE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30875-2025</t>
        </is>
      </c>
      <c r="B1009" s="1" t="n">
        <v>45832.34447916667</v>
      </c>
      <c r="C1009" s="1" t="n">
        <v>45926</v>
      </c>
      <c r="D1009" t="inlineStr">
        <is>
          <t>VÄSTERNORRLANDS LÄN</t>
        </is>
      </c>
      <c r="E1009" t="inlineStr">
        <is>
          <t>ÅNGE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61928-2021</t>
        </is>
      </c>
      <c r="B1010" s="1" t="n">
        <v>44502.38475694445</v>
      </c>
      <c r="C1010" s="1" t="n">
        <v>45926</v>
      </c>
      <c r="D1010" t="inlineStr">
        <is>
          <t>VÄSTERNORRLANDS LÄN</t>
        </is>
      </c>
      <c r="E1010" t="inlineStr">
        <is>
          <t>ÅNGE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5367-2022</t>
        </is>
      </c>
      <c r="B1011" s="1" t="n">
        <v>44594.92111111111</v>
      </c>
      <c r="C1011" s="1" t="n">
        <v>45926</v>
      </c>
      <c r="D1011" t="inlineStr">
        <is>
          <t>VÄSTERNORRLANDS LÄN</t>
        </is>
      </c>
      <c r="E1011" t="inlineStr">
        <is>
          <t>ÅNGE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54429-2024</t>
        </is>
      </c>
      <c r="B1012" s="1" t="n">
        <v>45617.49087962963</v>
      </c>
      <c r="C1012" s="1" t="n">
        <v>45926</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31211-2025</t>
        </is>
      </c>
      <c r="B1013" s="1" t="n">
        <v>45832.71938657408</v>
      </c>
      <c r="C1013" s="1" t="n">
        <v>45926</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24293-2023</t>
        </is>
      </c>
      <c r="B1014" s="1" t="n">
        <v>45079.92756944444</v>
      </c>
      <c r="C1014" s="1" t="n">
        <v>45926</v>
      </c>
      <c r="D1014" t="inlineStr">
        <is>
          <t>VÄSTERNORRLANDS LÄN</t>
        </is>
      </c>
      <c r="E1014" t="inlineStr">
        <is>
          <t>ÅNGE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31484-2025</t>
        </is>
      </c>
      <c r="B1015" s="1" t="n">
        <v>45833.57418981481</v>
      </c>
      <c r="C1015" s="1" t="n">
        <v>45926</v>
      </c>
      <c r="D1015" t="inlineStr">
        <is>
          <t>VÄSTERNORRLANDS LÄN</t>
        </is>
      </c>
      <c r="E1015" t="inlineStr">
        <is>
          <t>ÅNGE</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30877-2025</t>
        </is>
      </c>
      <c r="B1016" s="1" t="n">
        <v>45832.34478009259</v>
      </c>
      <c r="C1016" s="1" t="n">
        <v>45926</v>
      </c>
      <c r="D1016" t="inlineStr">
        <is>
          <t>VÄSTERNORRLANDS LÄN</t>
        </is>
      </c>
      <c r="E1016" t="inlineStr">
        <is>
          <t>ÅNGE</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31139-2025</t>
        </is>
      </c>
      <c r="B1017" s="1" t="n">
        <v>45832.63633101852</v>
      </c>
      <c r="C1017" s="1" t="n">
        <v>45926</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361-2025</t>
        </is>
      </c>
      <c r="B1018" s="1" t="n">
        <v>45660</v>
      </c>
      <c r="C1018" s="1" t="n">
        <v>45926</v>
      </c>
      <c r="D1018" t="inlineStr">
        <is>
          <t>VÄSTERNORRLANDS LÄN</t>
        </is>
      </c>
      <c r="E1018" t="inlineStr">
        <is>
          <t>ÅNGE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31041-2025</t>
        </is>
      </c>
      <c r="B1019" s="1" t="n">
        <v>45832.55247685185</v>
      </c>
      <c r="C1019" s="1" t="n">
        <v>45926</v>
      </c>
      <c r="D1019" t="inlineStr">
        <is>
          <t>VÄSTERNORRLANDS LÄN</t>
        </is>
      </c>
      <c r="E1019" t="inlineStr">
        <is>
          <t>ÅNGE</t>
        </is>
      </c>
      <c r="F1019" t="inlineStr">
        <is>
          <t>SCA</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49532-2024</t>
        </is>
      </c>
      <c r="B1020" s="1" t="n">
        <v>45596.41797453703</v>
      </c>
      <c r="C1020" s="1" t="n">
        <v>45926</v>
      </c>
      <c r="D1020" t="inlineStr">
        <is>
          <t>VÄSTERNORRLANDS LÄN</t>
        </is>
      </c>
      <c r="E1020" t="inlineStr">
        <is>
          <t>ÅNGE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11088-2024</t>
        </is>
      </c>
      <c r="B1021" s="1" t="n">
        <v>45370</v>
      </c>
      <c r="C1021" s="1" t="n">
        <v>45926</v>
      </c>
      <c r="D1021" t="inlineStr">
        <is>
          <t>VÄSTERNORRLANDS LÄN</t>
        </is>
      </c>
      <c r="E1021" t="inlineStr">
        <is>
          <t>ÅNGE</t>
        </is>
      </c>
      <c r="F1021" t="inlineStr">
        <is>
          <t>SCA</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31646-2025</t>
        </is>
      </c>
      <c r="B1022" s="1" t="n">
        <v>45834.34563657407</v>
      </c>
      <c r="C1022" s="1" t="n">
        <v>45926</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31642-2025</t>
        </is>
      </c>
      <c r="B1023" s="1" t="n">
        <v>45834.34474537037</v>
      </c>
      <c r="C1023" s="1" t="n">
        <v>45926</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13773-2024</t>
        </is>
      </c>
      <c r="B1024" s="1" t="n">
        <v>45390.95297453704</v>
      </c>
      <c r="C1024" s="1" t="n">
        <v>45926</v>
      </c>
      <c r="D1024" t="inlineStr">
        <is>
          <t>VÄSTERNORRLANDS LÄN</t>
        </is>
      </c>
      <c r="E1024" t="inlineStr">
        <is>
          <t>ÅNGE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32025-2025</t>
        </is>
      </c>
      <c r="B1025" s="1" t="n">
        <v>45835.40721064815</v>
      </c>
      <c r="C1025" s="1" t="n">
        <v>45926</v>
      </c>
      <c r="D1025" t="inlineStr">
        <is>
          <t>VÄSTERNORRLANDS LÄN</t>
        </is>
      </c>
      <c r="E1025" t="inlineStr">
        <is>
          <t>ÅNGE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32024-2025</t>
        </is>
      </c>
      <c r="B1026" s="1" t="n">
        <v>45835.40706018519</v>
      </c>
      <c r="C1026" s="1" t="n">
        <v>45926</v>
      </c>
      <c r="D1026" t="inlineStr">
        <is>
          <t>VÄSTERNORRLANDS LÄN</t>
        </is>
      </c>
      <c r="E1026" t="inlineStr">
        <is>
          <t>ÅNGE</t>
        </is>
      </c>
      <c r="F1026" t="inlineStr">
        <is>
          <t>SCA</t>
        </is>
      </c>
      <c r="G1026" t="n">
        <v>12.3</v>
      </c>
      <c r="H1026" t="n">
        <v>0</v>
      </c>
      <c r="I1026" t="n">
        <v>0</v>
      </c>
      <c r="J1026" t="n">
        <v>0</v>
      </c>
      <c r="K1026" t="n">
        <v>0</v>
      </c>
      <c r="L1026" t="n">
        <v>0</v>
      </c>
      <c r="M1026" t="n">
        <v>0</v>
      </c>
      <c r="N1026" t="n">
        <v>0</v>
      </c>
      <c r="O1026" t="n">
        <v>0</v>
      </c>
      <c r="P1026" t="n">
        <v>0</v>
      </c>
      <c r="Q1026" t="n">
        <v>0</v>
      </c>
      <c r="R1026" s="2" t="inlineStr"/>
    </row>
    <row r="1027" ht="15" customHeight="1">
      <c r="A1027" t="inlineStr">
        <is>
          <t>A 39985-2023</t>
        </is>
      </c>
      <c r="B1027" s="1" t="n">
        <v>45168</v>
      </c>
      <c r="C1027" s="1" t="n">
        <v>45926</v>
      </c>
      <c r="D1027" t="inlineStr">
        <is>
          <t>VÄSTERNORRLANDS LÄN</t>
        </is>
      </c>
      <c r="E1027" t="inlineStr">
        <is>
          <t>ÅNGE</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26092-2025</t>
        </is>
      </c>
      <c r="B1028" s="1" t="n">
        <v>45805</v>
      </c>
      <c r="C1028" s="1" t="n">
        <v>45926</v>
      </c>
      <c r="D1028" t="inlineStr">
        <is>
          <t>VÄSTERNORRLANDS LÄN</t>
        </is>
      </c>
      <c r="E1028" t="inlineStr">
        <is>
          <t>ÅNGE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31666-2025</t>
        </is>
      </c>
      <c r="B1029" s="1" t="n">
        <v>45834.36519675926</v>
      </c>
      <c r="C1029" s="1" t="n">
        <v>45926</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30348-2024</t>
        </is>
      </c>
      <c r="B1030" s="1" t="n">
        <v>45490.95524305556</v>
      </c>
      <c r="C1030" s="1" t="n">
        <v>45926</v>
      </c>
      <c r="D1030" t="inlineStr">
        <is>
          <t>VÄSTERNORRLANDS LÄN</t>
        </is>
      </c>
      <c r="E1030" t="inlineStr">
        <is>
          <t>ÅNGE</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32051-2025</t>
        </is>
      </c>
      <c r="B1031" s="1" t="n">
        <v>45835.44185185185</v>
      </c>
      <c r="C1031" s="1" t="n">
        <v>45926</v>
      </c>
      <c r="D1031" t="inlineStr">
        <is>
          <t>VÄSTERNORRLANDS LÄN</t>
        </is>
      </c>
      <c r="E1031" t="inlineStr">
        <is>
          <t>ÅNGE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49945-2023</t>
        </is>
      </c>
      <c r="B1032" s="1" t="n">
        <v>45215.3625462963</v>
      </c>
      <c r="C1032" s="1" t="n">
        <v>45926</v>
      </c>
      <c r="D1032" t="inlineStr">
        <is>
          <t>VÄSTERNORRLANDS LÄN</t>
        </is>
      </c>
      <c r="E1032" t="inlineStr">
        <is>
          <t>ÅNGE</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1420-2023</t>
        </is>
      </c>
      <c r="B1033" s="1" t="n">
        <v>44936.92762731481</v>
      </c>
      <c r="C1033" s="1" t="n">
        <v>45926</v>
      </c>
      <c r="D1033" t="inlineStr">
        <is>
          <t>VÄSTERNORRLANDS LÄN</t>
        </is>
      </c>
      <c r="E1033" t="inlineStr">
        <is>
          <t>ÅNGE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34691-2024</t>
        </is>
      </c>
      <c r="B1034" s="1" t="n">
        <v>45526.54516203704</v>
      </c>
      <c r="C1034" s="1" t="n">
        <v>45926</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15791-2025</t>
        </is>
      </c>
      <c r="B1035" s="1" t="n">
        <v>45748.631875</v>
      </c>
      <c r="C1035" s="1" t="n">
        <v>45926</v>
      </c>
      <c r="D1035" t="inlineStr">
        <is>
          <t>VÄSTERNORRLANDS LÄN</t>
        </is>
      </c>
      <c r="E1035" t="inlineStr">
        <is>
          <t>ÅNGE</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54210-2024</t>
        </is>
      </c>
      <c r="B1036" s="1" t="n">
        <v>45616.65662037037</v>
      </c>
      <c r="C1036" s="1" t="n">
        <v>45926</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54585-2024</t>
        </is>
      </c>
      <c r="B1037" s="1" t="n">
        <v>45617.65762731482</v>
      </c>
      <c r="C1037" s="1" t="n">
        <v>45926</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17452-2025</t>
        </is>
      </c>
      <c r="B1038" s="1" t="n">
        <v>45757.44842592593</v>
      </c>
      <c r="C1038" s="1" t="n">
        <v>45926</v>
      </c>
      <c r="D1038" t="inlineStr">
        <is>
          <t>VÄSTERNORRLANDS LÄN</t>
        </is>
      </c>
      <c r="E1038" t="inlineStr">
        <is>
          <t>ÅNGE</t>
        </is>
      </c>
      <c r="F1038" t="inlineStr">
        <is>
          <t>SCA</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12807-2025</t>
        </is>
      </c>
      <c r="B1039" s="1" t="n">
        <v>45733.61537037037</v>
      </c>
      <c r="C1039" s="1" t="n">
        <v>45926</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5035-2025</t>
        </is>
      </c>
      <c r="B1040" s="1" t="n">
        <v>45691</v>
      </c>
      <c r="C1040" s="1" t="n">
        <v>45926</v>
      </c>
      <c r="D1040" t="inlineStr">
        <is>
          <t>VÄSTERNORRLANDS LÄN</t>
        </is>
      </c>
      <c r="E1040" t="inlineStr">
        <is>
          <t>ÅNGE</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32847-2025</t>
        </is>
      </c>
      <c r="B1041" s="1" t="n">
        <v>45839.57354166666</v>
      </c>
      <c r="C1041" s="1" t="n">
        <v>45926</v>
      </c>
      <c r="D1041" t="inlineStr">
        <is>
          <t>VÄSTERNORRLANDS LÄN</t>
        </is>
      </c>
      <c r="E1041" t="inlineStr">
        <is>
          <t>ÅNGE</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5602-2025</t>
        </is>
      </c>
      <c r="B1042" s="1" t="n">
        <v>45693</v>
      </c>
      <c r="C1042" s="1" t="n">
        <v>45926</v>
      </c>
      <c r="D1042" t="inlineStr">
        <is>
          <t>VÄSTERNORRLANDS LÄN</t>
        </is>
      </c>
      <c r="E1042" t="inlineStr">
        <is>
          <t>ÅNGE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3966-2025</t>
        </is>
      </c>
      <c r="B1043" s="1" t="n">
        <v>45684.51072916666</v>
      </c>
      <c r="C1043" s="1" t="n">
        <v>45926</v>
      </c>
      <c r="D1043" t="inlineStr">
        <is>
          <t>VÄSTERNORRLANDS LÄN</t>
        </is>
      </c>
      <c r="E1043" t="inlineStr">
        <is>
          <t>ÅNGE</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60578-2024</t>
        </is>
      </c>
      <c r="B1044" s="1" t="n">
        <v>45644.34434027778</v>
      </c>
      <c r="C1044" s="1" t="n">
        <v>45926</v>
      </c>
      <c r="D1044" t="inlineStr">
        <is>
          <t>VÄSTERNORRLANDS LÄN</t>
        </is>
      </c>
      <c r="E1044" t="inlineStr">
        <is>
          <t>ÅNGE</t>
        </is>
      </c>
      <c r="F1044" t="inlineStr">
        <is>
          <t>SCA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57526-2024</t>
        </is>
      </c>
      <c r="B1045" s="1" t="n">
        <v>45630</v>
      </c>
      <c r="C1045" s="1" t="n">
        <v>45926</v>
      </c>
      <c r="D1045" t="inlineStr">
        <is>
          <t>VÄSTERNORRLANDS LÄN</t>
        </is>
      </c>
      <c r="E1045" t="inlineStr">
        <is>
          <t>ÅNGE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5999-2025</t>
        </is>
      </c>
      <c r="B1046" s="1" t="n">
        <v>45695</v>
      </c>
      <c r="C1046" s="1" t="n">
        <v>45926</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35593-2024</t>
        </is>
      </c>
      <c r="B1047" s="1" t="n">
        <v>45531</v>
      </c>
      <c r="C1047" s="1" t="n">
        <v>45926</v>
      </c>
      <c r="D1047" t="inlineStr">
        <is>
          <t>VÄSTERNORRLANDS LÄN</t>
        </is>
      </c>
      <c r="E1047" t="inlineStr">
        <is>
          <t>ÅNGE</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33302-2024</t>
        </is>
      </c>
      <c r="B1048" s="1" t="n">
        <v>45518.96967592592</v>
      </c>
      <c r="C1048" s="1" t="n">
        <v>45926</v>
      </c>
      <c r="D1048" t="inlineStr">
        <is>
          <t>VÄSTERNORRLANDS LÄN</t>
        </is>
      </c>
      <c r="E1048" t="inlineStr">
        <is>
          <t>ÅNGE</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34031-2025</t>
        </is>
      </c>
      <c r="B1049" s="1" t="n">
        <v>45845.36508101852</v>
      </c>
      <c r="C1049" s="1" t="n">
        <v>45926</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16593-2023</t>
        </is>
      </c>
      <c r="B1050" s="1" t="n">
        <v>45030</v>
      </c>
      <c r="C1050" s="1" t="n">
        <v>45926</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16600-2023</t>
        </is>
      </c>
      <c r="B1051" s="1" t="n">
        <v>45030</v>
      </c>
      <c r="C1051" s="1" t="n">
        <v>45926</v>
      </c>
      <c r="D1051" t="inlineStr">
        <is>
          <t>VÄSTERNORRLANDS LÄN</t>
        </is>
      </c>
      <c r="E1051" t="inlineStr">
        <is>
          <t>ÅNGE</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38715-2025</t>
        </is>
      </c>
      <c r="B1052" s="1" t="n">
        <v>45886.34501157407</v>
      </c>
      <c r="C1052" s="1" t="n">
        <v>45926</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10917-2024</t>
        </is>
      </c>
      <c r="B1053" s="1" t="n">
        <v>45370</v>
      </c>
      <c r="C1053" s="1" t="n">
        <v>45926</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38711-2025</t>
        </is>
      </c>
      <c r="B1054" s="1" t="n">
        <v>45886.34450231482</v>
      </c>
      <c r="C1054" s="1" t="n">
        <v>45926</v>
      </c>
      <c r="D1054" t="inlineStr">
        <is>
          <t>VÄSTERNORRLANDS LÄN</t>
        </is>
      </c>
      <c r="E1054" t="inlineStr">
        <is>
          <t>ÅNGE</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38693-2025</t>
        </is>
      </c>
      <c r="B1055" s="1" t="n">
        <v>45884.69829861111</v>
      </c>
      <c r="C1055" s="1" t="n">
        <v>45926</v>
      </c>
      <c r="D1055" t="inlineStr">
        <is>
          <t>VÄSTERNORRLANDS LÄN</t>
        </is>
      </c>
      <c r="E1055" t="inlineStr">
        <is>
          <t>ÅNGE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33719-2025</t>
        </is>
      </c>
      <c r="B1056" s="1" t="n">
        <v>45841.90143518519</v>
      </c>
      <c r="C1056" s="1" t="n">
        <v>45926</v>
      </c>
      <c r="D1056" t="inlineStr">
        <is>
          <t>VÄSTERNORRLANDS LÄN</t>
        </is>
      </c>
      <c r="E1056" t="inlineStr">
        <is>
          <t>ÅNGE</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33720-2025</t>
        </is>
      </c>
      <c r="B1057" s="1" t="n">
        <v>45841.90605324074</v>
      </c>
      <c r="C1057" s="1" t="n">
        <v>45926</v>
      </c>
      <c r="D1057" t="inlineStr">
        <is>
          <t>VÄSTERNORRLANDS LÄN</t>
        </is>
      </c>
      <c r="E1057" t="inlineStr">
        <is>
          <t>ÅNGE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33738-2025</t>
        </is>
      </c>
      <c r="B1058" s="1" t="n">
        <v>45842.33795138889</v>
      </c>
      <c r="C1058" s="1" t="n">
        <v>45926</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36786-2024</t>
        </is>
      </c>
      <c r="B1059" s="1" t="n">
        <v>45538</v>
      </c>
      <c r="C1059" s="1" t="n">
        <v>45926</v>
      </c>
      <c r="D1059" t="inlineStr">
        <is>
          <t>VÄSTERNORRLANDS LÄN</t>
        </is>
      </c>
      <c r="E1059" t="inlineStr">
        <is>
          <t>ÅNGE</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33806-2025</t>
        </is>
      </c>
      <c r="B1060" s="1" t="n">
        <v>45842.44865740741</v>
      </c>
      <c r="C1060" s="1" t="n">
        <v>45926</v>
      </c>
      <c r="D1060" t="inlineStr">
        <is>
          <t>VÄSTERNORRLANDS LÄN</t>
        </is>
      </c>
      <c r="E1060" t="inlineStr">
        <is>
          <t>ÅNGE</t>
        </is>
      </c>
      <c r="F1060" t="inlineStr">
        <is>
          <t>SCA</t>
        </is>
      </c>
      <c r="G1060" t="n">
        <v>24.6</v>
      </c>
      <c r="H1060" t="n">
        <v>0</v>
      </c>
      <c r="I1060" t="n">
        <v>0</v>
      </c>
      <c r="J1060" t="n">
        <v>0</v>
      </c>
      <c r="K1060" t="n">
        <v>0</v>
      </c>
      <c r="L1060" t="n">
        <v>0</v>
      </c>
      <c r="M1060" t="n">
        <v>0</v>
      </c>
      <c r="N1060" t="n">
        <v>0</v>
      </c>
      <c r="O1060" t="n">
        <v>0</v>
      </c>
      <c r="P1060" t="n">
        <v>0</v>
      </c>
      <c r="Q1060" t="n">
        <v>0</v>
      </c>
      <c r="R1060" s="2" t="inlineStr"/>
    </row>
    <row r="1061" ht="15" customHeight="1">
      <c r="A1061" t="inlineStr">
        <is>
          <t>A 33782-2025</t>
        </is>
      </c>
      <c r="B1061" s="1" t="n">
        <v>45842.40678240741</v>
      </c>
      <c r="C1061" s="1" t="n">
        <v>45926</v>
      </c>
      <c r="D1061" t="inlineStr">
        <is>
          <t>VÄSTERNORRLANDS LÄN</t>
        </is>
      </c>
      <c r="E1061" t="inlineStr">
        <is>
          <t>ÅNGE</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6487-2021</t>
        </is>
      </c>
      <c r="B1062" s="1" t="n">
        <v>44235</v>
      </c>
      <c r="C1062" s="1" t="n">
        <v>45926</v>
      </c>
      <c r="D1062" t="inlineStr">
        <is>
          <t>VÄSTERNORRLANDS LÄN</t>
        </is>
      </c>
      <c r="E1062" t="inlineStr">
        <is>
          <t>ÅNGE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54908-2021</t>
        </is>
      </c>
      <c r="B1063" s="1" t="n">
        <v>44474.39769675926</v>
      </c>
      <c r="C1063" s="1" t="n">
        <v>45926</v>
      </c>
      <c r="D1063" t="inlineStr">
        <is>
          <t>VÄSTERNORRLANDS LÄN</t>
        </is>
      </c>
      <c r="E1063" t="inlineStr">
        <is>
          <t>ÅNGE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45926</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45933-2023</t>
        </is>
      </c>
      <c r="B1065" s="1" t="n">
        <v>45195</v>
      </c>
      <c r="C1065" s="1" t="n">
        <v>45926</v>
      </c>
      <c r="D1065" t="inlineStr">
        <is>
          <t>VÄSTERNORRLANDS LÄN</t>
        </is>
      </c>
      <c r="E1065" t="inlineStr">
        <is>
          <t>ÅNGE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34491-2023</t>
        </is>
      </c>
      <c r="B1066" s="1" t="n">
        <v>45139.94775462963</v>
      </c>
      <c r="C1066" s="1" t="n">
        <v>45926</v>
      </c>
      <c r="D1066" t="inlineStr">
        <is>
          <t>VÄSTERNORRLANDS LÄN</t>
        </is>
      </c>
      <c r="E1066" t="inlineStr">
        <is>
          <t>ÅNGE</t>
        </is>
      </c>
      <c r="F1066" t="inlineStr">
        <is>
          <t>SCA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3947-2025</t>
        </is>
      </c>
      <c r="B1067" s="1" t="n">
        <v>45684.49001157407</v>
      </c>
      <c r="C1067" s="1" t="n">
        <v>45926</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34019-2025</t>
        </is>
      </c>
      <c r="B1068" s="1" t="n">
        <v>45845.34416666667</v>
      </c>
      <c r="C1068" s="1" t="n">
        <v>45926</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38703-2025</t>
        </is>
      </c>
      <c r="B1069" s="1" t="n">
        <v>45885.34440972222</v>
      </c>
      <c r="C1069" s="1" t="n">
        <v>45926</v>
      </c>
      <c r="D1069" t="inlineStr">
        <is>
          <t>VÄSTERNORRLANDS LÄN</t>
        </is>
      </c>
      <c r="E1069" t="inlineStr">
        <is>
          <t>ÅNGE</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46015-2024</t>
        </is>
      </c>
      <c r="B1070" s="1" t="n">
        <v>45580.67760416667</v>
      </c>
      <c r="C1070" s="1" t="n">
        <v>45926</v>
      </c>
      <c r="D1070" t="inlineStr">
        <is>
          <t>VÄSTERNORRLANDS LÄN</t>
        </is>
      </c>
      <c r="E1070" t="inlineStr">
        <is>
          <t>ÅNGE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33717-2025</t>
        </is>
      </c>
      <c r="B1071" s="1" t="n">
        <v>45841.89357638889</v>
      </c>
      <c r="C1071" s="1" t="n">
        <v>45926</v>
      </c>
      <c r="D1071" t="inlineStr">
        <is>
          <t>VÄSTERNORRLANDS LÄN</t>
        </is>
      </c>
      <c r="E1071" t="inlineStr">
        <is>
          <t>ÅNGE</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65633-2021</t>
        </is>
      </c>
      <c r="B1072" s="1" t="n">
        <v>44516.56181712963</v>
      </c>
      <c r="C1072" s="1" t="n">
        <v>45926</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38686-2025</t>
        </is>
      </c>
      <c r="B1073" s="1" t="n">
        <v>45884.65658564815</v>
      </c>
      <c r="C1073" s="1" t="n">
        <v>45926</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44636-2024</t>
        </is>
      </c>
      <c r="B1074" s="1" t="n">
        <v>45574.51491898148</v>
      </c>
      <c r="C1074" s="1" t="n">
        <v>45926</v>
      </c>
      <c r="D1074" t="inlineStr">
        <is>
          <t>VÄSTERNORRLANDS LÄN</t>
        </is>
      </c>
      <c r="E1074" t="inlineStr">
        <is>
          <t>ÅNGE</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44979-2023</t>
        </is>
      </c>
      <c r="B1075" s="1" t="n">
        <v>45190.95752314815</v>
      </c>
      <c r="C1075" s="1" t="n">
        <v>45926</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1582-2025</t>
        </is>
      </c>
      <c r="B1076" s="1" t="n">
        <v>45670</v>
      </c>
      <c r="C1076" s="1" t="n">
        <v>45926</v>
      </c>
      <c r="D1076" t="inlineStr">
        <is>
          <t>VÄSTERNORRLANDS LÄN</t>
        </is>
      </c>
      <c r="E1076" t="inlineStr">
        <is>
          <t>ÅNGE</t>
        </is>
      </c>
      <c r="G1076" t="n">
        <v>7.3</v>
      </c>
      <c r="H1076" t="n">
        <v>0</v>
      </c>
      <c r="I1076" t="n">
        <v>0</v>
      </c>
      <c r="J1076" t="n">
        <v>0</v>
      </c>
      <c r="K1076" t="n">
        <v>0</v>
      </c>
      <c r="L1076" t="n">
        <v>0</v>
      </c>
      <c r="M1076" t="n">
        <v>0</v>
      </c>
      <c r="N1076" t="n">
        <v>0</v>
      </c>
      <c r="O1076" t="n">
        <v>0</v>
      </c>
      <c r="P1076" t="n">
        <v>0</v>
      </c>
      <c r="Q1076" t="n">
        <v>0</v>
      </c>
      <c r="R1076" s="2" t="inlineStr"/>
      <c r="U1076">
        <f>HYPERLINK("https://klasma.github.io/Logging_2260/knärot/A 1582-2025 karta knärot.png", "A 1582-2025")</f>
        <v/>
      </c>
      <c r="V1076">
        <f>HYPERLINK("https://klasma.github.io/Logging_2260/klagomål/A 1582-2025 FSC-klagomål.docx", "A 1582-2025")</f>
        <v/>
      </c>
      <c r="W1076">
        <f>HYPERLINK("https://klasma.github.io/Logging_2260/klagomålsmail/A 1582-2025 FSC-klagomål mail.docx", "A 1582-2025")</f>
        <v/>
      </c>
      <c r="X1076">
        <f>HYPERLINK("https://klasma.github.io/Logging_2260/tillsyn/A 1582-2025 tillsynsbegäran.docx", "A 1582-2025")</f>
        <v/>
      </c>
      <c r="Y1076">
        <f>HYPERLINK("https://klasma.github.io/Logging_2260/tillsynsmail/A 1582-2025 tillsynsbegäran mail.docx", "A 1582-2025")</f>
        <v/>
      </c>
    </row>
    <row r="1077" ht="15" customHeight="1">
      <c r="A1077" t="inlineStr">
        <is>
          <t>A 36457-2021</t>
        </is>
      </c>
      <c r="B1077" s="1" t="n">
        <v>44390.93858796296</v>
      </c>
      <c r="C1077" s="1" t="n">
        <v>45926</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25377-2024</t>
        </is>
      </c>
      <c r="B1078" s="1" t="n">
        <v>45462.96211805556</v>
      </c>
      <c r="C1078" s="1" t="n">
        <v>45926</v>
      </c>
      <c r="D1078" t="inlineStr">
        <is>
          <t>VÄSTERNORRLANDS LÄN</t>
        </is>
      </c>
      <c r="E1078" t="inlineStr">
        <is>
          <t>ÅNGE</t>
        </is>
      </c>
      <c r="F1078" t="inlineStr">
        <is>
          <t>SCA</t>
        </is>
      </c>
      <c r="G1078" t="n">
        <v>20.7</v>
      </c>
      <c r="H1078" t="n">
        <v>0</v>
      </c>
      <c r="I1078" t="n">
        <v>0</v>
      </c>
      <c r="J1078" t="n">
        <v>0</v>
      </c>
      <c r="K1078" t="n">
        <v>0</v>
      </c>
      <c r="L1078" t="n">
        <v>0</v>
      </c>
      <c r="M1078" t="n">
        <v>0</v>
      </c>
      <c r="N1078" t="n">
        <v>0</v>
      </c>
      <c r="O1078" t="n">
        <v>0</v>
      </c>
      <c r="P1078" t="n">
        <v>0</v>
      </c>
      <c r="Q1078" t="n">
        <v>0</v>
      </c>
      <c r="R1078" s="2" t="inlineStr"/>
    </row>
    <row r="1079" ht="15" customHeight="1">
      <c r="A1079" t="inlineStr">
        <is>
          <t>A 14927-2025</t>
        </is>
      </c>
      <c r="B1079" s="1" t="n">
        <v>45743</v>
      </c>
      <c r="C1079" s="1" t="n">
        <v>45926</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14933-2025</t>
        </is>
      </c>
      <c r="B1080" s="1" t="n">
        <v>45743.55380787037</v>
      </c>
      <c r="C1080" s="1" t="n">
        <v>45926</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39434-2025</t>
        </is>
      </c>
      <c r="B1081" s="1" t="n">
        <v>45889.67811342593</v>
      </c>
      <c r="C1081" s="1" t="n">
        <v>45926</v>
      </c>
      <c r="D1081" t="inlineStr">
        <is>
          <t>VÄSTERNORRLANDS LÄN</t>
        </is>
      </c>
      <c r="E1081" t="inlineStr">
        <is>
          <t>ÅNGE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15167-2025</t>
        </is>
      </c>
      <c r="B1082" s="1" t="n">
        <v>45744.49009259259</v>
      </c>
      <c r="C1082" s="1" t="n">
        <v>45926</v>
      </c>
      <c r="D1082" t="inlineStr">
        <is>
          <t>VÄSTERNORRLANDS LÄN</t>
        </is>
      </c>
      <c r="E1082" t="inlineStr">
        <is>
          <t>ÅNGE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39444-2025</t>
        </is>
      </c>
      <c r="B1083" s="1" t="n">
        <v>45889.69826388889</v>
      </c>
      <c r="C1083" s="1" t="n">
        <v>45926</v>
      </c>
      <c r="D1083" t="inlineStr">
        <is>
          <t>VÄSTERNORRLANDS LÄN</t>
        </is>
      </c>
      <c r="E1083" t="inlineStr">
        <is>
          <t>ÅNGE</t>
        </is>
      </c>
      <c r="F1083" t="inlineStr">
        <is>
          <t>SCA</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64950-2023</t>
        </is>
      </c>
      <c r="B1084" s="1" t="n">
        <v>45282</v>
      </c>
      <c r="C1084" s="1" t="n">
        <v>45926</v>
      </c>
      <c r="D1084" t="inlineStr">
        <is>
          <t>VÄSTERNORRLANDS LÄN</t>
        </is>
      </c>
      <c r="E1084" t="inlineStr">
        <is>
          <t>ÅNGE</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24063-2023</t>
        </is>
      </c>
      <c r="B1085" s="1" t="n">
        <v>45078.94140046297</v>
      </c>
      <c r="C1085" s="1" t="n">
        <v>45926</v>
      </c>
      <c r="D1085" t="inlineStr">
        <is>
          <t>VÄSTERNORRLANDS LÄN</t>
        </is>
      </c>
      <c r="E1085" t="inlineStr">
        <is>
          <t>ÅNGE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34591-2025</t>
        </is>
      </c>
      <c r="B1086" s="1" t="n">
        <v>45847.62920138889</v>
      </c>
      <c r="C1086" s="1" t="n">
        <v>45926</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34593-2025</t>
        </is>
      </c>
      <c r="B1087" s="1" t="n">
        <v>45847.6316087963</v>
      </c>
      <c r="C1087" s="1" t="n">
        <v>45926</v>
      </c>
      <c r="D1087" t="inlineStr">
        <is>
          <t>VÄSTERNORRLANDS LÄN</t>
        </is>
      </c>
      <c r="E1087" t="inlineStr">
        <is>
          <t>ÅNGE</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34629-2025</t>
        </is>
      </c>
      <c r="B1088" s="1" t="n">
        <v>45847.93006944445</v>
      </c>
      <c r="C1088" s="1" t="n">
        <v>45926</v>
      </c>
      <c r="D1088" t="inlineStr">
        <is>
          <t>VÄSTERNORRLANDS LÄN</t>
        </is>
      </c>
      <c r="E1088" t="inlineStr">
        <is>
          <t>ÅNGE</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39975-2023</t>
        </is>
      </c>
      <c r="B1089" s="1" t="n">
        <v>45168.58844907407</v>
      </c>
      <c r="C1089" s="1" t="n">
        <v>45926</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39768-2025</t>
        </is>
      </c>
      <c r="B1090" s="1" t="n">
        <v>45891.44842592593</v>
      </c>
      <c r="C1090" s="1" t="n">
        <v>45926</v>
      </c>
      <c r="D1090" t="inlineStr">
        <is>
          <t>VÄSTERNORRLANDS LÄN</t>
        </is>
      </c>
      <c r="E1090" t="inlineStr">
        <is>
          <t>ÅNGE</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53970-2021</t>
        </is>
      </c>
      <c r="B1091" s="1" t="n">
        <v>44469</v>
      </c>
      <c r="C1091" s="1" t="n">
        <v>45926</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34785-2025</t>
        </is>
      </c>
      <c r="B1092" s="1" t="n">
        <v>45848.67771990741</v>
      </c>
      <c r="C1092" s="1" t="n">
        <v>45926</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13491-2023</t>
        </is>
      </c>
      <c r="B1093" s="1" t="n">
        <v>45005.93929398148</v>
      </c>
      <c r="C1093" s="1" t="n">
        <v>45926</v>
      </c>
      <c r="D1093" t="inlineStr">
        <is>
          <t>VÄSTERNORRLANDS LÄN</t>
        </is>
      </c>
      <c r="E1093" t="inlineStr">
        <is>
          <t>ÅNGE</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33062-2022</t>
        </is>
      </c>
      <c r="B1094" s="1" t="n">
        <v>44785</v>
      </c>
      <c r="C1094" s="1" t="n">
        <v>45926</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49711-2024</t>
        </is>
      </c>
      <c r="B1095" s="1" t="n">
        <v>45596.69891203703</v>
      </c>
      <c r="C1095" s="1" t="n">
        <v>45926</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30347-2024</t>
        </is>
      </c>
      <c r="B1096" s="1" t="n">
        <v>45490.95515046296</v>
      </c>
      <c r="C1096" s="1" t="n">
        <v>45926</v>
      </c>
      <c r="D1096" t="inlineStr">
        <is>
          <t>VÄSTERNORRLANDS LÄN</t>
        </is>
      </c>
      <c r="E1096" t="inlineStr">
        <is>
          <t>ÅNGE</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45926</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45128-2022</t>
        </is>
      </c>
      <c r="B1098" s="1" t="n">
        <v>44844.3146412037</v>
      </c>
      <c r="C1098" s="1" t="n">
        <v>45926</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42040-2024</t>
        </is>
      </c>
      <c r="B1099" s="1" t="n">
        <v>45561.80983796297</v>
      </c>
      <c r="C1099" s="1" t="n">
        <v>45926</v>
      </c>
      <c r="D1099" t="inlineStr">
        <is>
          <t>VÄSTERNORRLANDS LÄN</t>
        </is>
      </c>
      <c r="E1099" t="inlineStr">
        <is>
          <t>ÅNGE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1711-2025</t>
        </is>
      </c>
      <c r="B1100" s="1" t="n">
        <v>45671.31184027778</v>
      </c>
      <c r="C1100" s="1" t="n">
        <v>45926</v>
      </c>
      <c r="D1100" t="inlineStr">
        <is>
          <t>VÄSTERNORRLANDS LÄN</t>
        </is>
      </c>
      <c r="E1100" t="inlineStr">
        <is>
          <t>ÅNGE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1714-2025</t>
        </is>
      </c>
      <c r="B1101" s="1" t="n">
        <v>45671.32474537037</v>
      </c>
      <c r="C1101" s="1" t="n">
        <v>45926</v>
      </c>
      <c r="D1101" t="inlineStr">
        <is>
          <t>VÄSTERNORRLANDS LÄN</t>
        </is>
      </c>
      <c r="E1101" t="inlineStr">
        <is>
          <t>ÅNGE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52637-2020</t>
        </is>
      </c>
      <c r="B1102" s="1" t="n">
        <v>44118</v>
      </c>
      <c r="C1102" s="1" t="n">
        <v>45926</v>
      </c>
      <c r="D1102" t="inlineStr">
        <is>
          <t>VÄSTERNORRLANDS LÄN</t>
        </is>
      </c>
      <c r="E1102" t="inlineStr">
        <is>
          <t>ÅNGE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35143-2025</t>
        </is>
      </c>
      <c r="B1103" s="1" t="n">
        <v>45852.65660879629</v>
      </c>
      <c r="C1103" s="1" t="n">
        <v>45926</v>
      </c>
      <c r="D1103" t="inlineStr">
        <is>
          <t>VÄSTERNORRLANDS LÄN</t>
        </is>
      </c>
      <c r="E1103" t="inlineStr">
        <is>
          <t>ÅNGE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31866-2024</t>
        </is>
      </c>
      <c r="B1104" s="1" t="n">
        <v>45509</v>
      </c>
      <c r="C1104" s="1" t="n">
        <v>45926</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31867-2024</t>
        </is>
      </c>
      <c r="B1105" s="1" t="n">
        <v>45509</v>
      </c>
      <c r="C1105" s="1" t="n">
        <v>45926</v>
      </c>
      <c r="D1105" t="inlineStr">
        <is>
          <t>VÄSTERNORRLANDS LÄN</t>
        </is>
      </c>
      <c r="E1105" t="inlineStr">
        <is>
          <t>ÅNGE</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33428-2023</t>
        </is>
      </c>
      <c r="B1106" s="1" t="n">
        <v>45128.94976851852</v>
      </c>
      <c r="C1106" s="1" t="n">
        <v>45926</v>
      </c>
      <c r="D1106" t="inlineStr">
        <is>
          <t>VÄSTERNORRLANDS LÄN</t>
        </is>
      </c>
      <c r="E1106" t="inlineStr">
        <is>
          <t>ÅNGE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10557-2023</t>
        </is>
      </c>
      <c r="B1107" s="1" t="n">
        <v>44987</v>
      </c>
      <c r="C1107" s="1" t="n">
        <v>45926</v>
      </c>
      <c r="D1107" t="inlineStr">
        <is>
          <t>VÄSTERNORRLANDS LÄN</t>
        </is>
      </c>
      <c r="E1107" t="inlineStr">
        <is>
          <t>ÅNGE</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35061-2025</t>
        </is>
      </c>
      <c r="B1108" s="1" t="n">
        <v>45852</v>
      </c>
      <c r="C1108" s="1" t="n">
        <v>45926</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19926-2025</t>
        </is>
      </c>
      <c r="B1109" s="1" t="n">
        <v>45771.6357175926</v>
      </c>
      <c r="C1109" s="1" t="n">
        <v>45926</v>
      </c>
      <c r="D1109" t="inlineStr">
        <is>
          <t>VÄSTERNORRLANDS LÄN</t>
        </is>
      </c>
      <c r="E1109" t="inlineStr">
        <is>
          <t>ÅNGE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6610-2025</t>
        </is>
      </c>
      <c r="B1110" s="1" t="n">
        <v>45700</v>
      </c>
      <c r="C1110" s="1" t="n">
        <v>45926</v>
      </c>
      <c r="D1110" t="inlineStr">
        <is>
          <t>VÄSTERNORRLANDS LÄN</t>
        </is>
      </c>
      <c r="E1110" t="inlineStr">
        <is>
          <t>ÅNGE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5433-2024</t>
        </is>
      </c>
      <c r="B1111" s="1" t="n">
        <v>45331</v>
      </c>
      <c r="C1111" s="1" t="n">
        <v>45926</v>
      </c>
      <c r="D1111" t="inlineStr">
        <is>
          <t>VÄSTERNORRLANDS LÄN</t>
        </is>
      </c>
      <c r="E1111" t="inlineStr">
        <is>
          <t>ÅNGE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5456-2024</t>
        </is>
      </c>
      <c r="B1112" s="1" t="n">
        <v>45331</v>
      </c>
      <c r="C1112" s="1" t="n">
        <v>45926</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3357-2024</t>
        </is>
      </c>
      <c r="B1113" s="1" t="n">
        <v>45317</v>
      </c>
      <c r="C1113" s="1" t="n">
        <v>45926</v>
      </c>
      <c r="D1113" t="inlineStr">
        <is>
          <t>VÄSTERNORRLANDS LÄN</t>
        </is>
      </c>
      <c r="E1113" t="inlineStr">
        <is>
          <t>ÅNGE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4095-2023</t>
        </is>
      </c>
      <c r="B1114" s="1" t="n">
        <v>44952</v>
      </c>
      <c r="C1114" s="1" t="n">
        <v>45926</v>
      </c>
      <c r="D1114" t="inlineStr">
        <is>
          <t>VÄSTERNORRLANDS LÄN</t>
        </is>
      </c>
      <c r="E1114" t="inlineStr">
        <is>
          <t>ÅNGE</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22752-2023</t>
        </is>
      </c>
      <c r="B1115" s="1" t="n">
        <v>45071.94104166667</v>
      </c>
      <c r="C1115" s="1" t="n">
        <v>45926</v>
      </c>
      <c r="D1115" t="inlineStr">
        <is>
          <t>VÄSTERNORRLANDS LÄN</t>
        </is>
      </c>
      <c r="E1115" t="inlineStr">
        <is>
          <t>ÅNGE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58997-2023</t>
        </is>
      </c>
      <c r="B1116" s="1" t="n">
        <v>45252.6352662037</v>
      </c>
      <c r="C1116" s="1" t="n">
        <v>45926</v>
      </c>
      <c r="D1116" t="inlineStr">
        <is>
          <t>VÄSTERNORRLANDS LÄN</t>
        </is>
      </c>
      <c r="E1116" t="inlineStr">
        <is>
          <t>ÅNGE</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11032-2025</t>
        </is>
      </c>
      <c r="B1117" s="1" t="n">
        <v>45723.47601851852</v>
      </c>
      <c r="C1117" s="1" t="n">
        <v>45926</v>
      </c>
      <c r="D1117" t="inlineStr">
        <is>
          <t>VÄSTERNORRLANDS LÄN</t>
        </is>
      </c>
      <c r="E1117" t="inlineStr">
        <is>
          <t>ÅNGE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44639-2023</t>
        </is>
      </c>
      <c r="B1118" s="1" t="n">
        <v>45184</v>
      </c>
      <c r="C1118" s="1" t="n">
        <v>45926</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43552-2023</t>
        </is>
      </c>
      <c r="B1119" s="1" t="n">
        <v>45181</v>
      </c>
      <c r="C1119" s="1" t="n">
        <v>45926</v>
      </c>
      <c r="D1119" t="inlineStr">
        <is>
          <t>VÄSTERNORRLANDS LÄN</t>
        </is>
      </c>
      <c r="E1119" t="inlineStr">
        <is>
          <t>ÅNGE</t>
        </is>
      </c>
      <c r="F1119" t="inlineStr">
        <is>
          <t>SCA</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1735-2025</t>
        </is>
      </c>
      <c r="B1120" s="1" t="n">
        <v>45671.38594907407</v>
      </c>
      <c r="C1120" s="1" t="n">
        <v>45926</v>
      </c>
      <c r="D1120" t="inlineStr">
        <is>
          <t>VÄSTERNORRLANDS LÄN</t>
        </is>
      </c>
      <c r="E1120" t="inlineStr">
        <is>
          <t>ÅNGE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40665-2025</t>
        </is>
      </c>
      <c r="B1121" s="1" t="n">
        <v>45896.65663194445</v>
      </c>
      <c r="C1121" s="1" t="n">
        <v>45926</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60779-2024</t>
        </is>
      </c>
      <c r="B1122" s="1" t="n">
        <v>45644</v>
      </c>
      <c r="C1122" s="1" t="n">
        <v>45926</v>
      </c>
      <c r="D1122" t="inlineStr">
        <is>
          <t>VÄSTERNORRLANDS LÄN</t>
        </is>
      </c>
      <c r="E1122" t="inlineStr">
        <is>
          <t>ÅNGE</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35432-2025</t>
        </is>
      </c>
      <c r="B1123" s="1" t="n">
        <v>45855.44831018519</v>
      </c>
      <c r="C1123" s="1" t="n">
        <v>45926</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40818-2025</t>
        </is>
      </c>
      <c r="B1124" s="1" t="n">
        <v>45897.48881944444</v>
      </c>
      <c r="C1124" s="1" t="n">
        <v>45926</v>
      </c>
      <c r="D1124" t="inlineStr">
        <is>
          <t>VÄSTERNORRLANDS LÄN</t>
        </is>
      </c>
      <c r="E1124" t="inlineStr">
        <is>
          <t>ÅNGE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23018-2021</t>
        </is>
      </c>
      <c r="B1125" s="1" t="n">
        <v>44328</v>
      </c>
      <c r="C1125" s="1" t="n">
        <v>45926</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50651-2021</t>
        </is>
      </c>
      <c r="B1126" s="1" t="n">
        <v>44459</v>
      </c>
      <c r="C1126" s="1" t="n">
        <v>45926</v>
      </c>
      <c r="D1126" t="inlineStr">
        <is>
          <t>VÄSTERNORRLANDS LÄN</t>
        </is>
      </c>
      <c r="E1126" t="inlineStr">
        <is>
          <t>ÅNGE</t>
        </is>
      </c>
      <c r="G1126" t="n">
        <v>20.6</v>
      </c>
      <c r="H1126" t="n">
        <v>0</v>
      </c>
      <c r="I1126" t="n">
        <v>0</v>
      </c>
      <c r="J1126" t="n">
        <v>0</v>
      </c>
      <c r="K1126" t="n">
        <v>0</v>
      </c>
      <c r="L1126" t="n">
        <v>0</v>
      </c>
      <c r="M1126" t="n">
        <v>0</v>
      </c>
      <c r="N1126" t="n">
        <v>0</v>
      </c>
      <c r="O1126" t="n">
        <v>0</v>
      </c>
      <c r="P1126" t="n">
        <v>0</v>
      </c>
      <c r="Q1126" t="n">
        <v>0</v>
      </c>
      <c r="R1126" s="2" t="inlineStr"/>
    </row>
    <row r="1127" ht="15" customHeight="1">
      <c r="A1127" t="inlineStr">
        <is>
          <t>A 40830-2025</t>
        </is>
      </c>
      <c r="B1127" s="1" t="n">
        <v>45897.51079861111</v>
      </c>
      <c r="C1127" s="1" t="n">
        <v>45926</v>
      </c>
      <c r="D1127" t="inlineStr">
        <is>
          <t>VÄSTERNORRLANDS LÄN</t>
        </is>
      </c>
      <c r="E1127" t="inlineStr">
        <is>
          <t>ÅNGE</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40898-2025</t>
        </is>
      </c>
      <c r="B1128" s="1" t="n">
        <v>45897.61503472222</v>
      </c>
      <c r="C1128" s="1" t="n">
        <v>45926</v>
      </c>
      <c r="D1128" t="inlineStr">
        <is>
          <t>VÄSTERNORRLANDS LÄN</t>
        </is>
      </c>
      <c r="E1128" t="inlineStr">
        <is>
          <t>ÅNGE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40899-2025</t>
        </is>
      </c>
      <c r="B1129" s="1" t="n">
        <v>45897.61528935185</v>
      </c>
      <c r="C1129" s="1" t="n">
        <v>45926</v>
      </c>
      <c r="D1129" t="inlineStr">
        <is>
          <t>VÄSTERNORRLANDS LÄN</t>
        </is>
      </c>
      <c r="E1129" t="inlineStr">
        <is>
          <t>ÅNGE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40872-2025</t>
        </is>
      </c>
      <c r="B1130" s="1" t="n">
        <v>45897.574375</v>
      </c>
      <c r="C1130" s="1" t="n">
        <v>45926</v>
      </c>
      <c r="D1130" t="inlineStr">
        <is>
          <t>VÄSTERNORRLANDS LÄN</t>
        </is>
      </c>
      <c r="E1130" t="inlineStr">
        <is>
          <t>ÅNGE</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60003-2023</t>
        </is>
      </c>
      <c r="B1131" s="1" t="n">
        <v>45257</v>
      </c>
      <c r="C1131" s="1" t="n">
        <v>45926</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44957.94023148148</v>
      </c>
      <c r="C1132" s="1" t="n">
        <v>45926</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55751-2024</t>
        </is>
      </c>
      <c r="B1133" s="1" t="n">
        <v>45623.34409722222</v>
      </c>
      <c r="C1133" s="1" t="n">
        <v>45926</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50231-2024</t>
        </is>
      </c>
      <c r="B1134" s="1" t="n">
        <v>45600.55251157407</v>
      </c>
      <c r="C1134" s="1" t="n">
        <v>45926</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35497-2025</t>
        </is>
      </c>
      <c r="B1135" s="1" t="n">
        <v>45856.29752314815</v>
      </c>
      <c r="C1135" s="1" t="n">
        <v>45926</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57591-2022</t>
        </is>
      </c>
      <c r="B1136" s="1" t="n">
        <v>44896.97834490741</v>
      </c>
      <c r="C1136" s="1" t="n">
        <v>45926</v>
      </c>
      <c r="D1136" t="inlineStr">
        <is>
          <t>VÄSTERNORRLANDS LÄN</t>
        </is>
      </c>
      <c r="E1136" t="inlineStr">
        <is>
          <t>ÅNGE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25034-2023</t>
        </is>
      </c>
      <c r="B1137" s="1" t="n">
        <v>45085</v>
      </c>
      <c r="C1137" s="1" t="n">
        <v>45926</v>
      </c>
      <c r="D1137" t="inlineStr">
        <is>
          <t>VÄSTERNORRLANDS LÄN</t>
        </is>
      </c>
      <c r="E1137" t="inlineStr">
        <is>
          <t>ÅNGE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13875-2022</t>
        </is>
      </c>
      <c r="B1138" s="1" t="n">
        <v>44649</v>
      </c>
      <c r="C1138" s="1" t="n">
        <v>45926</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35577-2025</t>
        </is>
      </c>
      <c r="B1139" s="1" t="n">
        <v>45856.67762731481</v>
      </c>
      <c r="C1139" s="1" t="n">
        <v>45926</v>
      </c>
      <c r="D1139" t="inlineStr">
        <is>
          <t>VÄSTERNORRLANDS LÄN</t>
        </is>
      </c>
      <c r="E1139" t="inlineStr">
        <is>
          <t>ÅNGE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41179-2025</t>
        </is>
      </c>
      <c r="B1140" s="1" t="n">
        <v>45898.55277777778</v>
      </c>
      <c r="C1140" s="1" t="n">
        <v>45926</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60205-2023</t>
        </is>
      </c>
      <c r="B1141" s="1" t="n">
        <v>45257</v>
      </c>
      <c r="C1141" s="1" t="n">
        <v>45926</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9605-2025</t>
        </is>
      </c>
      <c r="B1142" s="1" t="n">
        <v>45715.65657407408</v>
      </c>
      <c r="C1142" s="1" t="n">
        <v>45926</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15287-2025</t>
        </is>
      </c>
      <c r="B1143" s="1" t="n">
        <v>45745</v>
      </c>
      <c r="C1143" s="1" t="n">
        <v>45926</v>
      </c>
      <c r="D1143" t="inlineStr">
        <is>
          <t>VÄSTERNORRLANDS LÄN</t>
        </is>
      </c>
      <c r="E1143" t="inlineStr">
        <is>
          <t>ÅNGE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35548-2025</t>
        </is>
      </c>
      <c r="B1144" s="1" t="n">
        <v>45856.48995370371</v>
      </c>
      <c r="C1144" s="1" t="n">
        <v>45926</v>
      </c>
      <c r="D1144" t="inlineStr">
        <is>
          <t>VÄSTERNORRLANDS LÄN</t>
        </is>
      </c>
      <c r="E1144" t="inlineStr">
        <is>
          <t>ÅNGE</t>
        </is>
      </c>
      <c r="F1144" t="inlineStr">
        <is>
          <t>SCA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35575-2025</t>
        </is>
      </c>
      <c r="B1145" s="1" t="n">
        <v>45856.63591435185</v>
      </c>
      <c r="C1145" s="1" t="n">
        <v>45926</v>
      </c>
      <c r="D1145" t="inlineStr">
        <is>
          <t>VÄSTERNORRLANDS LÄN</t>
        </is>
      </c>
      <c r="E1145" t="inlineStr">
        <is>
          <t>ÅNGE</t>
        </is>
      </c>
      <c r="F1145" t="inlineStr">
        <is>
          <t>SCA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35578-2025</t>
        </is>
      </c>
      <c r="B1146" s="1" t="n">
        <v>45856.67797453704</v>
      </c>
      <c r="C1146" s="1" t="n">
        <v>45926</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41355-2025</t>
        </is>
      </c>
      <c r="B1147" s="1" t="n">
        <v>45900.34425925926</v>
      </c>
      <c r="C1147" s="1" t="n">
        <v>45926</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16563-2025</t>
        </is>
      </c>
      <c r="B1148" s="1" t="n">
        <v>45752.34430555555</v>
      </c>
      <c r="C1148" s="1" t="n">
        <v>45926</v>
      </c>
      <c r="D1148" t="inlineStr">
        <is>
          <t>VÄSTERNORRLANDS LÄN</t>
        </is>
      </c>
      <c r="E1148" t="inlineStr">
        <is>
          <t>ÅNGE</t>
        </is>
      </c>
      <c r="F1148" t="inlineStr">
        <is>
          <t>SCA</t>
        </is>
      </c>
      <c r="G1148" t="n">
        <v>24.7</v>
      </c>
      <c r="H1148" t="n">
        <v>0</v>
      </c>
      <c r="I1148" t="n">
        <v>0</v>
      </c>
      <c r="J1148" t="n">
        <v>0</v>
      </c>
      <c r="K1148" t="n">
        <v>0</v>
      </c>
      <c r="L1148" t="n">
        <v>0</v>
      </c>
      <c r="M1148" t="n">
        <v>0</v>
      </c>
      <c r="N1148" t="n">
        <v>0</v>
      </c>
      <c r="O1148" t="n">
        <v>0</v>
      </c>
      <c r="P1148" t="n">
        <v>0</v>
      </c>
      <c r="Q1148" t="n">
        <v>0</v>
      </c>
      <c r="R1148" s="2" t="inlineStr"/>
    </row>
    <row r="1149" ht="15" customHeight="1">
      <c r="A1149" t="inlineStr">
        <is>
          <t>A 42881-2024</t>
        </is>
      </c>
      <c r="B1149" s="1" t="n">
        <v>45566.70916666667</v>
      </c>
      <c r="C1149" s="1" t="n">
        <v>45926</v>
      </c>
      <c r="D1149" t="inlineStr">
        <is>
          <t>VÄSTERNORRLANDS LÄN</t>
        </is>
      </c>
      <c r="E1149" t="inlineStr">
        <is>
          <t>ÅNGE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4186-2025</t>
        </is>
      </c>
      <c r="B1150" s="1" t="n">
        <v>45685.44827546296</v>
      </c>
      <c r="C1150" s="1" t="n">
        <v>45926</v>
      </c>
      <c r="D1150" t="inlineStr">
        <is>
          <t>VÄSTERNORRLANDS LÄN</t>
        </is>
      </c>
      <c r="E1150" t="inlineStr">
        <is>
          <t>ÅNGE</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54316-2024</t>
        </is>
      </c>
      <c r="B1151" s="1" t="n">
        <v>45617.34443287037</v>
      </c>
      <c r="C1151" s="1" t="n">
        <v>45926</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17718-2025</t>
        </is>
      </c>
      <c r="B1152" s="1" t="n">
        <v>45758.44815972223</v>
      </c>
      <c r="C1152" s="1" t="n">
        <v>45926</v>
      </c>
      <c r="D1152" t="inlineStr">
        <is>
          <t>VÄSTERNORRLANDS LÄN</t>
        </is>
      </c>
      <c r="E1152" t="inlineStr">
        <is>
          <t>ÅNGE</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35503-2025</t>
        </is>
      </c>
      <c r="B1153" s="1" t="n">
        <v>45856</v>
      </c>
      <c r="C1153" s="1" t="n">
        <v>45926</v>
      </c>
      <c r="D1153" t="inlineStr">
        <is>
          <t>VÄSTERNORRLANDS LÄN</t>
        </is>
      </c>
      <c r="E1153" t="inlineStr">
        <is>
          <t>ÅNGE</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35540-2025</t>
        </is>
      </c>
      <c r="B1154" s="1" t="n">
        <v>45856.46912037037</v>
      </c>
      <c r="C1154" s="1" t="n">
        <v>45926</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8650-2024</t>
        </is>
      </c>
      <c r="B1155" s="1" t="n">
        <v>45356</v>
      </c>
      <c r="C1155" s="1" t="n">
        <v>45926</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39991-2023</t>
        </is>
      </c>
      <c r="B1156" s="1" t="n">
        <v>45168.6043287037</v>
      </c>
      <c r="C1156" s="1" t="n">
        <v>45926</v>
      </c>
      <c r="D1156" t="inlineStr">
        <is>
          <t>VÄSTERNORRLANDS LÄN</t>
        </is>
      </c>
      <c r="E1156" t="inlineStr">
        <is>
          <t>ÅNGE</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35838-2025</t>
        </is>
      </c>
      <c r="B1157" s="1" t="n">
        <v>45861.53829861111</v>
      </c>
      <c r="C1157" s="1" t="n">
        <v>45926</v>
      </c>
      <c r="D1157" t="inlineStr">
        <is>
          <t>VÄSTERNORRLANDS LÄN</t>
        </is>
      </c>
      <c r="E1157" t="inlineStr">
        <is>
          <t>ÅNGE</t>
        </is>
      </c>
      <c r="F1157" t="inlineStr">
        <is>
          <t>Sveaskog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1775-2023</t>
        </is>
      </c>
      <c r="B1158" s="1" t="n">
        <v>44938</v>
      </c>
      <c r="C1158" s="1" t="n">
        <v>45926</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45631-2021</t>
        </is>
      </c>
      <c r="B1159" s="1" t="n">
        <v>44440.98045138889</v>
      </c>
      <c r="C1159" s="1" t="n">
        <v>45926</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30683-2024</t>
        </is>
      </c>
      <c r="B1160" s="1" t="n">
        <v>45495</v>
      </c>
      <c r="C1160" s="1" t="n">
        <v>45926</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31182-2024</t>
        </is>
      </c>
      <c r="B1161" s="1" t="n">
        <v>45503</v>
      </c>
      <c r="C1161" s="1" t="n">
        <v>45926</v>
      </c>
      <c r="D1161" t="inlineStr">
        <is>
          <t>VÄSTERNORRLANDS LÄN</t>
        </is>
      </c>
      <c r="E1161" t="inlineStr">
        <is>
          <t>ÅNGE</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35781-2025</t>
        </is>
      </c>
      <c r="B1162" s="1" t="n">
        <v>45860.70613425926</v>
      </c>
      <c r="C1162" s="1" t="n">
        <v>45926</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41872-2025</t>
        </is>
      </c>
      <c r="B1163" s="1" t="n">
        <v>45903.34497685185</v>
      </c>
      <c r="C1163" s="1" t="n">
        <v>45926</v>
      </c>
      <c r="D1163" t="inlineStr">
        <is>
          <t>VÄSTERNORRLANDS LÄN</t>
        </is>
      </c>
      <c r="E1163" t="inlineStr">
        <is>
          <t>ÅNGE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10878-2024</t>
        </is>
      </c>
      <c r="B1164" s="1" t="n">
        <v>45370</v>
      </c>
      <c r="C1164" s="1" t="n">
        <v>45926</v>
      </c>
      <c r="D1164" t="inlineStr">
        <is>
          <t>VÄSTERNORRLANDS LÄN</t>
        </is>
      </c>
      <c r="E1164" t="inlineStr">
        <is>
          <t>ÅNGE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56956-2022</t>
        </is>
      </c>
      <c r="B1165" s="1" t="n">
        <v>44894</v>
      </c>
      <c r="C1165" s="1" t="n">
        <v>45926</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35826-2025</t>
        </is>
      </c>
      <c r="B1166" s="1" t="n">
        <v>45861.48997685185</v>
      </c>
      <c r="C1166" s="1" t="n">
        <v>45926</v>
      </c>
      <c r="D1166" t="inlineStr">
        <is>
          <t>VÄSTERNORRLANDS LÄN</t>
        </is>
      </c>
      <c r="E1166" t="inlineStr">
        <is>
          <t>ÅNGE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4006-2022</t>
        </is>
      </c>
      <c r="B1167" s="1" t="n">
        <v>44587.92019675926</v>
      </c>
      <c r="C1167" s="1" t="n">
        <v>45926</v>
      </c>
      <c r="D1167" t="inlineStr">
        <is>
          <t>VÄSTERNORRLANDS LÄN</t>
        </is>
      </c>
      <c r="E1167" t="inlineStr">
        <is>
          <t>ÅNGE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61781-2023</t>
        </is>
      </c>
      <c r="B1168" s="1" t="n">
        <v>45265.95708333333</v>
      </c>
      <c r="C1168" s="1" t="n">
        <v>45926</v>
      </c>
      <c r="D1168" t="inlineStr">
        <is>
          <t>VÄSTERNORRLANDS LÄN</t>
        </is>
      </c>
      <c r="E1168" t="inlineStr">
        <is>
          <t>ÅNGE</t>
        </is>
      </c>
      <c r="F1168" t="inlineStr">
        <is>
          <t>SCA</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41870-2025</t>
        </is>
      </c>
      <c r="B1169" s="1" t="n">
        <v>45903.3446412037</v>
      </c>
      <c r="C1169" s="1" t="n">
        <v>45926</v>
      </c>
      <c r="D1169" t="inlineStr">
        <is>
          <t>VÄSTERNORRLANDS LÄN</t>
        </is>
      </c>
      <c r="E1169" t="inlineStr">
        <is>
          <t>ÅNGE</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35827-2025</t>
        </is>
      </c>
      <c r="B1170" s="1" t="n">
        <v>45861.49017361111</v>
      </c>
      <c r="C1170" s="1" t="n">
        <v>45926</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35690-2025</t>
        </is>
      </c>
      <c r="B1171" s="1" t="n">
        <v>45860.34421296296</v>
      </c>
      <c r="C1171" s="1" t="n">
        <v>45926</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17744-2025</t>
        </is>
      </c>
      <c r="B1172" s="1" t="n">
        <v>45758</v>
      </c>
      <c r="C1172" s="1" t="n">
        <v>45926</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35766-2025</t>
        </is>
      </c>
      <c r="B1173" s="1" t="n">
        <v>45860.63077546296</v>
      </c>
      <c r="C1173" s="1" t="n">
        <v>45926</v>
      </c>
      <c r="D1173" t="inlineStr">
        <is>
          <t>VÄSTERNORRLANDS LÄN</t>
        </is>
      </c>
      <c r="E1173" t="inlineStr">
        <is>
          <t>ÅNGE</t>
        </is>
      </c>
      <c r="G1173" t="n">
        <v>10.7</v>
      </c>
      <c r="H1173" t="n">
        <v>0</v>
      </c>
      <c r="I1173" t="n">
        <v>0</v>
      </c>
      <c r="J1173" t="n">
        <v>0</v>
      </c>
      <c r="K1173" t="n">
        <v>0</v>
      </c>
      <c r="L1173" t="n">
        <v>0</v>
      </c>
      <c r="M1173" t="n">
        <v>0</v>
      </c>
      <c r="N1173" t="n">
        <v>0</v>
      </c>
      <c r="O1173" t="n">
        <v>0</v>
      </c>
      <c r="P1173" t="n">
        <v>0</v>
      </c>
      <c r="Q1173" t="n">
        <v>0</v>
      </c>
      <c r="R1173" s="2" t="inlineStr"/>
    </row>
    <row r="1174" ht="15" customHeight="1">
      <c r="A1174" t="inlineStr">
        <is>
          <t>A 33783-2024</t>
        </is>
      </c>
      <c r="B1174" s="1" t="n">
        <v>45520</v>
      </c>
      <c r="C1174" s="1" t="n">
        <v>45926</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63170-2023</t>
        </is>
      </c>
      <c r="B1175" s="1" t="n">
        <v>45273.57087962963</v>
      </c>
      <c r="C1175" s="1" t="n">
        <v>45926</v>
      </c>
      <c r="D1175" t="inlineStr">
        <is>
          <t>VÄSTERNORRLANDS LÄN</t>
        </is>
      </c>
      <c r="E1175" t="inlineStr">
        <is>
          <t>ÅNGE</t>
        </is>
      </c>
      <c r="F1175" t="inlineStr">
        <is>
          <t>Holmen skog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51059-2024</t>
        </is>
      </c>
      <c r="B1176" s="1" t="n">
        <v>45603</v>
      </c>
      <c r="C1176" s="1" t="n">
        <v>45926</v>
      </c>
      <c r="D1176" t="inlineStr">
        <is>
          <t>VÄSTERNORRLANDS LÄN</t>
        </is>
      </c>
      <c r="E1176" t="inlineStr">
        <is>
          <t>ÅNGE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42589-2025</t>
        </is>
      </c>
      <c r="B1177" s="1" t="n">
        <v>45905.63585648148</v>
      </c>
      <c r="C1177" s="1" t="n">
        <v>45926</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47792-2022</t>
        </is>
      </c>
      <c r="B1178" s="1" t="n">
        <v>44854.95238425926</v>
      </c>
      <c r="C1178" s="1" t="n">
        <v>45926</v>
      </c>
      <c r="D1178" t="inlineStr">
        <is>
          <t>VÄSTERNORRLANDS LÄN</t>
        </is>
      </c>
      <c r="E1178" t="inlineStr">
        <is>
          <t>ÅNGE</t>
        </is>
      </c>
      <c r="F1178" t="inlineStr">
        <is>
          <t>SCA</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27321-2024</t>
        </is>
      </c>
      <c r="B1179" s="1" t="n">
        <v>45471</v>
      </c>
      <c r="C1179" s="1" t="n">
        <v>45926</v>
      </c>
      <c r="D1179" t="inlineStr">
        <is>
          <t>VÄSTERNORRLANDS LÄN</t>
        </is>
      </c>
      <c r="E1179" t="inlineStr">
        <is>
          <t>ÅNGE</t>
        </is>
      </c>
      <c r="F1179" t="inlineStr">
        <is>
          <t>SCA</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1975-2025</t>
        </is>
      </c>
      <c r="B1180" s="1" t="n">
        <v>45672.39332175926</v>
      </c>
      <c r="C1180" s="1" t="n">
        <v>45926</v>
      </c>
      <c r="D1180" t="inlineStr">
        <is>
          <t>VÄSTERNORRLANDS LÄN</t>
        </is>
      </c>
      <c r="E1180" t="inlineStr">
        <is>
          <t>ÅNGE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15404-2025</t>
        </is>
      </c>
      <c r="B1181" s="1" t="n">
        <v>45747.44665509259</v>
      </c>
      <c r="C1181" s="1" t="n">
        <v>45926</v>
      </c>
      <c r="D1181" t="inlineStr">
        <is>
          <t>VÄSTERNORRLANDS LÄN</t>
        </is>
      </c>
      <c r="E1181" t="inlineStr">
        <is>
          <t>ÅNGE</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42524-2025</t>
        </is>
      </c>
      <c r="B1182" s="1" t="n">
        <v>45905.55262731481</v>
      </c>
      <c r="C1182" s="1" t="n">
        <v>45926</v>
      </c>
      <c r="D1182" t="inlineStr">
        <is>
          <t>VÄSTERNORRLANDS LÄN</t>
        </is>
      </c>
      <c r="E1182" t="inlineStr">
        <is>
          <t>ÅNGE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38099-2024</t>
        </is>
      </c>
      <c r="B1183" s="1" t="n">
        <v>45545.35920138889</v>
      </c>
      <c r="C1183" s="1" t="n">
        <v>45926</v>
      </c>
      <c r="D1183" t="inlineStr">
        <is>
          <t>VÄSTERNORRLANDS LÄN</t>
        </is>
      </c>
      <c r="E1183" t="inlineStr">
        <is>
          <t>ÅNGE</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29667-2024</t>
        </is>
      </c>
      <c r="B1184" s="1" t="n">
        <v>45484.94041666666</v>
      </c>
      <c r="C1184" s="1" t="n">
        <v>45926</v>
      </c>
      <c r="D1184" t="inlineStr">
        <is>
          <t>VÄSTERNORRLANDS LÄN</t>
        </is>
      </c>
      <c r="E1184" t="inlineStr">
        <is>
          <t>ÅNGE</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8418-2023</t>
        </is>
      </c>
      <c r="B1185" s="1" t="n">
        <v>44971</v>
      </c>
      <c r="C1185" s="1" t="n">
        <v>45926</v>
      </c>
      <c r="D1185" t="inlineStr">
        <is>
          <t>VÄSTERNORRLANDS LÄN</t>
        </is>
      </c>
      <c r="E1185" t="inlineStr">
        <is>
          <t>ÅNGE</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36237-2025</t>
        </is>
      </c>
      <c r="B1186" s="1" t="n">
        <v>45867.55263888889</v>
      </c>
      <c r="C1186" s="1" t="n">
        <v>45926</v>
      </c>
      <c r="D1186" t="inlineStr">
        <is>
          <t>VÄSTERNORRLANDS LÄN</t>
        </is>
      </c>
      <c r="E1186" t="inlineStr">
        <is>
          <t>ÅNGE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36240-2025</t>
        </is>
      </c>
      <c r="B1187" s="1" t="n">
        <v>45867.55298611111</v>
      </c>
      <c r="C1187" s="1" t="n">
        <v>45926</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36210-2025</t>
        </is>
      </c>
      <c r="B1188" s="1" t="n">
        <v>45867.46930555555</v>
      </c>
      <c r="C1188" s="1" t="n">
        <v>45926</v>
      </c>
      <c r="D1188" t="inlineStr">
        <is>
          <t>VÄSTERNORRLANDS LÄN</t>
        </is>
      </c>
      <c r="E1188" t="inlineStr">
        <is>
          <t>ÅNGE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42730-2025</t>
        </is>
      </c>
      <c r="B1189" s="1" t="n">
        <v>45908.40666666667</v>
      </c>
      <c r="C1189" s="1" t="n">
        <v>45926</v>
      </c>
      <c r="D1189" t="inlineStr">
        <is>
          <t>VÄSTERNORRLANDS LÄN</t>
        </is>
      </c>
      <c r="E1189" t="inlineStr">
        <is>
          <t>ÅNGE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20024-2023</t>
        </is>
      </c>
      <c r="B1190" s="1" t="n">
        <v>45051</v>
      </c>
      <c r="C1190" s="1" t="n">
        <v>45926</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43091-2025</t>
        </is>
      </c>
      <c r="B1191" s="1" t="n">
        <v>45909.62511574074</v>
      </c>
      <c r="C1191" s="1" t="n">
        <v>45926</v>
      </c>
      <c r="D1191" t="inlineStr">
        <is>
          <t>VÄSTERNORRLANDS LÄN</t>
        </is>
      </c>
      <c r="E1191" t="inlineStr">
        <is>
          <t>ÅNGE</t>
        </is>
      </c>
      <c r="F1191" t="inlineStr">
        <is>
          <t>Kyrkan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42715-2025</t>
        </is>
      </c>
      <c r="B1192" s="1" t="n">
        <v>45908.3858912037</v>
      </c>
      <c r="C1192" s="1" t="n">
        <v>45926</v>
      </c>
      <c r="D1192" t="inlineStr">
        <is>
          <t>VÄSTERNORRLANDS LÄN</t>
        </is>
      </c>
      <c r="E1192" t="inlineStr">
        <is>
          <t>ÅNGE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42731-2025</t>
        </is>
      </c>
      <c r="B1193" s="1" t="n">
        <v>45908.40686342592</v>
      </c>
      <c r="C1193" s="1" t="n">
        <v>45926</v>
      </c>
      <c r="D1193" t="inlineStr">
        <is>
          <t>VÄSTERNORRLANDS LÄN</t>
        </is>
      </c>
      <c r="E1193" t="inlineStr">
        <is>
          <t>ÅNGE</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36236-2025</t>
        </is>
      </c>
      <c r="B1194" s="1" t="n">
        <v>45867.55245370371</v>
      </c>
      <c r="C1194" s="1" t="n">
        <v>45926</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54982-2023</t>
        </is>
      </c>
      <c r="B1195" s="1" t="n">
        <v>45236</v>
      </c>
      <c r="C1195" s="1" t="n">
        <v>45926</v>
      </c>
      <c r="D1195" t="inlineStr">
        <is>
          <t>VÄSTERNORRLANDS LÄN</t>
        </is>
      </c>
      <c r="E1195" t="inlineStr">
        <is>
          <t>ÅNGE</t>
        </is>
      </c>
      <c r="F1195" t="inlineStr">
        <is>
          <t>SCA</t>
        </is>
      </c>
      <c r="G1195" t="n">
        <v>26.2</v>
      </c>
      <c r="H1195" t="n">
        <v>0</v>
      </c>
      <c r="I1195" t="n">
        <v>0</v>
      </c>
      <c r="J1195" t="n">
        <v>0</v>
      </c>
      <c r="K1195" t="n">
        <v>0</v>
      </c>
      <c r="L1195" t="n">
        <v>0</v>
      </c>
      <c r="M1195" t="n">
        <v>0</v>
      </c>
      <c r="N1195" t="n">
        <v>0</v>
      </c>
      <c r="O1195" t="n">
        <v>0</v>
      </c>
      <c r="P1195" t="n">
        <v>0</v>
      </c>
      <c r="Q1195" t="n">
        <v>0</v>
      </c>
      <c r="R1195" s="2" t="inlineStr"/>
    </row>
    <row r="1196" ht="15" customHeight="1">
      <c r="A1196" t="inlineStr">
        <is>
          <t>A 42785-2025</t>
        </is>
      </c>
      <c r="B1196" s="1" t="n">
        <v>45908.51083333333</v>
      </c>
      <c r="C1196" s="1" t="n">
        <v>45926</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43077-2025</t>
        </is>
      </c>
      <c r="B1197" s="1" t="n">
        <v>45909.6046412037</v>
      </c>
      <c r="C1197" s="1" t="n">
        <v>45926</v>
      </c>
      <c r="D1197" t="inlineStr">
        <is>
          <t>VÄSTERNORRLANDS LÄN</t>
        </is>
      </c>
      <c r="E1197" t="inlineStr">
        <is>
          <t>ÅNGE</t>
        </is>
      </c>
      <c r="F1197" t="inlineStr">
        <is>
          <t>Kyrkan</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42889-2025</t>
        </is>
      </c>
      <c r="B1198" s="1" t="n">
        <v>45908.65546296296</v>
      </c>
      <c r="C1198" s="1" t="n">
        <v>45926</v>
      </c>
      <c r="D1198" t="inlineStr">
        <is>
          <t>VÄSTERNORRLANDS LÄN</t>
        </is>
      </c>
      <c r="E1198" t="inlineStr">
        <is>
          <t>ÅNGE</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42764-2025</t>
        </is>
      </c>
      <c r="B1199" s="1" t="n">
        <v>45908.46943287037</v>
      </c>
      <c r="C1199" s="1" t="n">
        <v>45926</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42880-2025</t>
        </is>
      </c>
      <c r="B1200" s="1" t="n">
        <v>45908.63599537037</v>
      </c>
      <c r="C1200" s="1" t="n">
        <v>45926</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36248-2025</t>
        </is>
      </c>
      <c r="B1201" s="1" t="n">
        <v>45867.57326388889</v>
      </c>
      <c r="C1201" s="1" t="n">
        <v>45926</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42786-2025</t>
        </is>
      </c>
      <c r="B1202" s="1" t="n">
        <v>45908.51097222222</v>
      </c>
      <c r="C1202" s="1" t="n">
        <v>45926</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45939-2023</t>
        </is>
      </c>
      <c r="B1203" s="1" t="n">
        <v>45195.94578703704</v>
      </c>
      <c r="C1203" s="1" t="n">
        <v>45926</v>
      </c>
      <c r="D1203" t="inlineStr">
        <is>
          <t>VÄSTERNORRLANDS LÄN</t>
        </is>
      </c>
      <c r="E1203" t="inlineStr">
        <is>
          <t>ÅNGE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36193-2025</t>
        </is>
      </c>
      <c r="B1204" s="1" t="n">
        <v>45867.42741898148</v>
      </c>
      <c r="C1204" s="1" t="n">
        <v>45926</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42863-2025</t>
        </is>
      </c>
      <c r="B1205" s="1" t="n">
        <v>45908.61527777778</v>
      </c>
      <c r="C1205" s="1" t="n">
        <v>45926</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36205-2025</t>
        </is>
      </c>
      <c r="B1206" s="1" t="n">
        <v>45867.44855324074</v>
      </c>
      <c r="C1206" s="1" t="n">
        <v>45926</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51311-2022</t>
        </is>
      </c>
      <c r="B1207" s="1" t="n">
        <v>44868</v>
      </c>
      <c r="C1207" s="1" t="n">
        <v>45926</v>
      </c>
      <c r="D1207" t="inlineStr">
        <is>
          <t>VÄSTERNORRLANDS LÄN</t>
        </is>
      </c>
      <c r="E1207" t="inlineStr">
        <is>
          <t>ÅNGE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36491-2025</t>
        </is>
      </c>
      <c r="B1208" s="1" t="n">
        <v>45869.53173611111</v>
      </c>
      <c r="C1208" s="1" t="n">
        <v>45926</v>
      </c>
      <c r="D1208" t="inlineStr">
        <is>
          <t>VÄSTERNORRLANDS LÄN</t>
        </is>
      </c>
      <c r="E1208" t="inlineStr">
        <is>
          <t>ÅNGE</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1403-2025</t>
        </is>
      </c>
      <c r="B1209" s="1" t="n">
        <v>45667.70548611111</v>
      </c>
      <c r="C1209" s="1" t="n">
        <v>45926</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43415-2025</t>
        </is>
      </c>
      <c r="B1210" s="1" t="n">
        <v>45911.40662037037</v>
      </c>
      <c r="C1210" s="1" t="n">
        <v>45926</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63216-2023</t>
        </is>
      </c>
      <c r="B1211" s="1" t="n">
        <v>45273.62721064815</v>
      </c>
      <c r="C1211" s="1" t="n">
        <v>45926</v>
      </c>
      <c r="D1211" t="inlineStr">
        <is>
          <t>VÄSTERNORRLANDS LÄN</t>
        </is>
      </c>
      <c r="E1211" t="inlineStr">
        <is>
          <t>ÅNGE</t>
        </is>
      </c>
      <c r="F1211" t="inlineStr">
        <is>
          <t>Holmen skog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43389-2025</t>
        </is>
      </c>
      <c r="B1212" s="1" t="n">
        <v>45911.36560185185</v>
      </c>
      <c r="C1212" s="1" t="n">
        <v>45926</v>
      </c>
      <c r="D1212" t="inlineStr">
        <is>
          <t>VÄSTERNORRLANDS LÄN</t>
        </is>
      </c>
      <c r="E1212" t="inlineStr">
        <is>
          <t>ÅNGE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43546-2025</t>
        </is>
      </c>
      <c r="B1213" s="1" t="n">
        <v>45911.6153125</v>
      </c>
      <c r="C1213" s="1" t="n">
        <v>45926</v>
      </c>
      <c r="D1213" t="inlineStr">
        <is>
          <t>VÄSTERNORRLANDS LÄN</t>
        </is>
      </c>
      <c r="E1213" t="inlineStr">
        <is>
          <t>ÅNGE</t>
        </is>
      </c>
      <c r="F1213" t="inlineStr">
        <is>
          <t>SCA</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60365-2024</t>
        </is>
      </c>
      <c r="B1214" s="1" t="n">
        <v>45643</v>
      </c>
      <c r="C1214" s="1" t="n">
        <v>45926</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20393-2022</t>
        </is>
      </c>
      <c r="B1215" s="1" t="n">
        <v>44699</v>
      </c>
      <c r="C1215" s="1" t="n">
        <v>45926</v>
      </c>
      <c r="D1215" t="inlineStr">
        <is>
          <t>VÄSTERNORRLANDS LÄN</t>
        </is>
      </c>
      <c r="E1215" t="inlineStr">
        <is>
          <t>ÅNGE</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43221-2025</t>
        </is>
      </c>
      <c r="B1216" s="1" t="n">
        <v>45910.47981481482</v>
      </c>
      <c r="C1216" s="1" t="n">
        <v>45926</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25320-2023</t>
        </is>
      </c>
      <c r="B1217" s="1" t="n">
        <v>45086.93929398148</v>
      </c>
      <c r="C1217" s="1" t="n">
        <v>45926</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59626-2022</t>
        </is>
      </c>
      <c r="B1218" s="1" t="n">
        <v>44907.92354166666</v>
      </c>
      <c r="C1218" s="1" t="n">
        <v>45926</v>
      </c>
      <c r="D1218" t="inlineStr">
        <is>
          <t>VÄSTERNORRLANDS LÄN</t>
        </is>
      </c>
      <c r="E1218" t="inlineStr">
        <is>
          <t>ÅNGE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4873-2025</t>
        </is>
      </c>
      <c r="B1219" s="1" t="n">
        <v>45688.67633101852</v>
      </c>
      <c r="C1219" s="1" t="n">
        <v>45926</v>
      </c>
      <c r="D1219" t="inlineStr">
        <is>
          <t>VÄSTERNORRLANDS LÄN</t>
        </is>
      </c>
      <c r="E1219" t="inlineStr">
        <is>
          <t>ÅNGE</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43252-2025</t>
        </is>
      </c>
      <c r="B1220" s="1" t="n">
        <v>45910.55292824074</v>
      </c>
      <c r="C1220" s="1" t="n">
        <v>45926</v>
      </c>
      <c r="D1220" t="inlineStr">
        <is>
          <t>VÄSTERNORRLANDS LÄN</t>
        </is>
      </c>
      <c r="E1220" t="inlineStr">
        <is>
          <t>ÅNGE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43250-2025</t>
        </is>
      </c>
      <c r="B1221" s="1" t="n">
        <v>45910.5525462963</v>
      </c>
      <c r="C1221" s="1" t="n">
        <v>45926</v>
      </c>
      <c r="D1221" t="inlineStr">
        <is>
          <t>VÄSTERNORRLANDS LÄN</t>
        </is>
      </c>
      <c r="E1221" t="inlineStr">
        <is>
          <t>ÅNGE</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36336-2025</t>
        </is>
      </c>
      <c r="B1222" s="1" t="n">
        <v>45868.44751157407</v>
      </c>
      <c r="C1222" s="1" t="n">
        <v>45926</v>
      </c>
      <c r="D1222" t="inlineStr">
        <is>
          <t>VÄSTERNORRLANDS LÄN</t>
        </is>
      </c>
      <c r="E1222" t="inlineStr">
        <is>
          <t>ÅNGE</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3-2025</t>
        </is>
      </c>
      <c r="B1223" s="1" t="n">
        <v>45658.49819444444</v>
      </c>
      <c r="C1223" s="1" t="n">
        <v>45926</v>
      </c>
      <c r="D1223" t="inlineStr">
        <is>
          <t>VÄSTERNORRLANDS LÄN</t>
        </is>
      </c>
      <c r="E1223" t="inlineStr">
        <is>
          <t>ÅNGE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43916-2023</t>
        </is>
      </c>
      <c r="B1224" s="1" t="n">
        <v>45187.72152777778</v>
      </c>
      <c r="C1224" s="1" t="n">
        <v>45926</v>
      </c>
      <c r="D1224" t="inlineStr">
        <is>
          <t>VÄSTERNORRLANDS LÄN</t>
        </is>
      </c>
      <c r="E1224" t="inlineStr">
        <is>
          <t>ÅNGE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43265-2025</t>
        </is>
      </c>
      <c r="B1225" s="1" t="n">
        <v>45910.57377314815</v>
      </c>
      <c r="C1225" s="1" t="n">
        <v>45926</v>
      </c>
      <c r="D1225" t="inlineStr">
        <is>
          <t>VÄSTERNORRLANDS LÄN</t>
        </is>
      </c>
      <c r="E1225" t="inlineStr">
        <is>
          <t>ÅNGE</t>
        </is>
      </c>
      <c r="F1225" t="inlineStr">
        <is>
          <t>SCA</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34852-2023</t>
        </is>
      </c>
      <c r="B1226" s="1" t="n">
        <v>45141</v>
      </c>
      <c r="C1226" s="1" t="n">
        <v>45926</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15032-2025</t>
        </is>
      </c>
      <c r="B1227" s="1" t="n">
        <v>45743.67748842593</v>
      </c>
      <c r="C1227" s="1" t="n">
        <v>45926</v>
      </c>
      <c r="D1227" t="inlineStr">
        <is>
          <t>VÄSTERNORRLANDS LÄN</t>
        </is>
      </c>
      <c r="E1227" t="inlineStr">
        <is>
          <t>ÅNGE</t>
        </is>
      </c>
      <c r="F1227" t="inlineStr">
        <is>
          <t>SCA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19065-2025</t>
        </is>
      </c>
      <c r="B1228" s="1" t="n">
        <v>45765</v>
      </c>
      <c r="C1228" s="1" t="n">
        <v>45926</v>
      </c>
      <c r="D1228" t="inlineStr">
        <is>
          <t>VÄSTERNORRLANDS LÄN</t>
        </is>
      </c>
      <c r="E1228" t="inlineStr">
        <is>
          <t>ÅNGE</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36492-2023</t>
        </is>
      </c>
      <c r="B1229" s="1" t="n">
        <v>45152.92479166666</v>
      </c>
      <c r="C1229" s="1" t="n">
        <v>45926</v>
      </c>
      <c r="D1229" t="inlineStr">
        <is>
          <t>VÄSTERNORRLANDS LÄN</t>
        </is>
      </c>
      <c r="E1229" t="inlineStr">
        <is>
          <t>ÅNGE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46332-2023</t>
        </is>
      </c>
      <c r="B1230" s="1" t="n">
        <v>45196</v>
      </c>
      <c r="C1230" s="1" t="n">
        <v>45926</v>
      </c>
      <c r="D1230" t="inlineStr">
        <is>
          <t>VÄSTERNORRLANDS LÄN</t>
        </is>
      </c>
      <c r="E1230" t="inlineStr">
        <is>
          <t>ÅNGE</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26943-2024</t>
        </is>
      </c>
      <c r="B1231" s="1" t="n">
        <v>45470</v>
      </c>
      <c r="C1231" s="1" t="n">
        <v>45926</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44415-2021</t>
        </is>
      </c>
      <c r="B1232" s="1" t="n">
        <v>44435</v>
      </c>
      <c r="C1232" s="1" t="n">
        <v>45926</v>
      </c>
      <c r="D1232" t="inlineStr">
        <is>
          <t>VÄSTERNORRLANDS LÄN</t>
        </is>
      </c>
      <c r="E1232" t="inlineStr">
        <is>
          <t>ÅNGE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55882-2022</t>
        </is>
      </c>
      <c r="B1233" s="1" t="n">
        <v>44888</v>
      </c>
      <c r="C1233" s="1" t="n">
        <v>45926</v>
      </c>
      <c r="D1233" t="inlineStr">
        <is>
          <t>VÄSTERNORRLANDS LÄN</t>
        </is>
      </c>
      <c r="E1233" t="inlineStr">
        <is>
          <t>ÅNGE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6686-2024</t>
        </is>
      </c>
      <c r="B1234" s="1" t="n">
        <v>45341</v>
      </c>
      <c r="C1234" s="1" t="n">
        <v>45926</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63556-2021</t>
        </is>
      </c>
      <c r="B1235" s="1" t="n">
        <v>44508.70231481481</v>
      </c>
      <c r="C1235" s="1" t="n">
        <v>45926</v>
      </c>
      <c r="D1235" t="inlineStr">
        <is>
          <t>VÄSTERNORRLANDS LÄN</t>
        </is>
      </c>
      <c r="E1235" t="inlineStr">
        <is>
          <t>ÅNGE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40788-2024</t>
        </is>
      </c>
      <c r="B1236" s="1" t="n">
        <v>45558.50974537037</v>
      </c>
      <c r="C1236" s="1" t="n">
        <v>45926</v>
      </c>
      <c r="D1236" t="inlineStr">
        <is>
          <t>VÄSTERNORRLANDS LÄN</t>
        </is>
      </c>
      <c r="E1236" t="inlineStr">
        <is>
          <t>ÅNGE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27306-2024</t>
        </is>
      </c>
      <c r="B1237" s="1" t="n">
        <v>45471.94454861111</v>
      </c>
      <c r="C1237" s="1" t="n">
        <v>45926</v>
      </c>
      <c r="D1237" t="inlineStr">
        <is>
          <t>VÄSTERNORRLANDS LÄN</t>
        </is>
      </c>
      <c r="E1237" t="inlineStr">
        <is>
          <t>ÅNGE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59818-2024</t>
        </is>
      </c>
      <c r="B1238" s="1" t="n">
        <v>45639.63572916666</v>
      </c>
      <c r="C1238" s="1" t="n">
        <v>45926</v>
      </c>
      <c r="D1238" t="inlineStr">
        <is>
          <t>VÄSTERNORRLANDS LÄN</t>
        </is>
      </c>
      <c r="E1238" t="inlineStr">
        <is>
          <t>ÅNGE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16978-2024</t>
        </is>
      </c>
      <c r="B1239" s="1" t="n">
        <v>45412.02416666667</v>
      </c>
      <c r="C1239" s="1" t="n">
        <v>45926</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57286-2022</t>
        </is>
      </c>
      <c r="B1240" s="1" t="n">
        <v>44895.94991898148</v>
      </c>
      <c r="C1240" s="1" t="n">
        <v>45926</v>
      </c>
      <c r="D1240" t="inlineStr">
        <is>
          <t>VÄSTERNORRLANDS LÄN</t>
        </is>
      </c>
      <c r="E1240" t="inlineStr">
        <is>
          <t>ÅNGE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36457-2025</t>
        </is>
      </c>
      <c r="B1241" s="1" t="n">
        <v>45869.44842592593</v>
      </c>
      <c r="C1241" s="1" t="n">
        <v>45926</v>
      </c>
      <c r="D1241" t="inlineStr">
        <is>
          <t>VÄSTERNORRLANDS LÄN</t>
        </is>
      </c>
      <c r="E1241" t="inlineStr">
        <is>
          <t>ÅNGE</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45926</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43385-2025</t>
        </is>
      </c>
      <c r="B1243" s="1" t="n">
        <v>45911.36508101852</v>
      </c>
      <c r="C1243" s="1" t="n">
        <v>45926</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43386-2025</t>
        </is>
      </c>
      <c r="B1244" s="1" t="n">
        <v>45911.36520833334</v>
      </c>
      <c r="C1244" s="1" t="n">
        <v>45926</v>
      </c>
      <c r="D1244" t="inlineStr">
        <is>
          <t>VÄSTERNORRLANDS LÄN</t>
        </is>
      </c>
      <c r="E1244" t="inlineStr">
        <is>
          <t>ÅNGE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43707-2025</t>
        </is>
      </c>
      <c r="B1245" s="1" t="n">
        <v>45912.40668981482</v>
      </c>
      <c r="C1245" s="1" t="n">
        <v>45926</v>
      </c>
      <c r="D1245" t="inlineStr">
        <is>
          <t>VÄSTERNORRLANDS LÄN</t>
        </is>
      </c>
      <c r="E1245" t="inlineStr">
        <is>
          <t>ÅNGE</t>
        </is>
      </c>
      <c r="F1245" t="inlineStr">
        <is>
          <t>SCA</t>
        </is>
      </c>
      <c r="G1245" t="n">
        <v>12.5</v>
      </c>
      <c r="H1245" t="n">
        <v>0</v>
      </c>
      <c r="I1245" t="n">
        <v>0</v>
      </c>
      <c r="J1245" t="n">
        <v>0</v>
      </c>
      <c r="K1245" t="n">
        <v>0</v>
      </c>
      <c r="L1245" t="n">
        <v>0</v>
      </c>
      <c r="M1245" t="n">
        <v>0</v>
      </c>
      <c r="N1245" t="n">
        <v>0</v>
      </c>
      <c r="O1245" t="n">
        <v>0</v>
      </c>
      <c r="P1245" t="n">
        <v>0</v>
      </c>
      <c r="Q1245" t="n">
        <v>0</v>
      </c>
      <c r="R1245" s="2" t="inlineStr"/>
      <c r="U1245">
        <f>HYPERLINK("https://klasma.github.io/Logging_2260/knärot/A 43707-2025 karta knärot.png", "A 43707-2025")</f>
        <v/>
      </c>
      <c r="V1245">
        <f>HYPERLINK("https://klasma.github.io/Logging_2260/klagomål/A 43707-2025 FSC-klagomål.docx", "A 43707-2025")</f>
        <v/>
      </c>
      <c r="W1245">
        <f>HYPERLINK("https://klasma.github.io/Logging_2260/klagomålsmail/A 43707-2025 FSC-klagomål mail.docx", "A 43707-2025")</f>
        <v/>
      </c>
      <c r="X1245">
        <f>HYPERLINK("https://klasma.github.io/Logging_2260/tillsyn/A 43707-2025 tillsynsbegäran.docx", "A 43707-2025")</f>
        <v/>
      </c>
      <c r="Y1245">
        <f>HYPERLINK("https://klasma.github.io/Logging_2260/tillsynsmail/A 43707-2025 tillsynsbegäran mail.docx", "A 43707-2025")</f>
        <v/>
      </c>
    </row>
    <row r="1246" ht="15" customHeight="1">
      <c r="A1246" t="inlineStr">
        <is>
          <t>A 6608-2025</t>
        </is>
      </c>
      <c r="B1246" s="1" t="n">
        <v>45700.34415509259</v>
      </c>
      <c r="C1246" s="1" t="n">
        <v>45926</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30682-2024</t>
        </is>
      </c>
      <c r="B1247" s="1" t="n">
        <v>45495.95109953704</v>
      </c>
      <c r="C1247" s="1" t="n">
        <v>45926</v>
      </c>
      <c r="D1247" t="inlineStr">
        <is>
          <t>VÄSTERNORRLANDS LÄN</t>
        </is>
      </c>
      <c r="E1247" t="inlineStr">
        <is>
          <t>ÅNGE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2451-2024</t>
        </is>
      </c>
      <c r="B1248" s="1" t="n">
        <v>45312.58627314815</v>
      </c>
      <c r="C1248" s="1" t="n">
        <v>45926</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65149-2020</t>
        </is>
      </c>
      <c r="B1249" s="1" t="n">
        <v>44172</v>
      </c>
      <c r="C1249" s="1" t="n">
        <v>45926</v>
      </c>
      <c r="D1249" t="inlineStr">
        <is>
          <t>VÄSTERNORRLANDS LÄN</t>
        </is>
      </c>
      <c r="E1249" t="inlineStr">
        <is>
          <t>ÅNGE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3352-2021</t>
        </is>
      </c>
      <c r="B1250" s="1" t="n">
        <v>44217</v>
      </c>
      <c r="C1250" s="1" t="n">
        <v>45926</v>
      </c>
      <c r="D1250" t="inlineStr">
        <is>
          <t>VÄSTERNORRLANDS LÄN</t>
        </is>
      </c>
      <c r="E1250" t="inlineStr">
        <is>
          <t>ÅNGE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3253-2024</t>
        </is>
      </c>
      <c r="B1251" s="1" t="n">
        <v>45316</v>
      </c>
      <c r="C1251" s="1" t="n">
        <v>45926</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34783-2021</t>
        </is>
      </c>
      <c r="B1252" s="1" t="n">
        <v>44382</v>
      </c>
      <c r="C1252" s="1" t="n">
        <v>45926</v>
      </c>
      <c r="D1252" t="inlineStr">
        <is>
          <t>VÄSTERNORRLANDS LÄN</t>
        </is>
      </c>
      <c r="E1252" t="inlineStr">
        <is>
          <t>ÅNGE</t>
        </is>
      </c>
      <c r="F1252" t="inlineStr">
        <is>
          <t>SCA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58748-2023</t>
        </is>
      </c>
      <c r="B1253" s="1" t="n">
        <v>45251.92936342592</v>
      </c>
      <c r="C1253" s="1" t="n">
        <v>45926</v>
      </c>
      <c r="D1253" t="inlineStr">
        <is>
          <t>VÄSTERNORRLANDS LÄN</t>
        </is>
      </c>
      <c r="E1253" t="inlineStr">
        <is>
          <t>ÅNGE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51070-2024</t>
        </is>
      </c>
      <c r="B1254" s="1" t="n">
        <v>45603</v>
      </c>
      <c r="C1254" s="1" t="n">
        <v>45926</v>
      </c>
      <c r="D1254" t="inlineStr">
        <is>
          <t>VÄSTERNORRLANDS LÄN</t>
        </is>
      </c>
      <c r="E1254" t="inlineStr">
        <is>
          <t>ÅNGE</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51871-2024</t>
        </is>
      </c>
      <c r="B1255" s="1" t="n">
        <v>45607</v>
      </c>
      <c r="C1255" s="1" t="n">
        <v>45926</v>
      </c>
      <c r="D1255" t="inlineStr">
        <is>
          <t>VÄSTERNORRLANDS LÄN</t>
        </is>
      </c>
      <c r="E1255" t="inlineStr">
        <is>
          <t>ÅNGE</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57636-2022</t>
        </is>
      </c>
      <c r="B1256" s="1" t="n">
        <v>44897</v>
      </c>
      <c r="C1256" s="1" t="n">
        <v>45926</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34971-2023</t>
        </is>
      </c>
      <c r="B1257" s="1" t="n">
        <v>45142.61635416667</v>
      </c>
      <c r="C1257" s="1" t="n">
        <v>45926</v>
      </c>
      <c r="D1257" t="inlineStr">
        <is>
          <t>VÄSTERNORRLANDS LÄN</t>
        </is>
      </c>
      <c r="E1257" t="inlineStr">
        <is>
          <t>ÅNGE</t>
        </is>
      </c>
      <c r="F1257" t="inlineStr">
        <is>
          <t>Sveaskog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36723-2025</t>
        </is>
      </c>
      <c r="B1258" s="1" t="n">
        <v>45873.47770833333</v>
      </c>
      <c r="C1258" s="1" t="n">
        <v>45926</v>
      </c>
      <c r="D1258" t="inlineStr">
        <is>
          <t>VÄSTERNORRLANDS LÄN</t>
        </is>
      </c>
      <c r="E1258" t="inlineStr">
        <is>
          <t>ÅNGE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44165-2025</t>
        </is>
      </c>
      <c r="B1259" s="1" t="n">
        <v>45915.59840277778</v>
      </c>
      <c r="C1259" s="1" t="n">
        <v>45926</v>
      </c>
      <c r="D1259" t="inlineStr">
        <is>
          <t>VÄSTERNORRLANDS LÄN</t>
        </is>
      </c>
      <c r="E1259" t="inlineStr">
        <is>
          <t>ÅNGE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36674-2025</t>
        </is>
      </c>
      <c r="B1260" s="1" t="n">
        <v>45873.3930787037</v>
      </c>
      <c r="C1260" s="1" t="n">
        <v>45926</v>
      </c>
      <c r="D1260" t="inlineStr">
        <is>
          <t>VÄSTERNORRLANDS LÄN</t>
        </is>
      </c>
      <c r="E1260" t="inlineStr">
        <is>
          <t>ÅNGE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58613-2023</t>
        </is>
      </c>
      <c r="B1261" s="1" t="n">
        <v>45251.50709490741</v>
      </c>
      <c r="C1261" s="1" t="n">
        <v>45926</v>
      </c>
      <c r="D1261" t="inlineStr">
        <is>
          <t>VÄSTERNORRLANDS LÄN</t>
        </is>
      </c>
      <c r="E1261" t="inlineStr">
        <is>
          <t>ÅNGE</t>
        </is>
      </c>
      <c r="F1261" t="inlineStr">
        <is>
          <t>Övriga Aktiebolag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41766-2024</t>
        </is>
      </c>
      <c r="B1262" s="1" t="n">
        <v>45561.34594907407</v>
      </c>
      <c r="C1262" s="1" t="n">
        <v>45926</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55329-2023</t>
        </is>
      </c>
      <c r="B1263" s="1" t="n">
        <v>45237</v>
      </c>
      <c r="C1263" s="1" t="n">
        <v>45926</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44178-2023</t>
        </is>
      </c>
      <c r="B1264" s="1" t="n">
        <v>45183</v>
      </c>
      <c r="C1264" s="1" t="n">
        <v>45926</v>
      </c>
      <c r="D1264" t="inlineStr">
        <is>
          <t>VÄSTERNORRLANDS LÄN</t>
        </is>
      </c>
      <c r="E1264" t="inlineStr">
        <is>
          <t>ÅNGE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52804-2024</t>
        </is>
      </c>
      <c r="B1265" s="1" t="n">
        <v>45610.57322916666</v>
      </c>
      <c r="C1265" s="1" t="n">
        <v>45926</v>
      </c>
      <c r="D1265" t="inlineStr">
        <is>
          <t>VÄSTERNORRLANDS LÄN</t>
        </is>
      </c>
      <c r="E1265" t="inlineStr">
        <is>
          <t>ÅNGE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30055-2024</t>
        </is>
      </c>
      <c r="B1266" s="1" t="n">
        <v>45488.94767361111</v>
      </c>
      <c r="C1266" s="1" t="n">
        <v>45926</v>
      </c>
      <c r="D1266" t="inlineStr">
        <is>
          <t>VÄSTERNORRLANDS LÄN</t>
        </is>
      </c>
      <c r="E1266" t="inlineStr">
        <is>
          <t>ÅNGE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39178-2024</t>
        </is>
      </c>
      <c r="B1267" s="1" t="n">
        <v>45548.65692129629</v>
      </c>
      <c r="C1267" s="1" t="n">
        <v>45926</v>
      </c>
      <c r="D1267" t="inlineStr">
        <is>
          <t>VÄSTERNORRLANDS LÄN</t>
        </is>
      </c>
      <c r="E1267" t="inlineStr">
        <is>
          <t>ÅNGE</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36740-2025</t>
        </is>
      </c>
      <c r="B1268" s="1" t="n">
        <v>45873.53237268519</v>
      </c>
      <c r="C1268" s="1" t="n">
        <v>45926</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42346-2023</t>
        </is>
      </c>
      <c r="B1269" s="1" t="n">
        <v>45180</v>
      </c>
      <c r="C1269" s="1" t="n">
        <v>45926</v>
      </c>
      <c r="D1269" t="inlineStr">
        <is>
          <t>VÄSTERNORRLANDS LÄN</t>
        </is>
      </c>
      <c r="E1269" t="inlineStr">
        <is>
          <t>ÅNGE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51383-2022</t>
        </is>
      </c>
      <c r="B1270" s="1" t="n">
        <v>44866</v>
      </c>
      <c r="C1270" s="1" t="n">
        <v>45926</v>
      </c>
      <c r="D1270" t="inlineStr">
        <is>
          <t>VÄSTERNORRLANDS LÄN</t>
        </is>
      </c>
      <c r="E1270" t="inlineStr">
        <is>
          <t>ÅNGE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51393-2022</t>
        </is>
      </c>
      <c r="B1271" s="1" t="n">
        <v>44869.43277777778</v>
      </c>
      <c r="C1271" s="1" t="n">
        <v>45926</v>
      </c>
      <c r="D1271" t="inlineStr">
        <is>
          <t>VÄSTERNORRLANDS LÄN</t>
        </is>
      </c>
      <c r="E1271" t="inlineStr">
        <is>
          <t>ÅNGE</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4236-2025</t>
        </is>
      </c>
      <c r="B1272" s="1" t="n">
        <v>45685.56534722223</v>
      </c>
      <c r="C1272" s="1" t="n">
        <v>45926</v>
      </c>
      <c r="D1272" t="inlineStr">
        <is>
          <t>VÄSTERNORRLANDS LÄN</t>
        </is>
      </c>
      <c r="E1272" t="inlineStr">
        <is>
          <t>ÅNGE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2415-2024</t>
        </is>
      </c>
      <c r="B1273" s="1" t="n">
        <v>45310</v>
      </c>
      <c r="C1273" s="1" t="n">
        <v>45926</v>
      </c>
      <c r="D1273" t="inlineStr">
        <is>
          <t>VÄSTERNORRLANDS LÄN</t>
        </is>
      </c>
      <c r="E1273" t="inlineStr">
        <is>
          <t>ÅNGE</t>
        </is>
      </c>
      <c r="F1273" t="inlineStr">
        <is>
          <t>Kyrkan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4361-2024</t>
        </is>
      </c>
      <c r="B1274" s="1" t="n">
        <v>45325.65047453704</v>
      </c>
      <c r="C1274" s="1" t="n">
        <v>45926</v>
      </c>
      <c r="D1274" t="inlineStr">
        <is>
          <t>VÄSTERNORRLANDS LÄN</t>
        </is>
      </c>
      <c r="E1274" t="inlineStr">
        <is>
          <t>ÅNGE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26490-2024</t>
        </is>
      </c>
      <c r="B1275" s="1" t="n">
        <v>45469</v>
      </c>
      <c r="C1275" s="1" t="n">
        <v>45926</v>
      </c>
      <c r="D1275" t="inlineStr">
        <is>
          <t>VÄSTERNORRLANDS LÄN</t>
        </is>
      </c>
      <c r="E1275" t="inlineStr">
        <is>
          <t>ÅNGE</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47779-2023</t>
        </is>
      </c>
      <c r="B1276" s="1" t="n">
        <v>45203.92232638889</v>
      </c>
      <c r="C1276" s="1" t="n">
        <v>45926</v>
      </c>
      <c r="D1276" t="inlineStr">
        <is>
          <t>VÄSTERNORRLANDS LÄN</t>
        </is>
      </c>
      <c r="E1276" t="inlineStr">
        <is>
          <t>ÅNGE</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38246-2024</t>
        </is>
      </c>
      <c r="B1277" s="1" t="n">
        <v>45545.57327546296</v>
      </c>
      <c r="C1277" s="1" t="n">
        <v>45926</v>
      </c>
      <c r="D1277" t="inlineStr">
        <is>
          <t>VÄSTERNORRLANDS LÄN</t>
        </is>
      </c>
      <c r="E1277" t="inlineStr">
        <is>
          <t>ÅNGE</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64946-2023</t>
        </is>
      </c>
      <c r="B1278" s="1" t="n">
        <v>45282.94678240741</v>
      </c>
      <c r="C1278" s="1" t="n">
        <v>45926</v>
      </c>
      <c r="D1278" t="inlineStr">
        <is>
          <t>VÄSTERNORRLANDS LÄN</t>
        </is>
      </c>
      <c r="E1278" t="inlineStr">
        <is>
          <t>ÅNGE</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61585-2022</t>
        </is>
      </c>
      <c r="B1279" s="1" t="n">
        <v>44916.63380787037</v>
      </c>
      <c r="C1279" s="1" t="n">
        <v>45926</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36456-2025</t>
        </is>
      </c>
      <c r="B1280" s="1" t="n">
        <v>45869.44827546296</v>
      </c>
      <c r="C1280" s="1" t="n">
        <v>45926</v>
      </c>
      <c r="D1280" t="inlineStr">
        <is>
          <t>VÄSTERNORRLANDS LÄN</t>
        </is>
      </c>
      <c r="E1280" t="inlineStr">
        <is>
          <t>ÅNGE</t>
        </is>
      </c>
      <c r="F1280" t="inlineStr">
        <is>
          <t>SCA</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36873-2025</t>
        </is>
      </c>
      <c r="B1281" s="1" t="n">
        <v>45874.42935185185</v>
      </c>
      <c r="C1281" s="1" t="n">
        <v>45926</v>
      </c>
      <c r="D1281" t="inlineStr">
        <is>
          <t>VÄSTERNORRLANDS LÄN</t>
        </is>
      </c>
      <c r="E1281" t="inlineStr">
        <is>
          <t>ÅNGE</t>
        </is>
      </c>
      <c r="F1281" t="inlineStr">
        <is>
          <t>SCA</t>
        </is>
      </c>
      <c r="G1281" t="n">
        <v>16.9</v>
      </c>
      <c r="H1281" t="n">
        <v>0</v>
      </c>
      <c r="I1281" t="n">
        <v>0</v>
      </c>
      <c r="J1281" t="n">
        <v>0</v>
      </c>
      <c r="K1281" t="n">
        <v>0</v>
      </c>
      <c r="L1281" t="n">
        <v>0</v>
      </c>
      <c r="M1281" t="n">
        <v>0</v>
      </c>
      <c r="N1281" t="n">
        <v>0</v>
      </c>
      <c r="O1281" t="n">
        <v>0</v>
      </c>
      <c r="P1281" t="n">
        <v>0</v>
      </c>
      <c r="Q1281" t="n">
        <v>0</v>
      </c>
      <c r="R1281" s="2" t="inlineStr"/>
    </row>
    <row r="1282" ht="15" customHeight="1">
      <c r="A1282" t="inlineStr">
        <is>
          <t>A 137-2025</t>
        </is>
      </c>
      <c r="B1282" s="1" t="n">
        <v>45659.57684027778</v>
      </c>
      <c r="C1282" s="1" t="n">
        <v>45926</v>
      </c>
      <c r="D1282" t="inlineStr">
        <is>
          <t>VÄSTERNORRLANDS LÄN</t>
        </is>
      </c>
      <c r="E1282" t="inlineStr">
        <is>
          <t>ÅNGE</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55380-2024</t>
        </is>
      </c>
      <c r="B1283" s="1" t="n">
        <v>45622.28810185185</v>
      </c>
      <c r="C1283" s="1" t="n">
        <v>45926</v>
      </c>
      <c r="D1283" t="inlineStr">
        <is>
          <t>VÄSTERNORRLANDS LÄN</t>
        </is>
      </c>
      <c r="E1283" t="inlineStr">
        <is>
          <t>ÅNGE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56615-2023</t>
        </is>
      </c>
      <c r="B1284" s="1" t="n">
        <v>45243</v>
      </c>
      <c r="C1284" s="1" t="n">
        <v>45926</v>
      </c>
      <c r="D1284" t="inlineStr">
        <is>
          <t>VÄSTERNORRLANDS LÄN</t>
        </is>
      </c>
      <c r="E1284" t="inlineStr">
        <is>
          <t>ÅNGE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37045-2025</t>
        </is>
      </c>
      <c r="B1285" s="1" t="n">
        <v>45875.34451388889</v>
      </c>
      <c r="C1285" s="1" t="n">
        <v>45926</v>
      </c>
      <c r="D1285" t="inlineStr">
        <is>
          <t>VÄSTERNORRLANDS LÄN</t>
        </is>
      </c>
      <c r="E1285" t="inlineStr">
        <is>
          <t>ÅNGE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37047-2025</t>
        </is>
      </c>
      <c r="B1286" s="1" t="n">
        <v>45875.34489583333</v>
      </c>
      <c r="C1286" s="1" t="n">
        <v>45926</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57601-2022</t>
        </is>
      </c>
      <c r="B1287" s="1" t="n">
        <v>44896</v>
      </c>
      <c r="C1287" s="1" t="n">
        <v>45926</v>
      </c>
      <c r="D1287" t="inlineStr">
        <is>
          <t>VÄSTERNORRLANDS LÄN</t>
        </is>
      </c>
      <c r="E1287" t="inlineStr">
        <is>
          <t>ÅNGE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22678-2024</t>
        </is>
      </c>
      <c r="B1288" s="1" t="n">
        <v>45447.94533564815</v>
      </c>
      <c r="C1288" s="1" t="n">
        <v>45926</v>
      </c>
      <c r="D1288" t="inlineStr">
        <is>
          <t>VÄSTERNORRLANDS LÄN</t>
        </is>
      </c>
      <c r="E1288" t="inlineStr">
        <is>
          <t>ÅNGE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16365-2023</t>
        </is>
      </c>
      <c r="B1289" s="1" t="n">
        <v>45028</v>
      </c>
      <c r="C1289" s="1" t="n">
        <v>45926</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51054-2024</t>
        </is>
      </c>
      <c r="B1290" s="1" t="n">
        <v>45603</v>
      </c>
      <c r="C1290" s="1" t="n">
        <v>45926</v>
      </c>
      <c r="D1290" t="inlineStr">
        <is>
          <t>VÄSTERNORRLANDS LÄN</t>
        </is>
      </c>
      <c r="E1290" t="inlineStr">
        <is>
          <t>ÅNGE</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64121-2021</t>
        </is>
      </c>
      <c r="B1291" s="1" t="n">
        <v>44510.4730787037</v>
      </c>
      <c r="C1291" s="1" t="n">
        <v>45926</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69790-2021</t>
        </is>
      </c>
      <c r="B1292" s="1" t="n">
        <v>44532.605625</v>
      </c>
      <c r="C1292" s="1" t="n">
        <v>45926</v>
      </c>
      <c r="D1292" t="inlineStr">
        <is>
          <t>VÄSTERNORRLANDS LÄN</t>
        </is>
      </c>
      <c r="E1292" t="inlineStr">
        <is>
          <t>ÅNGE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71965-2021</t>
        </is>
      </c>
      <c r="B1293" s="1" t="n">
        <v>44544.32483796297</v>
      </c>
      <c r="C1293" s="1" t="n">
        <v>45926</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37108-2025</t>
        </is>
      </c>
      <c r="B1294" s="1" t="n">
        <v>45875</v>
      </c>
      <c r="C1294" s="1" t="n">
        <v>45926</v>
      </c>
      <c r="D1294" t="inlineStr">
        <is>
          <t>VÄSTERNORRLANDS LÄN</t>
        </is>
      </c>
      <c r="E1294" t="inlineStr">
        <is>
          <t>ÅNGE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53209-2024</t>
        </is>
      </c>
      <c r="B1295" s="1" t="n">
        <v>45612.51079861111</v>
      </c>
      <c r="C1295" s="1" t="n">
        <v>45926</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3574-2025</t>
        </is>
      </c>
      <c r="B1296" s="1" t="n">
        <v>45680.71916666667</v>
      </c>
      <c r="C1296" s="1" t="n">
        <v>45926</v>
      </c>
      <c r="D1296" t="inlineStr">
        <is>
          <t>VÄSTERNORRLANDS LÄN</t>
        </is>
      </c>
      <c r="E1296" t="inlineStr">
        <is>
          <t>ÅNGE</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30803-2022</t>
        </is>
      </c>
      <c r="B1297" s="1" t="n">
        <v>44764</v>
      </c>
      <c r="C1297" s="1" t="n">
        <v>45926</v>
      </c>
      <c r="D1297" t="inlineStr">
        <is>
          <t>VÄSTERNORRLANDS LÄN</t>
        </is>
      </c>
      <c r="E1297" t="inlineStr">
        <is>
          <t>ÅNGE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36249-2025</t>
        </is>
      </c>
      <c r="B1298" s="1" t="n">
        <v>45867</v>
      </c>
      <c r="C1298" s="1" t="n">
        <v>45926</v>
      </c>
      <c r="D1298" t="inlineStr">
        <is>
          <t>VÄSTERNORRLANDS LÄN</t>
        </is>
      </c>
      <c r="E1298" t="inlineStr">
        <is>
          <t>ÅNGE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62834-2021</t>
        </is>
      </c>
      <c r="B1299" s="1" t="n">
        <v>44503</v>
      </c>
      <c r="C1299" s="1" t="n">
        <v>45926</v>
      </c>
      <c r="D1299" t="inlineStr">
        <is>
          <t>VÄSTERNORRLANDS LÄN</t>
        </is>
      </c>
      <c r="E1299" t="inlineStr">
        <is>
          <t>ÅNGE</t>
        </is>
      </c>
      <c r="F1299" t="inlineStr">
        <is>
          <t>Övriga statliga verk och myndigheter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37177-2025</t>
        </is>
      </c>
      <c r="B1300" s="1" t="n">
        <v>45875.61539351852</v>
      </c>
      <c r="C1300" s="1" t="n">
        <v>45926</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7535-2023</t>
        </is>
      </c>
      <c r="B1301" s="1" t="n">
        <v>44971</v>
      </c>
      <c r="C1301" s="1" t="n">
        <v>45926</v>
      </c>
      <c r="D1301" t="inlineStr">
        <is>
          <t>VÄSTERNORRLANDS LÄN</t>
        </is>
      </c>
      <c r="E1301" t="inlineStr">
        <is>
          <t>ÅNGE</t>
        </is>
      </c>
      <c r="F1301" t="inlineStr">
        <is>
          <t>SCA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37450-2025</t>
        </is>
      </c>
      <c r="B1302" s="1" t="n">
        <v>45877.55261574074</v>
      </c>
      <c r="C1302" s="1" t="n">
        <v>45926</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37275-2025</t>
        </is>
      </c>
      <c r="B1303" s="1" t="n">
        <v>45876.49003472222</v>
      </c>
      <c r="C1303" s="1" t="n">
        <v>45926</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37303-2025</t>
        </is>
      </c>
      <c r="B1304" s="1" t="n">
        <v>45876.59445601852</v>
      </c>
      <c r="C1304" s="1" t="n">
        <v>45926</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34750-2023</t>
        </is>
      </c>
      <c r="B1305" s="1" t="n">
        <v>45139</v>
      </c>
      <c r="C1305" s="1" t="n">
        <v>45926</v>
      </c>
      <c r="D1305" t="inlineStr">
        <is>
          <t>VÄSTERNORRLANDS LÄN</t>
        </is>
      </c>
      <c r="E1305" t="inlineStr">
        <is>
          <t>ÅNGE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41586-2024</t>
        </is>
      </c>
      <c r="B1306" s="1" t="n">
        <v>45560.56089120371</v>
      </c>
      <c r="C1306" s="1" t="n">
        <v>45926</v>
      </c>
      <c r="D1306" t="inlineStr">
        <is>
          <t>VÄSTERNORRLANDS LÄN</t>
        </is>
      </c>
      <c r="E1306" t="inlineStr">
        <is>
          <t>ÅNGE</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48946-2024</t>
        </is>
      </c>
      <c r="B1307" s="1" t="n">
        <v>45594.42736111111</v>
      </c>
      <c r="C1307" s="1" t="n">
        <v>45926</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37233-2025</t>
        </is>
      </c>
      <c r="B1308" s="1" t="n">
        <v>45876.34474537037</v>
      </c>
      <c r="C1308" s="1" t="n">
        <v>45926</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44180-2023</t>
        </is>
      </c>
      <c r="B1309" s="1" t="n">
        <v>45183</v>
      </c>
      <c r="C1309" s="1" t="n">
        <v>45926</v>
      </c>
      <c r="D1309" t="inlineStr">
        <is>
          <t>VÄSTERNORRLANDS LÄN</t>
        </is>
      </c>
      <c r="E1309" t="inlineStr">
        <is>
          <t>ÅNGE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44919-2025</t>
        </is>
      </c>
      <c r="B1310" s="1" t="n">
        <v>45918.55246527777</v>
      </c>
      <c r="C1310" s="1" t="n">
        <v>45926</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33429-2023</t>
        </is>
      </c>
      <c r="B1311" s="1" t="n">
        <v>45128.94983796297</v>
      </c>
      <c r="C1311" s="1" t="n">
        <v>45926</v>
      </c>
      <c r="D1311" t="inlineStr">
        <is>
          <t>VÄSTERNORRLANDS LÄN</t>
        </is>
      </c>
      <c r="E1311" t="inlineStr">
        <is>
          <t>ÅNGE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14888-2022</t>
        </is>
      </c>
      <c r="B1312" s="1" t="n">
        <v>44656</v>
      </c>
      <c r="C1312" s="1" t="n">
        <v>45926</v>
      </c>
      <c r="D1312" t="inlineStr">
        <is>
          <t>VÄSTERNORRLANDS LÄN</t>
        </is>
      </c>
      <c r="E1312" t="inlineStr">
        <is>
          <t>ÅNGE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37384-2025</t>
        </is>
      </c>
      <c r="B1313" s="1" t="n">
        <v>45877.3859837963</v>
      </c>
      <c r="C1313" s="1" t="n">
        <v>45926</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22597-2021</t>
        </is>
      </c>
      <c r="B1314" s="1" t="n">
        <v>44326</v>
      </c>
      <c r="C1314" s="1" t="n">
        <v>45926</v>
      </c>
      <c r="D1314" t="inlineStr">
        <is>
          <t>VÄSTERNORRLANDS LÄN</t>
        </is>
      </c>
      <c r="E1314" t="inlineStr">
        <is>
          <t>ÅNGE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22990-2024</t>
        </is>
      </c>
      <c r="B1315" s="1" t="n">
        <v>45449.94548611111</v>
      </c>
      <c r="C1315" s="1" t="n">
        <v>45926</v>
      </c>
      <c r="D1315" t="inlineStr">
        <is>
          <t>VÄSTERNORRLANDS LÄN</t>
        </is>
      </c>
      <c r="E1315" t="inlineStr">
        <is>
          <t>ÅNGE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45926</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20255-2023</t>
        </is>
      </c>
      <c r="B1317" s="1" t="n">
        <v>45055</v>
      </c>
      <c r="C1317" s="1" t="n">
        <v>45926</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58637-2023</t>
        </is>
      </c>
      <c r="B1318" s="1" t="n">
        <v>45251</v>
      </c>
      <c r="C1318" s="1" t="n">
        <v>45926</v>
      </c>
      <c r="D1318" t="inlineStr">
        <is>
          <t>VÄSTERNORRLANDS LÄN</t>
        </is>
      </c>
      <c r="E1318" t="inlineStr">
        <is>
          <t>ÅNGE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30753-2024</t>
        </is>
      </c>
      <c r="B1319" s="1" t="n">
        <v>45496</v>
      </c>
      <c r="C1319" s="1" t="n">
        <v>45926</v>
      </c>
      <c r="D1319" t="inlineStr">
        <is>
          <t>VÄSTERNORRLANDS LÄN</t>
        </is>
      </c>
      <c r="E1319" t="inlineStr">
        <is>
          <t>ÅNGE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30754-2024</t>
        </is>
      </c>
      <c r="B1320" s="1" t="n">
        <v>45496</v>
      </c>
      <c r="C1320" s="1" t="n">
        <v>45926</v>
      </c>
      <c r="D1320" t="inlineStr">
        <is>
          <t>VÄSTERNORRLANDS LÄN</t>
        </is>
      </c>
      <c r="E1320" t="inlineStr">
        <is>
          <t>ÅNGE</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44935-2025</t>
        </is>
      </c>
      <c r="B1321" s="1" t="n">
        <v>45918.57392361111</v>
      </c>
      <c r="C1321" s="1" t="n">
        <v>45926</v>
      </c>
      <c r="D1321" t="inlineStr">
        <is>
          <t>VÄSTERNORRLANDS LÄN</t>
        </is>
      </c>
      <c r="E1321" t="inlineStr">
        <is>
          <t>ÅNGE</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11871-2025</t>
        </is>
      </c>
      <c r="B1322" s="1" t="n">
        <v>45728.42740740741</v>
      </c>
      <c r="C1322" s="1" t="n">
        <v>45926</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37371-2025</t>
        </is>
      </c>
      <c r="B1323" s="1" t="n">
        <v>45877.34472222222</v>
      </c>
      <c r="C1323" s="1" t="n">
        <v>45926</v>
      </c>
      <c r="D1323" t="inlineStr">
        <is>
          <t>VÄSTERNORRLANDS LÄN</t>
        </is>
      </c>
      <c r="E1323" t="inlineStr">
        <is>
          <t>ÅNGE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37383-2025</t>
        </is>
      </c>
      <c r="B1324" s="1" t="n">
        <v>45877.38581018519</v>
      </c>
      <c r="C1324" s="1" t="n">
        <v>45926</v>
      </c>
      <c r="D1324" t="inlineStr">
        <is>
          <t>VÄSTERNORRLANDS LÄN</t>
        </is>
      </c>
      <c r="E1324" t="inlineStr">
        <is>
          <t>ÅNGE</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16934-2025</t>
        </is>
      </c>
      <c r="B1325" s="1" t="n">
        <v>45755.40671296296</v>
      </c>
      <c r="C1325" s="1" t="n">
        <v>45926</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16281-2023</t>
        </is>
      </c>
      <c r="B1326" s="1" t="n">
        <v>45028</v>
      </c>
      <c r="C1326" s="1" t="n">
        <v>45926</v>
      </c>
      <c r="D1326" t="inlineStr">
        <is>
          <t>VÄSTERNORRLANDS LÄN</t>
        </is>
      </c>
      <c r="E1326" t="inlineStr">
        <is>
          <t>ÅNGE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37719-2025</t>
        </is>
      </c>
      <c r="B1327" s="1" t="n">
        <v>45880.61505787037</v>
      </c>
      <c r="C1327" s="1" t="n">
        <v>45926</v>
      </c>
      <c r="D1327" t="inlineStr">
        <is>
          <t>VÄSTERNORRLANDS LÄN</t>
        </is>
      </c>
      <c r="E1327" t="inlineStr">
        <is>
          <t>ÅNGE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26012-2024</t>
        </is>
      </c>
      <c r="B1328" s="1" t="n">
        <v>45467</v>
      </c>
      <c r="C1328" s="1" t="n">
        <v>45926</v>
      </c>
      <c r="D1328" t="inlineStr">
        <is>
          <t>VÄSTERNORRLANDS LÄN</t>
        </is>
      </c>
      <c r="E1328" t="inlineStr">
        <is>
          <t>ÅNGE</t>
        </is>
      </c>
      <c r="F1328" t="inlineStr">
        <is>
          <t>SCA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26015-2024</t>
        </is>
      </c>
      <c r="B1329" s="1" t="n">
        <v>45467.95872685185</v>
      </c>
      <c r="C1329" s="1" t="n">
        <v>45926</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37663-2025</t>
        </is>
      </c>
      <c r="B1330" s="1" t="n">
        <v>45880.51079861111</v>
      </c>
      <c r="C1330" s="1" t="n">
        <v>45926</v>
      </c>
      <c r="D1330" t="inlineStr">
        <is>
          <t>VÄSTERNORRLANDS LÄN</t>
        </is>
      </c>
      <c r="E1330" t="inlineStr">
        <is>
          <t>ÅNGE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48697-2024</t>
        </is>
      </c>
      <c r="B1331" s="1" t="n">
        <v>45593.51136574074</v>
      </c>
      <c r="C1331" s="1" t="n">
        <v>45926</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1095-2023</t>
        </is>
      </c>
      <c r="B1332" s="1" t="n">
        <v>44929</v>
      </c>
      <c r="C1332" s="1" t="n">
        <v>45926</v>
      </c>
      <c r="D1332" t="inlineStr">
        <is>
          <t>VÄSTERNORRLANDS LÄN</t>
        </is>
      </c>
      <c r="E1332" t="inlineStr">
        <is>
          <t>ÅNGE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37723-2025</t>
        </is>
      </c>
      <c r="B1333" s="1" t="n">
        <v>45880.61528935185</v>
      </c>
      <c r="C1333" s="1" t="n">
        <v>45926</v>
      </c>
      <c r="D1333" t="inlineStr">
        <is>
          <t>VÄSTERNORRLANDS LÄN</t>
        </is>
      </c>
      <c r="E1333" t="inlineStr">
        <is>
          <t>ÅNGE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45404-2025</t>
        </is>
      </c>
      <c r="B1334" s="1" t="n">
        <v>45922.42820601852</v>
      </c>
      <c r="C1334" s="1" t="n">
        <v>45926</v>
      </c>
      <c r="D1334" t="inlineStr">
        <is>
          <t>VÄSTERNORRLANDS LÄN</t>
        </is>
      </c>
      <c r="E1334" t="inlineStr">
        <is>
          <t>ÅNGE</t>
        </is>
      </c>
      <c r="F1334" t="inlineStr">
        <is>
          <t>SCA</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46795-2023</t>
        </is>
      </c>
      <c r="B1335" s="1" t="n">
        <v>45198</v>
      </c>
      <c r="C1335" s="1" t="n">
        <v>45926</v>
      </c>
      <c r="D1335" t="inlineStr">
        <is>
          <t>VÄSTERNORRLANDS LÄN</t>
        </is>
      </c>
      <c r="E1335" t="inlineStr">
        <is>
          <t>ÅNGE</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34726-2024</t>
        </is>
      </c>
      <c r="B1336" s="1" t="n">
        <v>45526.5733912037</v>
      </c>
      <c r="C1336" s="1" t="n">
        <v>45926</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45403-2025</t>
        </is>
      </c>
      <c r="B1337" s="1" t="n">
        <v>45922.42803240741</v>
      </c>
      <c r="C1337" s="1" t="n">
        <v>45926</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41173-2025</t>
        </is>
      </c>
      <c r="B1338" s="1" t="n">
        <v>45898</v>
      </c>
      <c r="C1338" s="1" t="n">
        <v>45926</v>
      </c>
      <c r="D1338" t="inlineStr">
        <is>
          <t>VÄSTERNORRLANDS LÄN</t>
        </is>
      </c>
      <c r="E1338" t="inlineStr">
        <is>
          <t>ÅNGE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45401-2025</t>
        </is>
      </c>
      <c r="B1339" s="1" t="n">
        <v>45922.42767361111</v>
      </c>
      <c r="C1339" s="1" t="n">
        <v>45926</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45875-2025</t>
        </is>
      </c>
      <c r="B1340" s="1" t="n">
        <v>45923.65690972222</v>
      </c>
      <c r="C1340" s="1" t="n">
        <v>45926</v>
      </c>
      <c r="D1340" t="inlineStr">
        <is>
          <t>VÄSTERNORRLANDS LÄN</t>
        </is>
      </c>
      <c r="E1340" t="inlineStr">
        <is>
          <t>ÅNGE</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45660-2025</t>
        </is>
      </c>
      <c r="B1341" s="1" t="n">
        <v>45923.34494212963</v>
      </c>
      <c r="C1341" s="1" t="n">
        <v>45926</v>
      </c>
      <c r="D1341" t="inlineStr">
        <is>
          <t>VÄSTERNORRLANDS LÄN</t>
        </is>
      </c>
      <c r="E1341" t="inlineStr">
        <is>
          <t>ÅNGE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45659-2025</t>
        </is>
      </c>
      <c r="B1342" s="1" t="n">
        <v>45923.34471064815</v>
      </c>
      <c r="C1342" s="1" t="n">
        <v>45926</v>
      </c>
      <c r="D1342" t="inlineStr">
        <is>
          <t>VÄSTERNORRLANDS LÄN</t>
        </is>
      </c>
      <c r="E1342" t="inlineStr">
        <is>
          <t>ÅNGE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20110-2023</t>
        </is>
      </c>
      <c r="B1343" s="1" t="n">
        <v>45051</v>
      </c>
      <c r="C1343" s="1" t="n">
        <v>45926</v>
      </c>
      <c r="D1343" t="inlineStr">
        <is>
          <t>VÄSTERNORRLANDS LÄN</t>
        </is>
      </c>
      <c r="E1343" t="inlineStr">
        <is>
          <t>ÅNGE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45833-2025</t>
        </is>
      </c>
      <c r="B1344" s="1" t="n">
        <v>45923</v>
      </c>
      <c r="C1344" s="1" t="n">
        <v>45926</v>
      </c>
      <c r="D1344" t="inlineStr">
        <is>
          <t>VÄSTERNORRLANDS LÄN</t>
        </is>
      </c>
      <c r="E1344" t="inlineStr">
        <is>
          <t>ÅNGE</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45926</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46111-2025</t>
        </is>
      </c>
      <c r="B1346" s="1" t="n">
        <v>45924.56684027778</v>
      </c>
      <c r="C1346" s="1" t="n">
        <v>45926</v>
      </c>
      <c r="D1346" t="inlineStr">
        <is>
          <t>VÄSTERNORRLANDS LÄN</t>
        </is>
      </c>
      <c r="E1346" t="inlineStr">
        <is>
          <t>ÅNGE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38078-2025</t>
        </is>
      </c>
      <c r="B1347" s="1" t="n">
        <v>45882.46918981482</v>
      </c>
      <c r="C1347" s="1" t="n">
        <v>45926</v>
      </c>
      <c r="D1347" t="inlineStr">
        <is>
          <t>VÄSTERNORRLANDS LÄN</t>
        </is>
      </c>
      <c r="E1347" t="inlineStr">
        <is>
          <t>ÅNGE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46416-2025</t>
        </is>
      </c>
      <c r="B1348" s="1" t="n">
        <v>45925.594375</v>
      </c>
      <c r="C1348" s="1" t="n">
        <v>45926</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46419-2025</t>
        </is>
      </c>
      <c r="B1349" s="1" t="n">
        <v>45925.5949537037</v>
      </c>
      <c r="C1349" s="1" t="n">
        <v>45926</v>
      </c>
      <c r="D1349" t="inlineStr">
        <is>
          <t>VÄSTERNORRLANDS LÄN</t>
        </is>
      </c>
      <c r="E1349" t="inlineStr">
        <is>
          <t>ÅNGE</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38332-2025</t>
        </is>
      </c>
      <c r="B1350" s="1" t="n">
        <v>45883.49151620371</v>
      </c>
      <c r="C1350" s="1" t="n">
        <v>45926</v>
      </c>
      <c r="D1350" t="inlineStr">
        <is>
          <t>VÄSTERNORRLANDS LÄN</t>
        </is>
      </c>
      <c r="E1350" t="inlineStr">
        <is>
          <t>ÅNGE</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39729-2025</t>
        </is>
      </c>
      <c r="B1351" s="1" t="n">
        <v>45891</v>
      </c>
      <c r="C1351" s="1" t="n">
        <v>45926</v>
      </c>
      <c r="D1351" t="inlineStr">
        <is>
          <t>VÄSTERNORRLANDS LÄN</t>
        </is>
      </c>
      <c r="E1351" t="inlineStr">
        <is>
          <t>ÅNGE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38386-2025</t>
        </is>
      </c>
      <c r="B1352" s="1" t="n">
        <v>45883.57430555556</v>
      </c>
      <c r="C1352" s="1" t="n">
        <v>45926</v>
      </c>
      <c r="D1352" t="inlineStr">
        <is>
          <t>VÄSTERNORRLANDS LÄN</t>
        </is>
      </c>
      <c r="E1352" t="inlineStr">
        <is>
          <t>ÅNGE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38283-2025</t>
        </is>
      </c>
      <c r="B1353" s="1" t="n">
        <v>45883.42740740741</v>
      </c>
      <c r="C1353" s="1" t="n">
        <v>45926</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46267-2025</t>
        </is>
      </c>
      <c r="B1354" s="1" t="n">
        <v>45925.36578703704</v>
      </c>
      <c r="C1354" s="1" t="n">
        <v>45926</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45970-2025</t>
        </is>
      </c>
      <c r="B1355" s="1" t="n">
        <v>45924.36519675926</v>
      </c>
      <c r="C1355" s="1" t="n">
        <v>45926</v>
      </c>
      <c r="D1355" t="inlineStr">
        <is>
          <t>VÄSTERNORRLANDS LÄN</t>
        </is>
      </c>
      <c r="E1355" t="inlineStr">
        <is>
          <t>ÅNGE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37919-2025</t>
        </is>
      </c>
      <c r="B1356" s="1" t="n">
        <v>45881.57478009259</v>
      </c>
      <c r="C1356" s="1" t="n">
        <v>45926</v>
      </c>
      <c r="D1356" t="inlineStr">
        <is>
          <t>VÄSTERNORRLANDS LÄN</t>
        </is>
      </c>
      <c r="E1356" t="inlineStr">
        <is>
          <t>ÅNGE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37802-2025</t>
        </is>
      </c>
      <c r="B1357" s="1" t="n">
        <v>45881.34447916667</v>
      </c>
      <c r="C1357" s="1" t="n">
        <v>45926</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c r="A1358" t="inlineStr">
        <is>
          <t>A 38273-2025</t>
        </is>
      </c>
      <c r="B1358" s="1" t="n">
        <v>45883.40740740741</v>
      </c>
      <c r="C1358" s="1" t="n">
        <v>45926</v>
      </c>
      <c r="D1358" t="inlineStr">
        <is>
          <t>VÄSTERNORRLANDS LÄN</t>
        </is>
      </c>
      <c r="E1358" t="inlineStr">
        <is>
          <t>ÅNGE</t>
        </is>
      </c>
      <c r="F1358" t="inlineStr">
        <is>
          <t>SCA</t>
        </is>
      </c>
      <c r="G1358" t="n">
        <v>0.8</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2025-09-26T11:56:20Z</dcterms:created>
  <dcterms:modified xmlns:dcterms="http://purl.org/dc/terms/" xmlns:xsi="http://www.w3.org/2001/XMLSchema-instance" xsi:type="dcterms:W3CDTF">2025-09-26T11:56:21Z</dcterms:modified>
</cp:coreProperties>
</file>