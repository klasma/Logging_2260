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45929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45929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45929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45929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45929</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45929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45929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45929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45929</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50331-2022</t>
        </is>
      </c>
      <c r="B22" s="1" t="n">
        <v>44865</v>
      </c>
      <c r="C22" s="1" t="n">
        <v>45929</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45929</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45929</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38605-2024</t>
        </is>
      </c>
      <c r="B25" s="1" t="n">
        <v>45546.67789351852</v>
      </c>
      <c r="C25" s="1" t="n">
        <v>45929</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45929</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45929</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45929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45929</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45929</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45929</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45929</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45929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45929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41874-2025</t>
        </is>
      </c>
      <c r="B35" s="1" t="n">
        <v>45903.3452662037</v>
      </c>
      <c r="C35" s="1" t="n">
        <v>45929</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6429-2022</t>
        </is>
      </c>
      <c r="B36" s="1" t="n">
        <v>44600</v>
      </c>
      <c r="C36" s="1" t="n">
        <v>45929</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14887-2022</t>
        </is>
      </c>
      <c r="B37" s="1" t="n">
        <v>44656</v>
      </c>
      <c r="C37" s="1" t="n">
        <v>45929</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45929</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45929</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39496-2024</t>
        </is>
      </c>
      <c r="B40" s="1" t="n">
        <v>45551</v>
      </c>
      <c r="C40" s="1" t="n">
        <v>45929</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45929</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45929</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45929</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45929</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45929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20694-2022</t>
        </is>
      </c>
      <c r="B46" s="1" t="n">
        <v>44700</v>
      </c>
      <c r="C46" s="1" t="n">
        <v>45929</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44607-2021</t>
        </is>
      </c>
      <c r="B47" s="1" t="n">
        <v>44435</v>
      </c>
      <c r="C47" s="1" t="n">
        <v>45929</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34786-2021</t>
        </is>
      </c>
      <c r="B48" s="1" t="n">
        <v>44382</v>
      </c>
      <c r="C48" s="1" t="n">
        <v>45929</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26314-2024</t>
        </is>
      </c>
      <c r="B49" s="1" t="n">
        <v>45468</v>
      </c>
      <c r="C49" s="1" t="n">
        <v>45929</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45929</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26473-2025</t>
        </is>
      </c>
      <c r="B51" s="1" t="n">
        <v>45807</v>
      </c>
      <c r="C51" s="1" t="n">
        <v>45929</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33783-2025</t>
        </is>
      </c>
      <c r="B52" s="1" t="n">
        <v>45842.40699074074</v>
      </c>
      <c r="C52" s="1" t="n">
        <v>45929</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22737-2023</t>
        </is>
      </c>
      <c r="B53" s="1" t="n">
        <v>45071</v>
      </c>
      <c r="C53" s="1" t="n">
        <v>45929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39065-2023</t>
        </is>
      </c>
      <c r="B54" s="1" t="n">
        <v>45163</v>
      </c>
      <c r="C54" s="1" t="n">
        <v>45929</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10086-2023</t>
        </is>
      </c>
      <c r="B55" s="1" t="n">
        <v>44985</v>
      </c>
      <c r="C55" s="1" t="n">
        <v>45929</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40545-2024</t>
        </is>
      </c>
      <c r="B56" s="1" t="n">
        <v>45555</v>
      </c>
      <c r="C56" s="1" t="n">
        <v>45929</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45929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45929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45929</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45929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45929</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45929</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45929</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45929</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45929</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45929</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45929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55176-2024</t>
        </is>
      </c>
      <c r="B68" s="1" t="n">
        <v>45621</v>
      </c>
      <c r="C68" s="1" t="n">
        <v>45929</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31509-2024</t>
        </is>
      </c>
      <c r="B69" s="1" t="n">
        <v>45505</v>
      </c>
      <c r="C69" s="1" t="n">
        <v>45929</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3348-2021</t>
        </is>
      </c>
      <c r="B70" s="1" t="n">
        <v>44217</v>
      </c>
      <c r="C70" s="1" t="n">
        <v>45929</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34694-2023</t>
        </is>
      </c>
      <c r="B71" s="1" t="n">
        <v>45140.96324074074</v>
      </c>
      <c r="C71" s="1" t="n">
        <v>45929</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19010-2025</t>
        </is>
      </c>
      <c r="B72" s="1" t="n">
        <v>45764</v>
      </c>
      <c r="C72" s="1" t="n">
        <v>45929</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26363-2023</t>
        </is>
      </c>
      <c r="B73" s="1" t="n">
        <v>45091</v>
      </c>
      <c r="C73" s="1" t="n">
        <v>45929</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10085-2023</t>
        </is>
      </c>
      <c r="B74" s="1" t="n">
        <v>44985.9447337963</v>
      </c>
      <c r="C74" s="1" t="n">
        <v>45929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45402-2025</t>
        </is>
      </c>
      <c r="B75" s="1" t="n">
        <v>45922.4278587963</v>
      </c>
      <c r="C75" s="1" t="n">
        <v>45929</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4130-2023</t>
        </is>
      </c>
      <c r="B76" s="1" t="n">
        <v>44952</v>
      </c>
      <c r="C76" s="1" t="n">
        <v>45929</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45929</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39570-2025</t>
        </is>
      </c>
      <c r="B78" s="1" t="n">
        <v>45890.49009259259</v>
      </c>
      <c r="C78" s="1" t="n">
        <v>45929</v>
      </c>
      <c r="D78" t="inlineStr">
        <is>
          <t>VÄSTERNORRLANDS LÄN</t>
        </is>
      </c>
      <c r="E78" t="inlineStr">
        <is>
          <t>ÅNGE</t>
        </is>
      </c>
      <c r="F78" t="inlineStr">
        <is>
          <t>SCA</t>
        </is>
      </c>
      <c r="G78" t="n">
        <v>2.4</v>
      </c>
      <c r="H78" t="n">
        <v>0</v>
      </c>
      <c r="I78" t="n">
        <v>2</v>
      </c>
      <c r="J78" t="n">
        <v>4</v>
      </c>
      <c r="K78" t="n">
        <v>0</v>
      </c>
      <c r="L78" t="n">
        <v>0</v>
      </c>
      <c r="M78" t="n">
        <v>0</v>
      </c>
      <c r="N78" t="n">
        <v>0</v>
      </c>
      <c r="O78" t="n">
        <v>4</v>
      </c>
      <c r="P78" t="n">
        <v>0</v>
      </c>
      <c r="Q78" t="n">
        <v>6</v>
      </c>
      <c r="R78" s="2" t="inlineStr">
        <is>
          <t>Garnlav
Lunglav
Skrovellav
Småflikig brosklav
Skinnlav
Stor aspticka</t>
        </is>
      </c>
      <c r="S78">
        <f>HYPERLINK("https://klasma.github.io/Logging_2260/artfynd/A 39570-2025 artfynd.xlsx", "A 39570-2025")</f>
        <v/>
      </c>
      <c r="T78">
        <f>HYPERLINK("https://klasma.github.io/Logging_2260/kartor/A 39570-2025 karta.png", "A 39570-2025")</f>
        <v/>
      </c>
      <c r="V78">
        <f>HYPERLINK("https://klasma.github.io/Logging_2260/klagomål/A 39570-2025 FSC-klagomål.docx", "A 39570-2025")</f>
        <v/>
      </c>
      <c r="W78">
        <f>HYPERLINK("https://klasma.github.io/Logging_2260/klagomålsmail/A 39570-2025 FSC-klagomål mail.docx", "A 39570-2025")</f>
        <v/>
      </c>
      <c r="X78">
        <f>HYPERLINK("https://klasma.github.io/Logging_2260/tillsyn/A 39570-2025 tillsynsbegäran.docx", "A 39570-2025")</f>
        <v/>
      </c>
      <c r="Y78">
        <f>HYPERLINK("https://klasma.github.io/Logging_2260/tillsynsmail/A 39570-2025 tillsynsbegäran mail.docx", "A 39570-2025")</f>
        <v/>
      </c>
    </row>
    <row r="79" ht="15" customHeight="1">
      <c r="A79" t="inlineStr">
        <is>
          <t>A 31364-2022</t>
        </is>
      </c>
      <c r="B79" s="1" t="n">
        <v>44774</v>
      </c>
      <c r="C79" s="1" t="n">
        <v>45929</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45929</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51065-2024</t>
        </is>
      </c>
      <c r="B81" s="1" t="n">
        <v>45603</v>
      </c>
      <c r="C81" s="1" t="n">
        <v>45929</v>
      </c>
      <c r="D81" t="inlineStr">
        <is>
          <t>VÄSTERNORRLANDS LÄN</t>
        </is>
      </c>
      <c r="E81" t="inlineStr">
        <is>
          <t>ÅNGE</t>
        </is>
      </c>
      <c r="F81" t="inlineStr">
        <is>
          <t>SCA</t>
        </is>
      </c>
      <c r="G81" t="n">
        <v>4.1</v>
      </c>
      <c r="H81" t="n">
        <v>2</v>
      </c>
      <c r="I81" t="n">
        <v>0</v>
      </c>
      <c r="J81" t="n">
        <v>4</v>
      </c>
      <c r="K81" t="n">
        <v>1</v>
      </c>
      <c r="L81" t="n">
        <v>0</v>
      </c>
      <c r="M81" t="n">
        <v>0</v>
      </c>
      <c r="N81" t="n">
        <v>0</v>
      </c>
      <c r="O81" t="n">
        <v>5</v>
      </c>
      <c r="P81" t="n">
        <v>1</v>
      </c>
      <c r="Q81" t="n">
        <v>5</v>
      </c>
      <c r="R81" s="2" t="inlineStr">
        <is>
          <t>Knärot
Garnlav
Granticka
Järpe
Lunglav</t>
        </is>
      </c>
      <c r="S81">
        <f>HYPERLINK("https://klasma.github.io/Logging_2260/artfynd/A 51065-2024 artfynd.xlsx", "A 51065-2024")</f>
        <v/>
      </c>
      <c r="T81">
        <f>HYPERLINK("https://klasma.github.io/Logging_2260/kartor/A 51065-2024 karta.png", "A 51065-2024")</f>
        <v/>
      </c>
      <c r="U81">
        <f>HYPERLINK("https://klasma.github.io/Logging_2260/knärot/A 51065-2024 karta knärot.png", "A 51065-2024")</f>
        <v/>
      </c>
      <c r="V81">
        <f>HYPERLINK("https://klasma.github.io/Logging_2260/klagomål/A 51065-2024 FSC-klagomål.docx", "A 51065-2024")</f>
        <v/>
      </c>
      <c r="W81">
        <f>HYPERLINK("https://klasma.github.io/Logging_2260/klagomålsmail/A 51065-2024 FSC-klagomål mail.docx", "A 51065-2024")</f>
        <v/>
      </c>
      <c r="X81">
        <f>HYPERLINK("https://klasma.github.io/Logging_2260/tillsyn/A 51065-2024 tillsynsbegäran.docx", "A 51065-2024")</f>
        <v/>
      </c>
      <c r="Y81">
        <f>HYPERLINK("https://klasma.github.io/Logging_2260/tillsynsmail/A 51065-2024 tillsynsbegäran mail.docx", "A 51065-2024")</f>
        <v/>
      </c>
      <c r="Z81">
        <f>HYPERLINK("https://klasma.github.io/Logging_2260/fåglar/A 51065-2024 prioriterade fågelarter.docx", "A 51065-2024")</f>
        <v/>
      </c>
    </row>
    <row r="82" ht="15" customHeight="1">
      <c r="A82" t="inlineStr">
        <is>
          <t>A 43520-2025</t>
        </is>
      </c>
      <c r="B82" s="1" t="n">
        <v>45911.57364583333</v>
      </c>
      <c r="C82" s="1" t="n">
        <v>45929</v>
      </c>
      <c r="D82" t="inlineStr">
        <is>
          <t>VÄSTERNORRLANDS LÄN</t>
        </is>
      </c>
      <c r="E82" t="inlineStr">
        <is>
          <t>ÅNGE</t>
        </is>
      </c>
      <c r="F82" t="inlineStr">
        <is>
          <t>SCA</t>
        </is>
      </c>
      <c r="G82" t="n">
        <v>2.5</v>
      </c>
      <c r="H82" t="n">
        <v>0</v>
      </c>
      <c r="I82" t="n">
        <v>2</v>
      </c>
      <c r="J82" t="n">
        <v>3</v>
      </c>
      <c r="K82" t="n">
        <v>0</v>
      </c>
      <c r="L82" t="n">
        <v>0</v>
      </c>
      <c r="M82" t="n">
        <v>0</v>
      </c>
      <c r="N82" t="n">
        <v>0</v>
      </c>
      <c r="O82" t="n">
        <v>3</v>
      </c>
      <c r="P82" t="n">
        <v>0</v>
      </c>
      <c r="Q82" t="n">
        <v>5</v>
      </c>
      <c r="R82" s="2" t="inlineStr">
        <is>
          <t>Garnlav
Lunglav
Vedtrappmossa
Bårdlav
Stuplav</t>
        </is>
      </c>
      <c r="S82">
        <f>HYPERLINK("https://klasma.github.io/Logging_2260/artfynd/A 43520-2025 artfynd.xlsx", "A 43520-2025")</f>
        <v/>
      </c>
      <c r="T82">
        <f>HYPERLINK("https://klasma.github.io/Logging_2260/kartor/A 43520-2025 karta.png", "A 43520-2025")</f>
        <v/>
      </c>
      <c r="V82">
        <f>HYPERLINK("https://klasma.github.io/Logging_2260/klagomål/A 43520-2025 FSC-klagomål.docx", "A 43520-2025")</f>
        <v/>
      </c>
      <c r="W82">
        <f>HYPERLINK("https://klasma.github.io/Logging_2260/klagomålsmail/A 43520-2025 FSC-klagomål mail.docx", "A 43520-2025")</f>
        <v/>
      </c>
      <c r="X82">
        <f>HYPERLINK("https://klasma.github.io/Logging_2260/tillsyn/A 43520-2025 tillsynsbegäran.docx", "A 43520-2025")</f>
        <v/>
      </c>
      <c r="Y82">
        <f>HYPERLINK("https://klasma.github.io/Logging_2260/tillsynsmail/A 43520-2025 tillsynsbegäran mail.docx", "A 43520-2025")</f>
        <v/>
      </c>
    </row>
    <row r="83" ht="15" customHeight="1">
      <c r="A83" t="inlineStr">
        <is>
          <t>A 27914-2024</t>
        </is>
      </c>
      <c r="B83" s="1" t="n">
        <v>45475</v>
      </c>
      <c r="C83" s="1" t="n">
        <v>45929</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45929</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62640-2020</t>
        </is>
      </c>
      <c r="B85" s="1" t="n">
        <v>44161</v>
      </c>
      <c r="C85" s="1" t="n">
        <v>45929</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38327-2025</t>
        </is>
      </c>
      <c r="B86" s="1" t="n">
        <v>45883.49084490741</v>
      </c>
      <c r="C86" s="1" t="n">
        <v>45929</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45929</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46375-2025</t>
        </is>
      </c>
      <c r="B88" s="1" t="n">
        <v>45925.51097222222</v>
      </c>
      <c r="C88" s="1" t="n">
        <v>45929</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13696-2023</t>
        </is>
      </c>
      <c r="B89" s="1" t="n">
        <v>45006</v>
      </c>
      <c r="C89" s="1" t="n">
        <v>45929</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23601-2025</t>
        </is>
      </c>
      <c r="B90" s="1" t="n">
        <v>45792</v>
      </c>
      <c r="C90" s="1" t="n">
        <v>45929</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52269-2024</t>
        </is>
      </c>
      <c r="B91" s="1" t="n">
        <v>45608.65660879629</v>
      </c>
      <c r="C91" s="1" t="n">
        <v>45929</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29880-2025</t>
        </is>
      </c>
      <c r="B92" s="1" t="n">
        <v>45826.36510416667</v>
      </c>
      <c r="C92" s="1" t="n">
        <v>45929</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29880-2025 artfynd.xlsx", "A 29880-2025")</f>
        <v/>
      </c>
      <c r="T92">
        <f>HYPERLINK("https://klasma.github.io/Logging_2260/kartor/A 29880-2025 karta.png", "A 29880-2025")</f>
        <v/>
      </c>
      <c r="V92">
        <f>HYPERLINK("https://klasma.github.io/Logging_2260/klagomål/A 29880-2025 FSC-klagomål.docx", "A 29880-2025")</f>
        <v/>
      </c>
      <c r="W92">
        <f>HYPERLINK("https://klasma.github.io/Logging_2260/klagomålsmail/A 29880-2025 FSC-klagomål mail.docx", "A 29880-2025")</f>
        <v/>
      </c>
      <c r="X92">
        <f>HYPERLINK("https://klasma.github.io/Logging_2260/tillsyn/A 29880-2025 tillsynsbegäran.docx", "A 29880-2025")</f>
        <v/>
      </c>
      <c r="Y92">
        <f>HYPERLINK("https://klasma.github.io/Logging_2260/tillsynsmail/A 29880-2025 tillsynsbegäran mail.docx", "A 29880-2025")</f>
        <v/>
      </c>
      <c r="Z92">
        <f>HYPERLINK("https://klasma.github.io/Logging_2260/fåglar/A 29880-2025 prioriterade fågelarter.docx", "A 29880-2025")</f>
        <v/>
      </c>
    </row>
    <row r="93" ht="15" customHeight="1">
      <c r="A93" t="inlineStr">
        <is>
          <t>A 55004-2023</t>
        </is>
      </c>
      <c r="B93" s="1" t="n">
        <v>45236</v>
      </c>
      <c r="C93" s="1" t="n">
        <v>45929</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46548-2023</t>
        </is>
      </c>
      <c r="B94" s="1" t="n">
        <v>45197</v>
      </c>
      <c r="C94" s="1" t="n">
        <v>45929</v>
      </c>
      <c r="D94" t="inlineStr">
        <is>
          <t>VÄSTERNORRLANDS LÄN</t>
        </is>
      </c>
      <c r="E94" t="inlineStr">
        <is>
          <t>ÅNGE</t>
        </is>
      </c>
      <c r="F94" t="inlineStr">
        <is>
          <t>SCA</t>
        </is>
      </c>
      <c r="G94" t="n">
        <v>4.1</v>
      </c>
      <c r="H94" t="n">
        <v>3</v>
      </c>
      <c r="I94" t="n">
        <v>2</v>
      </c>
      <c r="J94" t="n">
        <v>0</v>
      </c>
      <c r="K94" t="n">
        <v>1</v>
      </c>
      <c r="L94" t="n">
        <v>0</v>
      </c>
      <c r="M94" t="n">
        <v>0</v>
      </c>
      <c r="N94" t="n">
        <v>0</v>
      </c>
      <c r="O94" t="n">
        <v>1</v>
      </c>
      <c r="P94" t="n">
        <v>1</v>
      </c>
      <c r="Q94" t="n">
        <v>4</v>
      </c>
      <c r="R94" s="2" t="inlineStr">
        <is>
          <t>Knärot
Spindelblomster
Svavelriska
Fläcknycklar</t>
        </is>
      </c>
      <c r="S94">
        <f>HYPERLINK("https://klasma.github.io/Logging_2260/artfynd/A 46548-2023 artfynd.xlsx", "A 46548-2023")</f>
        <v/>
      </c>
      <c r="T94">
        <f>HYPERLINK("https://klasma.github.io/Logging_2260/kartor/A 46548-2023 karta.png", "A 46548-2023")</f>
        <v/>
      </c>
      <c r="U94">
        <f>HYPERLINK("https://klasma.github.io/Logging_2260/knärot/A 46548-2023 karta knärot.png", "A 46548-2023")</f>
        <v/>
      </c>
      <c r="V94">
        <f>HYPERLINK("https://klasma.github.io/Logging_2260/klagomål/A 46548-2023 FSC-klagomål.docx", "A 46548-2023")</f>
        <v/>
      </c>
      <c r="W94">
        <f>HYPERLINK("https://klasma.github.io/Logging_2260/klagomålsmail/A 46548-2023 FSC-klagomål mail.docx", "A 46548-2023")</f>
        <v/>
      </c>
      <c r="X94">
        <f>HYPERLINK("https://klasma.github.io/Logging_2260/tillsyn/A 46548-2023 tillsynsbegäran.docx", "A 46548-2023")</f>
        <v/>
      </c>
      <c r="Y94">
        <f>HYPERLINK("https://klasma.github.io/Logging_2260/tillsynsmail/A 46548-2023 tillsynsbegäran mail.docx", "A 46548-2023")</f>
        <v/>
      </c>
    </row>
    <row r="95" ht="15" customHeight="1">
      <c r="A95" t="inlineStr">
        <is>
          <t>A 53169-2020</t>
        </is>
      </c>
      <c r="B95" s="1" t="n">
        <v>44120</v>
      </c>
      <c r="C95" s="1" t="n">
        <v>45929</v>
      </c>
      <c r="D95" t="inlineStr">
        <is>
          <t>VÄSTERNORRLANDS LÄN</t>
        </is>
      </c>
      <c r="E95" t="inlineStr">
        <is>
          <t>ÅNGE</t>
        </is>
      </c>
      <c r="F95" t="inlineStr">
        <is>
          <t>SCA</t>
        </is>
      </c>
      <c r="G95" t="n">
        <v>6.4</v>
      </c>
      <c r="H95" t="n">
        <v>2</v>
      </c>
      <c r="I95" t="n">
        <v>1</v>
      </c>
      <c r="J95" t="n">
        <v>2</v>
      </c>
      <c r="K95" t="n">
        <v>1</v>
      </c>
      <c r="L95" t="n">
        <v>0</v>
      </c>
      <c r="M95" t="n">
        <v>0</v>
      </c>
      <c r="N95" t="n">
        <v>0</v>
      </c>
      <c r="O95" t="n">
        <v>3</v>
      </c>
      <c r="P95" t="n">
        <v>1</v>
      </c>
      <c r="Q95" t="n">
        <v>4</v>
      </c>
      <c r="R95" s="2" t="inlineStr">
        <is>
          <t>Långskägg
Garnlav
Lunglav
Korallrot</t>
        </is>
      </c>
      <c r="S95">
        <f>HYPERLINK("https://klasma.github.io/Logging_2260/artfynd/A 53169-2020 artfynd.xlsx", "A 53169-2020")</f>
        <v/>
      </c>
      <c r="T95">
        <f>HYPERLINK("https://klasma.github.io/Logging_2260/kartor/A 53169-2020 karta.png", "A 53169-2020")</f>
        <v/>
      </c>
      <c r="V95">
        <f>HYPERLINK("https://klasma.github.io/Logging_2260/klagomål/A 53169-2020 FSC-klagomål.docx", "A 53169-2020")</f>
        <v/>
      </c>
      <c r="W95">
        <f>HYPERLINK("https://klasma.github.io/Logging_2260/klagomålsmail/A 53169-2020 FSC-klagomål mail.docx", "A 53169-2020")</f>
        <v/>
      </c>
      <c r="X95">
        <f>HYPERLINK("https://klasma.github.io/Logging_2260/tillsyn/A 53169-2020 tillsynsbegäran.docx", "A 53169-2020")</f>
        <v/>
      </c>
      <c r="Y95">
        <f>HYPERLINK("https://klasma.github.io/Logging_2260/tillsynsmail/A 53169-2020 tillsynsbegäran mail.docx", "A 53169-2020")</f>
        <v/>
      </c>
    </row>
    <row r="96" ht="15" customHeight="1">
      <c r="A96" t="inlineStr">
        <is>
          <t>A 11029-2025</t>
        </is>
      </c>
      <c r="B96" s="1" t="n">
        <v>45723</v>
      </c>
      <c r="C96" s="1" t="n">
        <v>45929</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38326-2024</t>
        </is>
      </c>
      <c r="B97" s="1" t="n">
        <v>45545.67741898148</v>
      </c>
      <c r="C97" s="1" t="n">
        <v>45929</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39176-2024</t>
        </is>
      </c>
      <c r="B98" s="1" t="n">
        <v>45548</v>
      </c>
      <c r="C98" s="1" t="n">
        <v>45929</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55179-2024</t>
        </is>
      </c>
      <c r="B99" s="1" t="n">
        <v>45621.53204861111</v>
      </c>
      <c r="C99" s="1" t="n">
        <v>45929</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45929</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26953-2024</t>
        </is>
      </c>
      <c r="B101" s="1" t="n">
        <v>45470</v>
      </c>
      <c r="C101" s="1" t="n">
        <v>45929</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723-2025</t>
        </is>
      </c>
      <c r="B102" s="1" t="n">
        <v>45665.38576388889</v>
      </c>
      <c r="C102" s="1" t="n">
        <v>45929</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44558-2024</t>
        </is>
      </c>
      <c r="B103" s="1" t="n">
        <v>45574.47001157407</v>
      </c>
      <c r="C103" s="1" t="n">
        <v>45929</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38713-2025</t>
        </is>
      </c>
      <c r="B104" s="1" t="n">
        <v>45886.34479166667</v>
      </c>
      <c r="C104" s="1" t="n">
        <v>45929</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27956-2021</t>
        </is>
      </c>
      <c r="B105" s="1" t="n">
        <v>44354</v>
      </c>
      <c r="C105" s="1" t="n">
        <v>45929</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45929</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47617-2024</t>
        </is>
      </c>
      <c r="B107" s="1" t="n">
        <v>45588.32125</v>
      </c>
      <c r="C107" s="1" t="n">
        <v>45929</v>
      </c>
      <c r="D107" t="inlineStr">
        <is>
          <t>VÄSTERNORRLANDS LÄN</t>
        </is>
      </c>
      <c r="E107" t="inlineStr">
        <is>
          <t>ÅNGE</t>
        </is>
      </c>
      <c r="F107" t="inlineStr">
        <is>
          <t>Holmen skog AB</t>
        </is>
      </c>
      <c r="G107" t="n">
        <v>8.300000000000001</v>
      </c>
      <c r="H107" t="n">
        <v>0</v>
      </c>
      <c r="I107" t="n">
        <v>0</v>
      </c>
      <c r="J107" t="n">
        <v>3</v>
      </c>
      <c r="K107" t="n">
        <v>0</v>
      </c>
      <c r="L107" t="n">
        <v>0</v>
      </c>
      <c r="M107" t="n">
        <v>0</v>
      </c>
      <c r="N107" t="n">
        <v>0</v>
      </c>
      <c r="O107" t="n">
        <v>3</v>
      </c>
      <c r="P107" t="n">
        <v>0</v>
      </c>
      <c r="Q107" t="n">
        <v>3</v>
      </c>
      <c r="R107" s="2" t="inlineStr">
        <is>
          <t>Granticka
Gränsticka
Lunglav</t>
        </is>
      </c>
      <c r="S107">
        <f>HYPERLINK("https://klasma.github.io/Logging_2260/artfynd/A 47617-2024 artfynd.xlsx", "A 47617-2024")</f>
        <v/>
      </c>
      <c r="T107">
        <f>HYPERLINK("https://klasma.github.io/Logging_2260/kartor/A 47617-2024 karta.png", "A 47617-2024")</f>
        <v/>
      </c>
      <c r="V107">
        <f>HYPERLINK("https://klasma.github.io/Logging_2260/klagomål/A 47617-2024 FSC-klagomål.docx", "A 47617-2024")</f>
        <v/>
      </c>
      <c r="W107">
        <f>HYPERLINK("https://klasma.github.io/Logging_2260/klagomålsmail/A 47617-2024 FSC-klagomål mail.docx", "A 47617-2024")</f>
        <v/>
      </c>
      <c r="X107">
        <f>HYPERLINK("https://klasma.github.io/Logging_2260/tillsyn/A 47617-2024 tillsynsbegäran.docx", "A 47617-2024")</f>
        <v/>
      </c>
      <c r="Y107">
        <f>HYPERLINK("https://klasma.github.io/Logging_2260/tillsynsmail/A 47617-2024 tillsynsbegäran mail.docx", "A 47617-2024")</f>
        <v/>
      </c>
    </row>
    <row r="108" ht="15" customHeight="1">
      <c r="A108" t="inlineStr">
        <is>
          <t>A 41868-2025</t>
        </is>
      </c>
      <c r="B108" s="1" t="n">
        <v>45903.34429398148</v>
      </c>
      <c r="C108" s="1" t="n">
        <v>45929</v>
      </c>
      <c r="D108" t="inlineStr">
        <is>
          <t>VÄSTERNORRLANDS LÄN</t>
        </is>
      </c>
      <c r="E108" t="inlineStr">
        <is>
          <t>ÅNGE</t>
        </is>
      </c>
      <c r="F108" t="inlineStr">
        <is>
          <t>SCA</t>
        </is>
      </c>
      <c r="G108" t="n">
        <v>5.4</v>
      </c>
      <c r="H108" t="n">
        <v>2</v>
      </c>
      <c r="I108" t="n">
        <v>1</v>
      </c>
      <c r="J108" t="n">
        <v>1</v>
      </c>
      <c r="K108" t="n">
        <v>0</v>
      </c>
      <c r="L108" t="n">
        <v>0</v>
      </c>
      <c r="M108" t="n">
        <v>0</v>
      </c>
      <c r="N108" t="n">
        <v>0</v>
      </c>
      <c r="O108" t="n">
        <v>1</v>
      </c>
      <c r="P108" t="n">
        <v>0</v>
      </c>
      <c r="Q108" t="n">
        <v>3</v>
      </c>
      <c r="R108" s="2" t="inlineStr">
        <is>
          <t>Garnlav
Spindelblomster
Revlummer</t>
        </is>
      </c>
      <c r="S108">
        <f>HYPERLINK("https://klasma.github.io/Logging_2260/artfynd/A 41868-2025 artfynd.xlsx", "A 41868-2025")</f>
        <v/>
      </c>
      <c r="T108">
        <f>HYPERLINK("https://klasma.github.io/Logging_2260/kartor/A 41868-2025 karta.png", "A 41868-2025")</f>
        <v/>
      </c>
      <c r="V108">
        <f>HYPERLINK("https://klasma.github.io/Logging_2260/klagomål/A 41868-2025 FSC-klagomål.docx", "A 41868-2025")</f>
        <v/>
      </c>
      <c r="W108">
        <f>HYPERLINK("https://klasma.github.io/Logging_2260/klagomålsmail/A 41868-2025 FSC-klagomål mail.docx", "A 41868-2025")</f>
        <v/>
      </c>
      <c r="X108">
        <f>HYPERLINK("https://klasma.github.io/Logging_2260/tillsyn/A 41868-2025 tillsynsbegäran.docx", "A 41868-2025")</f>
        <v/>
      </c>
      <c r="Y108">
        <f>HYPERLINK("https://klasma.github.io/Logging_2260/tillsynsmail/A 41868-2025 tillsynsbegäran mail.docx", "A 41868-2025")</f>
        <v/>
      </c>
    </row>
    <row r="109" ht="15" customHeight="1">
      <c r="A109" t="inlineStr">
        <is>
          <t>A 7533-2023</t>
        </is>
      </c>
      <c r="B109" s="1" t="n">
        <v>44971</v>
      </c>
      <c r="C109" s="1" t="n">
        <v>45929</v>
      </c>
      <c r="D109" t="inlineStr">
        <is>
          <t>VÄSTERNORRLANDS LÄN</t>
        </is>
      </c>
      <c r="E109" t="inlineStr">
        <is>
          <t>ÅNGE</t>
        </is>
      </c>
      <c r="F109" t="inlineStr">
        <is>
          <t>SCA</t>
        </is>
      </c>
      <c r="G109" t="n">
        <v>15.7</v>
      </c>
      <c r="H109" t="n">
        <v>2</v>
      </c>
      <c r="I109" t="n">
        <v>0</v>
      </c>
      <c r="J109" t="n">
        <v>1</v>
      </c>
      <c r="K109" t="n">
        <v>1</v>
      </c>
      <c r="L109" t="n">
        <v>0</v>
      </c>
      <c r="M109" t="n">
        <v>0</v>
      </c>
      <c r="N109" t="n">
        <v>0</v>
      </c>
      <c r="O109" t="n">
        <v>2</v>
      </c>
      <c r="P109" t="n">
        <v>1</v>
      </c>
      <c r="Q109" t="n">
        <v>3</v>
      </c>
      <c r="R109" s="2" t="inlineStr">
        <is>
          <t>Doftticka
Lunglav
Blåsippa</t>
        </is>
      </c>
      <c r="S109">
        <f>HYPERLINK("https://klasma.github.io/Logging_2260/artfynd/A 7533-2023 artfynd.xlsx", "A 7533-2023")</f>
        <v/>
      </c>
      <c r="T109">
        <f>HYPERLINK("https://klasma.github.io/Logging_2260/kartor/A 7533-2023 karta.png", "A 7533-2023")</f>
        <v/>
      </c>
      <c r="V109">
        <f>HYPERLINK("https://klasma.github.io/Logging_2260/klagomål/A 7533-2023 FSC-klagomål.docx", "A 7533-2023")</f>
        <v/>
      </c>
      <c r="W109">
        <f>HYPERLINK("https://klasma.github.io/Logging_2260/klagomålsmail/A 7533-2023 FSC-klagomål mail.docx", "A 7533-2023")</f>
        <v/>
      </c>
      <c r="X109">
        <f>HYPERLINK("https://klasma.github.io/Logging_2260/tillsyn/A 7533-2023 tillsynsbegäran.docx", "A 7533-2023")</f>
        <v/>
      </c>
      <c r="Y109">
        <f>HYPERLINK("https://klasma.github.io/Logging_2260/tillsynsmail/A 7533-2023 tillsynsbegäran mail.docx", "A 7533-2023")</f>
        <v/>
      </c>
    </row>
    <row r="110" ht="15" customHeight="1">
      <c r="A110" t="inlineStr">
        <is>
          <t>A 43319-2025</t>
        </is>
      </c>
      <c r="B110" s="1" t="n">
        <v>45910.65681712963</v>
      </c>
      <c r="C110" s="1" t="n">
        <v>45929</v>
      </c>
      <c r="D110" t="inlineStr">
        <is>
          <t>VÄSTERNORRLANDS LÄN</t>
        </is>
      </c>
      <c r="E110" t="inlineStr">
        <is>
          <t>ÅNGE</t>
        </is>
      </c>
      <c r="F110" t="inlineStr">
        <is>
          <t>SCA</t>
        </is>
      </c>
      <c r="G110" t="n">
        <v>6.6</v>
      </c>
      <c r="H110" t="n">
        <v>0</v>
      </c>
      <c r="I110" t="n">
        <v>1</v>
      </c>
      <c r="J110" t="n">
        <v>2</v>
      </c>
      <c r="K110" t="n">
        <v>0</v>
      </c>
      <c r="L110" t="n">
        <v>0</v>
      </c>
      <c r="M110" t="n">
        <v>0</v>
      </c>
      <c r="N110" t="n">
        <v>0</v>
      </c>
      <c r="O110" t="n">
        <v>2</v>
      </c>
      <c r="P110" t="n">
        <v>0</v>
      </c>
      <c r="Q110" t="n">
        <v>3</v>
      </c>
      <c r="R110" s="2" t="inlineStr">
        <is>
          <t>Ullticka
Violettgrå tagellav
Korallblylav</t>
        </is>
      </c>
      <c r="S110">
        <f>HYPERLINK("https://klasma.github.io/Logging_2260/artfynd/A 43319-2025 artfynd.xlsx", "A 43319-2025")</f>
        <v/>
      </c>
      <c r="T110">
        <f>HYPERLINK("https://klasma.github.io/Logging_2260/kartor/A 43319-2025 karta.png", "A 43319-2025")</f>
        <v/>
      </c>
      <c r="V110">
        <f>HYPERLINK("https://klasma.github.io/Logging_2260/klagomål/A 43319-2025 FSC-klagomål.docx", "A 43319-2025")</f>
        <v/>
      </c>
      <c r="W110">
        <f>HYPERLINK("https://klasma.github.io/Logging_2260/klagomålsmail/A 43319-2025 FSC-klagomål mail.docx", "A 43319-2025")</f>
        <v/>
      </c>
      <c r="X110">
        <f>HYPERLINK("https://klasma.github.io/Logging_2260/tillsyn/A 43319-2025 tillsynsbegäran.docx", "A 43319-2025")</f>
        <v/>
      </c>
      <c r="Y110">
        <f>HYPERLINK("https://klasma.github.io/Logging_2260/tillsynsmail/A 43319-2025 tillsynsbegäran mail.docx", "A 43319-2025")</f>
        <v/>
      </c>
    </row>
    <row r="111" ht="15" customHeight="1">
      <c r="A111" t="inlineStr">
        <is>
          <t>A 29665-2024</t>
        </is>
      </c>
      <c r="B111" s="1" t="n">
        <v>45484</v>
      </c>
      <c r="C111" s="1" t="n">
        <v>45929</v>
      </c>
      <c r="D111" t="inlineStr">
        <is>
          <t>VÄSTERNORRLANDS LÄN</t>
        </is>
      </c>
      <c r="E111" t="inlineStr">
        <is>
          <t>ÅNGE</t>
        </is>
      </c>
      <c r="F111" t="inlineStr">
        <is>
          <t>SCA</t>
        </is>
      </c>
      <c r="G111" t="n">
        <v>3.3</v>
      </c>
      <c r="H111" t="n">
        <v>1</v>
      </c>
      <c r="I111" t="n">
        <v>0</v>
      </c>
      <c r="J111" t="n">
        <v>3</v>
      </c>
      <c r="K111" t="n">
        <v>0</v>
      </c>
      <c r="L111" t="n">
        <v>0</v>
      </c>
      <c r="M111" t="n">
        <v>0</v>
      </c>
      <c r="N111" t="n">
        <v>0</v>
      </c>
      <c r="O111" t="n">
        <v>3</v>
      </c>
      <c r="P111" t="n">
        <v>0</v>
      </c>
      <c r="Q111" t="n">
        <v>3</v>
      </c>
      <c r="R111" s="2" t="inlineStr">
        <is>
          <t>Garnlav
Granticka
Utter</t>
        </is>
      </c>
      <c r="S111">
        <f>HYPERLINK("https://klasma.github.io/Logging_2260/artfynd/A 29665-2024 artfynd.xlsx", "A 29665-2024")</f>
        <v/>
      </c>
      <c r="T111">
        <f>HYPERLINK("https://klasma.github.io/Logging_2260/kartor/A 29665-2024 karta.png", "A 29665-2024")</f>
        <v/>
      </c>
      <c r="V111">
        <f>HYPERLINK("https://klasma.github.io/Logging_2260/klagomål/A 29665-2024 FSC-klagomål.docx", "A 29665-2024")</f>
        <v/>
      </c>
      <c r="W111">
        <f>HYPERLINK("https://klasma.github.io/Logging_2260/klagomålsmail/A 29665-2024 FSC-klagomål mail.docx", "A 29665-2024")</f>
        <v/>
      </c>
      <c r="X111">
        <f>HYPERLINK("https://klasma.github.io/Logging_2260/tillsyn/A 29665-2024 tillsynsbegäran.docx", "A 29665-2024")</f>
        <v/>
      </c>
      <c r="Y111">
        <f>HYPERLINK("https://klasma.github.io/Logging_2260/tillsynsmail/A 29665-2024 tillsynsbegäran mail.docx", "A 29665-2024")</f>
        <v/>
      </c>
    </row>
    <row r="112" ht="15" customHeight="1">
      <c r="A112" t="inlineStr">
        <is>
          <t>A 29691-2024</t>
        </is>
      </c>
      <c r="B112" s="1" t="n">
        <v>45484.9446875</v>
      </c>
      <c r="C112" s="1" t="n">
        <v>45929</v>
      </c>
      <c r="D112" t="inlineStr">
        <is>
          <t>VÄSTERNORRLANDS LÄN</t>
        </is>
      </c>
      <c r="E112" t="inlineStr">
        <is>
          <t>ÅNGE</t>
        </is>
      </c>
      <c r="F112" t="inlineStr">
        <is>
          <t>SCA</t>
        </is>
      </c>
      <c r="G112" t="n">
        <v>6.8</v>
      </c>
      <c r="H112" t="n">
        <v>0</v>
      </c>
      <c r="I112" t="n">
        <v>1</v>
      </c>
      <c r="J112" t="n">
        <v>2</v>
      </c>
      <c r="K112" t="n">
        <v>0</v>
      </c>
      <c r="L112" t="n">
        <v>0</v>
      </c>
      <c r="M112" t="n">
        <v>0</v>
      </c>
      <c r="N112" t="n">
        <v>0</v>
      </c>
      <c r="O112" t="n">
        <v>2</v>
      </c>
      <c r="P112" t="n">
        <v>0</v>
      </c>
      <c r="Q112" t="n">
        <v>3</v>
      </c>
      <c r="R112" s="2" t="inlineStr">
        <is>
          <t>Lunglav
Rosenticka
Vedticka</t>
        </is>
      </c>
      <c r="S112">
        <f>HYPERLINK("https://klasma.github.io/Logging_2260/artfynd/A 29691-2024 artfynd.xlsx", "A 29691-2024")</f>
        <v/>
      </c>
      <c r="T112">
        <f>HYPERLINK("https://klasma.github.io/Logging_2260/kartor/A 29691-2024 karta.png", "A 29691-2024")</f>
        <v/>
      </c>
      <c r="V112">
        <f>HYPERLINK("https://klasma.github.io/Logging_2260/klagomål/A 29691-2024 FSC-klagomål.docx", "A 29691-2024")</f>
        <v/>
      </c>
      <c r="W112">
        <f>HYPERLINK("https://klasma.github.io/Logging_2260/klagomålsmail/A 29691-2024 FSC-klagomål mail.docx", "A 29691-2024")</f>
        <v/>
      </c>
      <c r="X112">
        <f>HYPERLINK("https://klasma.github.io/Logging_2260/tillsyn/A 29691-2024 tillsynsbegäran.docx", "A 29691-2024")</f>
        <v/>
      </c>
      <c r="Y112">
        <f>HYPERLINK("https://klasma.github.io/Logging_2260/tillsynsmail/A 29691-2024 tillsynsbegäran mail.docx", "A 29691-2024")</f>
        <v/>
      </c>
    </row>
    <row r="113" ht="15" customHeight="1">
      <c r="A113" t="inlineStr">
        <is>
          <t>A 43880-2025</t>
        </is>
      </c>
      <c r="B113" s="1" t="n">
        <v>45912.67833333334</v>
      </c>
      <c r="C113" s="1" t="n">
        <v>45929</v>
      </c>
      <c r="D113" t="inlineStr">
        <is>
          <t>VÄSTERNORRLANDS LÄN</t>
        </is>
      </c>
      <c r="E113" t="inlineStr">
        <is>
          <t>ÅNGE</t>
        </is>
      </c>
      <c r="F113" t="inlineStr">
        <is>
          <t>SCA</t>
        </is>
      </c>
      <c r="G113" t="n">
        <v>3.5</v>
      </c>
      <c r="H113" t="n">
        <v>1</v>
      </c>
      <c r="I113" t="n">
        <v>0</v>
      </c>
      <c r="J113" t="n">
        <v>3</v>
      </c>
      <c r="K113" t="n">
        <v>0</v>
      </c>
      <c r="L113" t="n">
        <v>0</v>
      </c>
      <c r="M113" t="n">
        <v>0</v>
      </c>
      <c r="N113" t="n">
        <v>0</v>
      </c>
      <c r="O113" t="n">
        <v>3</v>
      </c>
      <c r="P113" t="n">
        <v>0</v>
      </c>
      <c r="Q113" t="n">
        <v>3</v>
      </c>
      <c r="R113" s="2" t="inlineStr">
        <is>
          <t>Granticka
Tretåig hackspett
Vitgrynig nållav</t>
        </is>
      </c>
      <c r="S113">
        <f>HYPERLINK("https://klasma.github.io/Logging_2260/artfynd/A 43880-2025 artfynd.xlsx", "A 43880-2025")</f>
        <v/>
      </c>
      <c r="T113">
        <f>HYPERLINK("https://klasma.github.io/Logging_2260/kartor/A 43880-2025 karta.png", "A 43880-2025")</f>
        <v/>
      </c>
      <c r="V113">
        <f>HYPERLINK("https://klasma.github.io/Logging_2260/klagomål/A 43880-2025 FSC-klagomål.docx", "A 43880-2025")</f>
        <v/>
      </c>
      <c r="W113">
        <f>HYPERLINK("https://klasma.github.io/Logging_2260/klagomålsmail/A 43880-2025 FSC-klagomål mail.docx", "A 43880-2025")</f>
        <v/>
      </c>
      <c r="X113">
        <f>HYPERLINK("https://klasma.github.io/Logging_2260/tillsyn/A 43880-2025 tillsynsbegäran.docx", "A 43880-2025")</f>
        <v/>
      </c>
      <c r="Y113">
        <f>HYPERLINK("https://klasma.github.io/Logging_2260/tillsynsmail/A 43880-2025 tillsynsbegäran mail.docx", "A 43880-2025")</f>
        <v/>
      </c>
      <c r="Z113">
        <f>HYPERLINK("https://klasma.github.io/Logging_2260/fåglar/A 43880-2025 prioriterade fågelarter.docx", "A 43880-2025")</f>
        <v/>
      </c>
    </row>
    <row r="114" ht="15" customHeight="1">
      <c r="A114" t="inlineStr">
        <is>
          <t>A 28274-2023</t>
        </is>
      </c>
      <c r="B114" s="1" t="n">
        <v>45099</v>
      </c>
      <c r="C114" s="1" t="n">
        <v>45929</v>
      </c>
      <c r="D114" t="inlineStr">
        <is>
          <t>VÄSTERNORRLANDS LÄN</t>
        </is>
      </c>
      <c r="E114" t="inlineStr">
        <is>
          <t>ÅNGE</t>
        </is>
      </c>
      <c r="G114" t="n">
        <v>19.2</v>
      </c>
      <c r="H114" t="n">
        <v>1</v>
      </c>
      <c r="I114" t="n">
        <v>1</v>
      </c>
      <c r="J114" t="n">
        <v>1</v>
      </c>
      <c r="K114" t="n">
        <v>1</v>
      </c>
      <c r="L114" t="n">
        <v>0</v>
      </c>
      <c r="M114" t="n">
        <v>0</v>
      </c>
      <c r="N114" t="n">
        <v>0</v>
      </c>
      <c r="O114" t="n">
        <v>2</v>
      </c>
      <c r="P114" t="n">
        <v>1</v>
      </c>
      <c r="Q114" t="n">
        <v>3</v>
      </c>
      <c r="R114" s="2" t="inlineStr">
        <is>
          <t>Knärot
Lunglav
Grönpyrola</t>
        </is>
      </c>
      <c r="S114">
        <f>HYPERLINK("https://klasma.github.io/Logging_2260/artfynd/A 28274-2023 artfynd.xlsx", "A 28274-2023")</f>
        <v/>
      </c>
      <c r="T114">
        <f>HYPERLINK("https://klasma.github.io/Logging_2260/kartor/A 28274-2023 karta.png", "A 28274-2023")</f>
        <v/>
      </c>
      <c r="U114">
        <f>HYPERLINK("https://klasma.github.io/Logging_2260/knärot/A 28274-2023 karta knärot.png", "A 28274-2023")</f>
        <v/>
      </c>
      <c r="V114">
        <f>HYPERLINK("https://klasma.github.io/Logging_2260/klagomål/A 28274-2023 FSC-klagomål.docx", "A 28274-2023")</f>
        <v/>
      </c>
      <c r="W114">
        <f>HYPERLINK("https://klasma.github.io/Logging_2260/klagomålsmail/A 28274-2023 FSC-klagomål mail.docx", "A 28274-2023")</f>
        <v/>
      </c>
      <c r="X114">
        <f>HYPERLINK("https://klasma.github.io/Logging_2260/tillsyn/A 28274-2023 tillsynsbegäran.docx", "A 28274-2023")</f>
        <v/>
      </c>
      <c r="Y114">
        <f>HYPERLINK("https://klasma.github.io/Logging_2260/tillsynsmail/A 28274-2023 tillsynsbegäran mail.docx", "A 28274-2023")</f>
        <v/>
      </c>
    </row>
    <row r="115" ht="15" customHeight="1">
      <c r="A115" t="inlineStr">
        <is>
          <t>A 37184-2025</t>
        </is>
      </c>
      <c r="B115" s="1" t="n">
        <v>45875.63591435185</v>
      </c>
      <c r="C115" s="1" t="n">
        <v>45929</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39179-2024</t>
        </is>
      </c>
      <c r="B116" s="1" t="n">
        <v>45548.65703703704</v>
      </c>
      <c r="C116" s="1" t="n">
        <v>45929</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39708-2024</t>
        </is>
      </c>
      <c r="B117" s="1" t="n">
        <v>45552.59408564815</v>
      </c>
      <c r="C117" s="1" t="n">
        <v>45929</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39181-2024</t>
        </is>
      </c>
      <c r="B118" s="1" t="n">
        <v>45548</v>
      </c>
      <c r="C118" s="1" t="n">
        <v>45929</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38664-2025</t>
        </is>
      </c>
      <c r="B119" s="1" t="n">
        <v>45884.61503472222</v>
      </c>
      <c r="C119" s="1" t="n">
        <v>45929</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45929</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46417-2025</t>
        </is>
      </c>
      <c r="B121" s="1" t="n">
        <v>45925.59454861111</v>
      </c>
      <c r="C121" s="1" t="n">
        <v>45929</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21267-2025</t>
        </is>
      </c>
      <c r="B122" s="1" t="n">
        <v>45779</v>
      </c>
      <c r="C122" s="1" t="n">
        <v>45929</v>
      </c>
      <c r="D122" t="inlineStr">
        <is>
          <t>VÄSTERNORRLANDS LÄN</t>
        </is>
      </c>
      <c r="E122" t="inlineStr">
        <is>
          <t>ÅNGE</t>
        </is>
      </c>
      <c r="F122" t="inlineStr">
        <is>
          <t>Sveaskog</t>
        </is>
      </c>
      <c r="G122" t="n">
        <v>3.7</v>
      </c>
      <c r="H122" t="n">
        <v>2</v>
      </c>
      <c r="I122" t="n">
        <v>2</v>
      </c>
      <c r="J122" t="n">
        <v>1</v>
      </c>
      <c r="K122" t="n">
        <v>0</v>
      </c>
      <c r="L122" t="n">
        <v>0</v>
      </c>
      <c r="M122" t="n">
        <v>0</v>
      </c>
      <c r="N122" t="n">
        <v>0</v>
      </c>
      <c r="O122" t="n">
        <v>1</v>
      </c>
      <c r="P122" t="n">
        <v>0</v>
      </c>
      <c r="Q122" t="n">
        <v>3</v>
      </c>
      <c r="R122" s="2" t="inlineStr">
        <is>
          <t>Lunglav
Korallrot
Spindelblomster</t>
        </is>
      </c>
      <c r="S122">
        <f>HYPERLINK("https://klasma.github.io/Logging_2260/artfynd/A 21267-2025 artfynd.xlsx", "A 21267-2025")</f>
        <v/>
      </c>
      <c r="T122">
        <f>HYPERLINK("https://klasma.github.io/Logging_2260/kartor/A 21267-2025 karta.png", "A 21267-2025")</f>
        <v/>
      </c>
      <c r="V122">
        <f>HYPERLINK("https://klasma.github.io/Logging_2260/klagomål/A 21267-2025 FSC-klagomål.docx", "A 21267-2025")</f>
        <v/>
      </c>
      <c r="W122">
        <f>HYPERLINK("https://klasma.github.io/Logging_2260/klagomålsmail/A 21267-2025 FSC-klagomål mail.docx", "A 21267-2025")</f>
        <v/>
      </c>
      <c r="X122">
        <f>HYPERLINK("https://klasma.github.io/Logging_2260/tillsyn/A 21267-2025 tillsynsbegäran.docx", "A 21267-2025")</f>
        <v/>
      </c>
      <c r="Y122">
        <f>HYPERLINK("https://klasma.github.io/Logging_2260/tillsynsmail/A 21267-2025 tillsynsbegäran mail.docx", "A 21267-2025")</f>
        <v/>
      </c>
    </row>
    <row r="123" ht="15" customHeight="1">
      <c r="A123" t="inlineStr">
        <is>
          <t>A 23754-2025</t>
        </is>
      </c>
      <c r="B123" s="1" t="n">
        <v>45793.45782407407</v>
      </c>
      <c r="C123" s="1" t="n">
        <v>45929</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45929</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22996-2023</t>
        </is>
      </c>
      <c r="B125" s="1" t="n">
        <v>45072</v>
      </c>
      <c r="C125" s="1" t="n">
        <v>45929</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26679-2025</t>
        </is>
      </c>
      <c r="B126" s="1" t="n">
        <v>45810</v>
      </c>
      <c r="C126" s="1" t="n">
        <v>45929</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45929</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31212-2025</t>
        </is>
      </c>
      <c r="B128" s="1" t="n">
        <v>45832.71978009259</v>
      </c>
      <c r="C128" s="1" t="n">
        <v>45929</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39029-2025</t>
        </is>
      </c>
      <c r="B129" s="1" t="n">
        <v>45888.40684027778</v>
      </c>
      <c r="C129" s="1" t="n">
        <v>45929</v>
      </c>
      <c r="D129" t="inlineStr">
        <is>
          <t>VÄSTERNORRLANDS LÄN</t>
        </is>
      </c>
      <c r="E129" t="inlineStr">
        <is>
          <t>ÅNGE</t>
        </is>
      </c>
      <c r="F129" t="inlineStr">
        <is>
          <t>SCA</t>
        </is>
      </c>
      <c r="G129" t="n">
        <v>2.4</v>
      </c>
      <c r="H129" t="n">
        <v>2</v>
      </c>
      <c r="I129" t="n">
        <v>0</v>
      </c>
      <c r="J129" t="n">
        <v>1</v>
      </c>
      <c r="K129" t="n">
        <v>0</v>
      </c>
      <c r="L129" t="n">
        <v>0</v>
      </c>
      <c r="M129" t="n">
        <v>0</v>
      </c>
      <c r="N129" t="n">
        <v>0</v>
      </c>
      <c r="O129" t="n">
        <v>1</v>
      </c>
      <c r="P129" t="n">
        <v>0</v>
      </c>
      <c r="Q129" t="n">
        <v>3</v>
      </c>
      <c r="R129" s="2" t="inlineStr">
        <is>
          <t>Kolflarnlav
Fläcknycklar
Revlummer</t>
        </is>
      </c>
      <c r="S129">
        <f>HYPERLINK("https://klasma.github.io/Logging_2260/artfynd/A 39029-2025 artfynd.xlsx", "A 39029-2025")</f>
        <v/>
      </c>
      <c r="T129">
        <f>HYPERLINK("https://klasma.github.io/Logging_2260/kartor/A 39029-2025 karta.png", "A 39029-2025")</f>
        <v/>
      </c>
      <c r="V129">
        <f>HYPERLINK("https://klasma.github.io/Logging_2260/klagomål/A 39029-2025 FSC-klagomål.docx", "A 39029-2025")</f>
        <v/>
      </c>
      <c r="W129">
        <f>HYPERLINK("https://klasma.github.io/Logging_2260/klagomålsmail/A 39029-2025 FSC-klagomål mail.docx", "A 39029-2025")</f>
        <v/>
      </c>
      <c r="X129">
        <f>HYPERLINK("https://klasma.github.io/Logging_2260/tillsyn/A 39029-2025 tillsynsbegäran.docx", "A 39029-2025")</f>
        <v/>
      </c>
      <c r="Y129">
        <f>HYPERLINK("https://klasma.github.io/Logging_2260/tillsynsmail/A 39029-2025 tillsynsbegäran mail.docx", "A 39029-2025")</f>
        <v/>
      </c>
    </row>
    <row r="130" ht="15" customHeight="1">
      <c r="A130" t="inlineStr">
        <is>
          <t>A 24796-2024</t>
        </is>
      </c>
      <c r="B130" s="1" t="n">
        <v>45460</v>
      </c>
      <c r="C130" s="1" t="n">
        <v>45929</v>
      </c>
      <c r="D130" t="inlineStr">
        <is>
          <t>VÄSTERNORRLANDS LÄN</t>
        </is>
      </c>
      <c r="E130" t="inlineStr">
        <is>
          <t>ÅNGE</t>
        </is>
      </c>
      <c r="F130" t="inlineStr">
        <is>
          <t>SCA</t>
        </is>
      </c>
      <c r="G130" t="n">
        <v>6.7</v>
      </c>
      <c r="H130" t="n">
        <v>1</v>
      </c>
      <c r="I130" t="n">
        <v>2</v>
      </c>
      <c r="J130" t="n">
        <v>1</v>
      </c>
      <c r="K130" t="n">
        <v>0</v>
      </c>
      <c r="L130" t="n">
        <v>0</v>
      </c>
      <c r="M130" t="n">
        <v>0</v>
      </c>
      <c r="N130" t="n">
        <v>0</v>
      </c>
      <c r="O130" t="n">
        <v>1</v>
      </c>
      <c r="P130" t="n">
        <v>0</v>
      </c>
      <c r="Q130" t="n">
        <v>3</v>
      </c>
      <c r="R130" s="2" t="inlineStr">
        <is>
          <t>Doftskinn
Korallrot
Skinnlav</t>
        </is>
      </c>
      <c r="S130">
        <f>HYPERLINK("https://klasma.github.io/Logging_2260/artfynd/A 24796-2024 artfynd.xlsx", "A 24796-2024")</f>
        <v/>
      </c>
      <c r="T130">
        <f>HYPERLINK("https://klasma.github.io/Logging_2260/kartor/A 24796-2024 karta.png", "A 24796-2024")</f>
        <v/>
      </c>
      <c r="V130">
        <f>HYPERLINK("https://klasma.github.io/Logging_2260/klagomål/A 24796-2024 FSC-klagomål.docx", "A 24796-2024")</f>
        <v/>
      </c>
      <c r="W130">
        <f>HYPERLINK("https://klasma.github.io/Logging_2260/klagomålsmail/A 24796-2024 FSC-klagomål mail.docx", "A 24796-2024")</f>
        <v/>
      </c>
      <c r="X130">
        <f>HYPERLINK("https://klasma.github.io/Logging_2260/tillsyn/A 24796-2024 tillsynsbegäran.docx", "A 24796-2024")</f>
        <v/>
      </c>
      <c r="Y130">
        <f>HYPERLINK("https://klasma.github.io/Logging_2260/tillsynsmail/A 24796-2024 tillsynsbegäran mail.docx", "A 24796-2024")</f>
        <v/>
      </c>
    </row>
    <row r="131" ht="15" customHeight="1">
      <c r="A131" t="inlineStr">
        <is>
          <t>A 36635-2021</t>
        </is>
      </c>
      <c r="B131" s="1" t="n">
        <v>44391</v>
      </c>
      <c r="C131" s="1" t="n">
        <v>45929</v>
      </c>
      <c r="D131" t="inlineStr">
        <is>
          <t>VÄSTERNORRLANDS LÄN</t>
        </is>
      </c>
      <c r="E131" t="inlineStr">
        <is>
          <t>ÅNGE</t>
        </is>
      </c>
      <c r="F131" t="inlineStr">
        <is>
          <t>SCA</t>
        </is>
      </c>
      <c r="G131" t="n">
        <v>3.7</v>
      </c>
      <c r="H131" t="n">
        <v>1</v>
      </c>
      <c r="I131" t="n">
        <v>0</v>
      </c>
      <c r="J131" t="n">
        <v>1</v>
      </c>
      <c r="K131" t="n">
        <v>1</v>
      </c>
      <c r="L131" t="n">
        <v>0</v>
      </c>
      <c r="M131" t="n">
        <v>0</v>
      </c>
      <c r="N131" t="n">
        <v>0</v>
      </c>
      <c r="O131" t="n">
        <v>2</v>
      </c>
      <c r="P131" t="n">
        <v>1</v>
      </c>
      <c r="Q131" t="n">
        <v>2</v>
      </c>
      <c r="R131" s="2" t="inlineStr">
        <is>
          <t>Knärot
Tallticka</t>
        </is>
      </c>
      <c r="S131">
        <f>HYPERLINK("https://klasma.github.io/Logging_2260/artfynd/A 36635-2021 artfynd.xlsx", "A 36635-2021")</f>
        <v/>
      </c>
      <c r="T131">
        <f>HYPERLINK("https://klasma.github.io/Logging_2260/kartor/A 36635-2021 karta.png", "A 36635-2021")</f>
        <v/>
      </c>
      <c r="U131">
        <f>HYPERLINK("https://klasma.github.io/Logging_2260/knärot/A 36635-2021 karta knärot.png", "A 36635-2021")</f>
        <v/>
      </c>
      <c r="V131">
        <f>HYPERLINK("https://klasma.github.io/Logging_2260/klagomål/A 36635-2021 FSC-klagomål.docx", "A 36635-2021")</f>
        <v/>
      </c>
      <c r="W131">
        <f>HYPERLINK("https://klasma.github.io/Logging_2260/klagomålsmail/A 36635-2021 FSC-klagomål mail.docx", "A 36635-2021")</f>
        <v/>
      </c>
      <c r="X131">
        <f>HYPERLINK("https://klasma.github.io/Logging_2260/tillsyn/A 36635-2021 tillsynsbegäran.docx", "A 36635-2021")</f>
        <v/>
      </c>
      <c r="Y131">
        <f>HYPERLINK("https://klasma.github.io/Logging_2260/tillsynsmail/A 36635-2021 tillsynsbegäran mail.docx", "A 36635-2021")</f>
        <v/>
      </c>
    </row>
    <row r="132" ht="15" customHeight="1">
      <c r="A132" t="inlineStr">
        <is>
          <t>A 47798-2022</t>
        </is>
      </c>
      <c r="B132" s="1" t="n">
        <v>44854.95365740741</v>
      </c>
      <c r="C132" s="1" t="n">
        <v>45929</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1082-2022</t>
        </is>
      </c>
      <c r="B133" s="1" t="n">
        <v>44571</v>
      </c>
      <c r="C133" s="1" t="n">
        <v>45929</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48152-2022</t>
        </is>
      </c>
      <c r="B134" s="1" t="n">
        <v>44853</v>
      </c>
      <c r="C134" s="1" t="n">
        <v>45929</v>
      </c>
      <c r="D134" t="inlineStr">
        <is>
          <t>VÄSTERNORRLANDS LÄN</t>
        </is>
      </c>
      <c r="E134" t="inlineStr">
        <is>
          <t>ÅNGE</t>
        </is>
      </c>
      <c r="G134" t="n">
        <v>2.9</v>
      </c>
      <c r="H134" t="n">
        <v>0</v>
      </c>
      <c r="I134" t="n">
        <v>0</v>
      </c>
      <c r="J134" t="n">
        <v>2</v>
      </c>
      <c r="K134" t="n">
        <v>0</v>
      </c>
      <c r="L134" t="n">
        <v>0</v>
      </c>
      <c r="M134" t="n">
        <v>0</v>
      </c>
      <c r="N134" t="n">
        <v>0</v>
      </c>
      <c r="O134" t="n">
        <v>2</v>
      </c>
      <c r="P134" t="n">
        <v>0</v>
      </c>
      <c r="Q134" t="n">
        <v>2</v>
      </c>
      <c r="R134" s="2" t="inlineStr">
        <is>
          <t>Lunglav
Skrovellav</t>
        </is>
      </c>
      <c r="S134">
        <f>HYPERLINK("https://klasma.github.io/Logging_2260/artfynd/A 48152-2022 artfynd.xlsx", "A 48152-2022")</f>
        <v/>
      </c>
      <c r="T134">
        <f>HYPERLINK("https://klasma.github.io/Logging_2260/kartor/A 48152-2022 karta.png", "A 48152-2022")</f>
        <v/>
      </c>
      <c r="V134">
        <f>HYPERLINK("https://klasma.github.io/Logging_2260/klagomål/A 48152-2022 FSC-klagomål.docx", "A 48152-2022")</f>
        <v/>
      </c>
      <c r="W134">
        <f>HYPERLINK("https://klasma.github.io/Logging_2260/klagomålsmail/A 48152-2022 FSC-klagomål mail.docx", "A 48152-2022")</f>
        <v/>
      </c>
      <c r="X134">
        <f>HYPERLINK("https://klasma.github.io/Logging_2260/tillsyn/A 48152-2022 tillsynsbegäran.docx", "A 48152-2022")</f>
        <v/>
      </c>
      <c r="Y134">
        <f>HYPERLINK("https://klasma.github.io/Logging_2260/tillsynsmail/A 48152-2022 tillsynsbegäran mail.docx", "A 48152-2022")</f>
        <v/>
      </c>
    </row>
    <row r="135" ht="15" customHeight="1">
      <c r="A135" t="inlineStr">
        <is>
          <t>A 47799-2022</t>
        </is>
      </c>
      <c r="B135" s="1" t="n">
        <v>44854.95371527778</v>
      </c>
      <c r="C135" s="1" t="n">
        <v>45929</v>
      </c>
      <c r="D135" t="inlineStr">
        <is>
          <t>VÄSTERNORRLANDS LÄN</t>
        </is>
      </c>
      <c r="E135" t="inlineStr">
        <is>
          <t>ÅNGE</t>
        </is>
      </c>
      <c r="F135" t="inlineStr">
        <is>
          <t>SCA</t>
        </is>
      </c>
      <c r="G135" t="n">
        <v>5</v>
      </c>
      <c r="H135" t="n">
        <v>1</v>
      </c>
      <c r="I135" t="n">
        <v>0</v>
      </c>
      <c r="J135" t="n">
        <v>1</v>
      </c>
      <c r="K135" t="n">
        <v>0</v>
      </c>
      <c r="L135" t="n">
        <v>0</v>
      </c>
      <c r="M135" t="n">
        <v>0</v>
      </c>
      <c r="N135" t="n">
        <v>0</v>
      </c>
      <c r="O135" t="n">
        <v>1</v>
      </c>
      <c r="P135" t="n">
        <v>0</v>
      </c>
      <c r="Q135" t="n">
        <v>2</v>
      </c>
      <c r="R135" s="2" t="inlineStr">
        <is>
          <t>Lunglav
Fläcknycklar</t>
        </is>
      </c>
      <c r="S135">
        <f>HYPERLINK("https://klasma.github.io/Logging_2260/artfynd/A 47799-2022 artfynd.xlsx", "A 47799-2022")</f>
        <v/>
      </c>
      <c r="T135">
        <f>HYPERLINK("https://klasma.github.io/Logging_2260/kartor/A 47799-2022 karta.png", "A 47799-2022")</f>
        <v/>
      </c>
      <c r="V135">
        <f>HYPERLINK("https://klasma.github.io/Logging_2260/klagomål/A 47799-2022 FSC-klagomål.docx", "A 47799-2022")</f>
        <v/>
      </c>
      <c r="W135">
        <f>HYPERLINK("https://klasma.github.io/Logging_2260/klagomålsmail/A 47799-2022 FSC-klagomål mail.docx", "A 47799-2022")</f>
        <v/>
      </c>
      <c r="X135">
        <f>HYPERLINK("https://klasma.github.io/Logging_2260/tillsyn/A 47799-2022 tillsynsbegäran.docx", "A 47799-2022")</f>
        <v/>
      </c>
      <c r="Y135">
        <f>HYPERLINK("https://klasma.github.io/Logging_2260/tillsynsmail/A 47799-2022 tillsynsbegäran mail.docx", "A 47799-2022")</f>
        <v/>
      </c>
    </row>
    <row r="136" ht="15" customHeight="1">
      <c r="A136" t="inlineStr">
        <is>
          <t>A 40965-2021</t>
        </is>
      </c>
      <c r="B136" s="1" t="n">
        <v>44421.57918981482</v>
      </c>
      <c r="C136" s="1" t="n">
        <v>45929</v>
      </c>
      <c r="D136" t="inlineStr">
        <is>
          <t>VÄSTERNORRLANDS LÄN</t>
        </is>
      </c>
      <c r="E136" t="inlineStr">
        <is>
          <t>ÅNGE</t>
        </is>
      </c>
      <c r="F136" t="inlineStr">
        <is>
          <t>Sveaskog</t>
        </is>
      </c>
      <c r="G136" t="n">
        <v>5.4</v>
      </c>
      <c r="H136" t="n">
        <v>1</v>
      </c>
      <c r="I136" t="n">
        <v>1</v>
      </c>
      <c r="J136" t="n">
        <v>1</v>
      </c>
      <c r="K136" t="n">
        <v>0</v>
      </c>
      <c r="L136" t="n">
        <v>0</v>
      </c>
      <c r="M136" t="n">
        <v>0</v>
      </c>
      <c r="N136" t="n">
        <v>0</v>
      </c>
      <c r="O136" t="n">
        <v>1</v>
      </c>
      <c r="P136" t="n">
        <v>0</v>
      </c>
      <c r="Q136" t="n">
        <v>2</v>
      </c>
      <c r="R136" s="2" t="inlineStr">
        <is>
          <t>Skogsfru
Skogsbräsma</t>
        </is>
      </c>
      <c r="S136">
        <f>HYPERLINK("https://klasma.github.io/Logging_2260/artfynd/A 40965-2021 artfynd.xlsx", "A 40965-2021")</f>
        <v/>
      </c>
      <c r="T136">
        <f>HYPERLINK("https://klasma.github.io/Logging_2260/kartor/A 40965-2021 karta.png", "A 40965-2021")</f>
        <v/>
      </c>
      <c r="V136">
        <f>HYPERLINK("https://klasma.github.io/Logging_2260/klagomål/A 40965-2021 FSC-klagomål.docx", "A 40965-2021")</f>
        <v/>
      </c>
      <c r="W136">
        <f>HYPERLINK("https://klasma.github.io/Logging_2260/klagomålsmail/A 40965-2021 FSC-klagomål mail.docx", "A 40965-2021")</f>
        <v/>
      </c>
      <c r="X136">
        <f>HYPERLINK("https://klasma.github.io/Logging_2260/tillsyn/A 40965-2021 tillsynsbegäran.docx", "A 40965-2021")</f>
        <v/>
      </c>
      <c r="Y136">
        <f>HYPERLINK("https://klasma.github.io/Logging_2260/tillsynsmail/A 40965-2021 tillsynsbegäran mail.docx", "A 40965-2021")</f>
        <v/>
      </c>
    </row>
    <row r="137" ht="15" customHeight="1">
      <c r="A137" t="inlineStr">
        <is>
          <t>A 8234-2022</t>
        </is>
      </c>
      <c r="B137" s="1" t="n">
        <v>44609</v>
      </c>
      <c r="C137" s="1" t="n">
        <v>45929</v>
      </c>
      <c r="D137" t="inlineStr">
        <is>
          <t>VÄSTERNORRLANDS LÄN</t>
        </is>
      </c>
      <c r="E137" t="inlineStr">
        <is>
          <t>ÅNGE</t>
        </is>
      </c>
      <c r="F137" t="inlineStr">
        <is>
          <t>SCA</t>
        </is>
      </c>
      <c r="G137" t="n">
        <v>2.3</v>
      </c>
      <c r="H137" t="n">
        <v>1</v>
      </c>
      <c r="I137" t="n">
        <v>0</v>
      </c>
      <c r="J137" t="n">
        <v>1</v>
      </c>
      <c r="K137" t="n">
        <v>0</v>
      </c>
      <c r="L137" t="n">
        <v>0</v>
      </c>
      <c r="M137" t="n">
        <v>0</v>
      </c>
      <c r="N137" t="n">
        <v>0</v>
      </c>
      <c r="O137" t="n">
        <v>1</v>
      </c>
      <c r="P137" t="n">
        <v>0</v>
      </c>
      <c r="Q137" t="n">
        <v>2</v>
      </c>
      <c r="R137" s="2" t="inlineStr">
        <is>
          <t>Garnlav
Revlummer</t>
        </is>
      </c>
      <c r="S137">
        <f>HYPERLINK("https://klasma.github.io/Logging_2260/artfynd/A 8234-2022 artfynd.xlsx", "A 8234-2022")</f>
        <v/>
      </c>
      <c r="T137">
        <f>HYPERLINK("https://klasma.github.io/Logging_2260/kartor/A 8234-2022 karta.png", "A 8234-2022")</f>
        <v/>
      </c>
      <c r="V137">
        <f>HYPERLINK("https://klasma.github.io/Logging_2260/klagomål/A 8234-2022 FSC-klagomål.docx", "A 8234-2022")</f>
        <v/>
      </c>
      <c r="W137">
        <f>HYPERLINK("https://klasma.github.io/Logging_2260/klagomålsmail/A 8234-2022 FSC-klagomål mail.docx", "A 8234-2022")</f>
        <v/>
      </c>
      <c r="X137">
        <f>HYPERLINK("https://klasma.github.io/Logging_2260/tillsyn/A 8234-2022 tillsynsbegäran.docx", "A 8234-2022")</f>
        <v/>
      </c>
      <c r="Y137">
        <f>HYPERLINK("https://klasma.github.io/Logging_2260/tillsynsmail/A 8234-2022 tillsynsbegäran mail.docx", "A 8234-2022")</f>
        <v/>
      </c>
    </row>
    <row r="138" ht="15" customHeight="1">
      <c r="A138" t="inlineStr">
        <is>
          <t>A 55178-2024</t>
        </is>
      </c>
      <c r="B138" s="1" t="n">
        <v>45621</v>
      </c>
      <c r="C138" s="1" t="n">
        <v>45929</v>
      </c>
      <c r="D138" t="inlineStr">
        <is>
          <t>VÄSTERNORRLANDS LÄN</t>
        </is>
      </c>
      <c r="E138" t="inlineStr">
        <is>
          <t>ÅNGE</t>
        </is>
      </c>
      <c r="F138" t="inlineStr">
        <is>
          <t>SCA</t>
        </is>
      </c>
      <c r="G138" t="n">
        <v>4.8</v>
      </c>
      <c r="H138" t="n">
        <v>1</v>
      </c>
      <c r="I138" t="n">
        <v>0</v>
      </c>
      <c r="J138" t="n">
        <v>1</v>
      </c>
      <c r="K138" t="n">
        <v>1</v>
      </c>
      <c r="L138" t="n">
        <v>0</v>
      </c>
      <c r="M138" t="n">
        <v>0</v>
      </c>
      <c r="N138" t="n">
        <v>0</v>
      </c>
      <c r="O138" t="n">
        <v>2</v>
      </c>
      <c r="P138" t="n">
        <v>1</v>
      </c>
      <c r="Q138" t="n">
        <v>2</v>
      </c>
      <c r="R138" s="2" t="inlineStr">
        <is>
          <t>Knärot
Stiftgelélav</t>
        </is>
      </c>
      <c r="S138">
        <f>HYPERLINK("https://klasma.github.io/Logging_2260/artfynd/A 55178-2024 artfynd.xlsx", "A 55178-2024")</f>
        <v/>
      </c>
      <c r="T138">
        <f>HYPERLINK("https://klasma.github.io/Logging_2260/kartor/A 55178-2024 karta.png", "A 55178-2024")</f>
        <v/>
      </c>
      <c r="U138">
        <f>HYPERLINK("https://klasma.github.io/Logging_2260/knärot/A 55178-2024 karta knärot.png", "A 55178-2024")</f>
        <v/>
      </c>
      <c r="V138">
        <f>HYPERLINK("https://klasma.github.io/Logging_2260/klagomål/A 55178-2024 FSC-klagomål.docx", "A 55178-2024")</f>
        <v/>
      </c>
      <c r="W138">
        <f>HYPERLINK("https://klasma.github.io/Logging_2260/klagomålsmail/A 55178-2024 FSC-klagomål mail.docx", "A 55178-2024")</f>
        <v/>
      </c>
      <c r="X138">
        <f>HYPERLINK("https://klasma.github.io/Logging_2260/tillsyn/A 55178-2024 tillsynsbegäran.docx", "A 55178-2024")</f>
        <v/>
      </c>
      <c r="Y138">
        <f>HYPERLINK("https://klasma.github.io/Logging_2260/tillsynsmail/A 55178-2024 tillsynsbegäran mail.docx", "A 55178-2024")</f>
        <v/>
      </c>
    </row>
    <row r="139" ht="15" customHeight="1">
      <c r="A139" t="inlineStr">
        <is>
          <t>A 55591-2021</t>
        </is>
      </c>
      <c r="B139" s="1" t="n">
        <v>44475</v>
      </c>
      <c r="C139" s="1" t="n">
        <v>45929</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47719-2024</t>
        </is>
      </c>
      <c r="B140" s="1" t="n">
        <v>45588.48996527777</v>
      </c>
      <c r="C140" s="1" t="n">
        <v>45929</v>
      </c>
      <c r="D140" t="inlineStr">
        <is>
          <t>VÄSTERNORRLANDS LÄN</t>
        </is>
      </c>
      <c r="E140" t="inlineStr">
        <is>
          <t>ÅNGE</t>
        </is>
      </c>
      <c r="F140" t="inlineStr">
        <is>
          <t>SCA</t>
        </is>
      </c>
      <c r="G140" t="n">
        <v>1.4</v>
      </c>
      <c r="H140" t="n">
        <v>0</v>
      </c>
      <c r="I140" t="n">
        <v>0</v>
      </c>
      <c r="J140" t="n">
        <v>2</v>
      </c>
      <c r="K140" t="n">
        <v>0</v>
      </c>
      <c r="L140" t="n">
        <v>0</v>
      </c>
      <c r="M140" t="n">
        <v>0</v>
      </c>
      <c r="N140" t="n">
        <v>0</v>
      </c>
      <c r="O140" t="n">
        <v>2</v>
      </c>
      <c r="P140" t="n">
        <v>0</v>
      </c>
      <c r="Q140" t="n">
        <v>2</v>
      </c>
      <c r="R140" s="2" t="inlineStr">
        <is>
          <t>Dvärgbägarlav
Vedskivlav</t>
        </is>
      </c>
      <c r="S140">
        <f>HYPERLINK("https://klasma.github.io/Logging_2260/artfynd/A 47719-2024 artfynd.xlsx", "A 47719-2024")</f>
        <v/>
      </c>
      <c r="T140">
        <f>HYPERLINK("https://klasma.github.io/Logging_2260/kartor/A 47719-2024 karta.png", "A 47719-2024")</f>
        <v/>
      </c>
      <c r="V140">
        <f>HYPERLINK("https://klasma.github.io/Logging_2260/klagomål/A 47719-2024 FSC-klagomål.docx", "A 47719-2024")</f>
        <v/>
      </c>
      <c r="W140">
        <f>HYPERLINK("https://klasma.github.io/Logging_2260/klagomålsmail/A 47719-2024 FSC-klagomål mail.docx", "A 47719-2024")</f>
        <v/>
      </c>
      <c r="X140">
        <f>HYPERLINK("https://klasma.github.io/Logging_2260/tillsyn/A 47719-2024 tillsynsbegäran.docx", "A 47719-2024")</f>
        <v/>
      </c>
      <c r="Y140">
        <f>HYPERLINK("https://klasma.github.io/Logging_2260/tillsynsmail/A 47719-2024 tillsynsbegäran mail.docx", "A 47719-2024")</f>
        <v/>
      </c>
    </row>
    <row r="141" ht="15" customHeight="1">
      <c r="A141" t="inlineStr">
        <is>
          <t>A 58902-2020</t>
        </is>
      </c>
      <c r="B141" s="1" t="n">
        <v>44146</v>
      </c>
      <c r="C141" s="1" t="n">
        <v>45929</v>
      </c>
      <c r="D141" t="inlineStr">
        <is>
          <t>VÄSTERNORRLANDS LÄN</t>
        </is>
      </c>
      <c r="E141" t="inlineStr">
        <is>
          <t>ÅNGE</t>
        </is>
      </c>
      <c r="G141" t="n">
        <v>8.199999999999999</v>
      </c>
      <c r="H141" t="n">
        <v>0</v>
      </c>
      <c r="I141" t="n">
        <v>1</v>
      </c>
      <c r="J141" t="n">
        <v>1</v>
      </c>
      <c r="K141" t="n">
        <v>0</v>
      </c>
      <c r="L141" t="n">
        <v>0</v>
      </c>
      <c r="M141" t="n">
        <v>0</v>
      </c>
      <c r="N141" t="n">
        <v>0</v>
      </c>
      <c r="O141" t="n">
        <v>1</v>
      </c>
      <c r="P141" t="n">
        <v>0</v>
      </c>
      <c r="Q141" t="n">
        <v>2</v>
      </c>
      <c r="R141" s="2" t="inlineStr">
        <is>
          <t>Ullticka
Vedticka</t>
        </is>
      </c>
      <c r="S141">
        <f>HYPERLINK("https://klasma.github.io/Logging_2260/artfynd/A 58902-2020 artfynd.xlsx", "A 58902-2020")</f>
        <v/>
      </c>
      <c r="T141">
        <f>HYPERLINK("https://klasma.github.io/Logging_2260/kartor/A 58902-2020 karta.png", "A 58902-2020")</f>
        <v/>
      </c>
      <c r="V141">
        <f>HYPERLINK("https://klasma.github.io/Logging_2260/klagomål/A 58902-2020 FSC-klagomål.docx", "A 58902-2020")</f>
        <v/>
      </c>
      <c r="W141">
        <f>HYPERLINK("https://klasma.github.io/Logging_2260/klagomålsmail/A 58902-2020 FSC-klagomål mail.docx", "A 58902-2020")</f>
        <v/>
      </c>
      <c r="X141">
        <f>HYPERLINK("https://klasma.github.io/Logging_2260/tillsyn/A 58902-2020 tillsynsbegäran.docx", "A 58902-2020")</f>
        <v/>
      </c>
      <c r="Y141">
        <f>HYPERLINK("https://klasma.github.io/Logging_2260/tillsynsmail/A 58902-2020 tillsynsbegäran mail.docx", "A 58902-2020")</f>
        <v/>
      </c>
    </row>
    <row r="142" ht="15" customHeight="1">
      <c r="A142" t="inlineStr">
        <is>
          <t>A 57594-2022</t>
        </is>
      </c>
      <c r="B142" s="1" t="n">
        <v>44896.97854166666</v>
      </c>
      <c r="C142" s="1" t="n">
        <v>45929</v>
      </c>
      <c r="D142" t="inlineStr">
        <is>
          <t>VÄSTERNORRLANDS LÄN</t>
        </is>
      </c>
      <c r="E142" t="inlineStr">
        <is>
          <t>ÅNGE</t>
        </is>
      </c>
      <c r="F142" t="inlineStr">
        <is>
          <t>SCA</t>
        </is>
      </c>
      <c r="G142" t="n">
        <v>5.3</v>
      </c>
      <c r="H142" t="n">
        <v>0</v>
      </c>
      <c r="I142" t="n">
        <v>0</v>
      </c>
      <c r="J142" t="n">
        <v>2</v>
      </c>
      <c r="K142" t="n">
        <v>0</v>
      </c>
      <c r="L142" t="n">
        <v>0</v>
      </c>
      <c r="M142" t="n">
        <v>0</v>
      </c>
      <c r="N142" t="n">
        <v>0</v>
      </c>
      <c r="O142" t="n">
        <v>2</v>
      </c>
      <c r="P142" t="n">
        <v>0</v>
      </c>
      <c r="Q142" t="n">
        <v>2</v>
      </c>
      <c r="R142" s="2" t="inlineStr">
        <is>
          <t>Granticka
Lunglav</t>
        </is>
      </c>
      <c r="S142">
        <f>HYPERLINK("https://klasma.github.io/Logging_2260/artfynd/A 57594-2022 artfynd.xlsx", "A 57594-2022")</f>
        <v/>
      </c>
      <c r="T142">
        <f>HYPERLINK("https://klasma.github.io/Logging_2260/kartor/A 57594-2022 karta.png", "A 57594-2022")</f>
        <v/>
      </c>
      <c r="V142">
        <f>HYPERLINK("https://klasma.github.io/Logging_2260/klagomål/A 57594-2022 FSC-klagomål.docx", "A 57594-2022")</f>
        <v/>
      </c>
      <c r="W142">
        <f>HYPERLINK("https://klasma.github.io/Logging_2260/klagomålsmail/A 57594-2022 FSC-klagomål mail.docx", "A 57594-2022")</f>
        <v/>
      </c>
      <c r="X142">
        <f>HYPERLINK("https://klasma.github.io/Logging_2260/tillsyn/A 57594-2022 tillsynsbegäran.docx", "A 57594-2022")</f>
        <v/>
      </c>
      <c r="Y142">
        <f>HYPERLINK("https://klasma.github.io/Logging_2260/tillsynsmail/A 57594-2022 tillsynsbegäran mail.docx", "A 57594-2022")</f>
        <v/>
      </c>
    </row>
    <row r="143" ht="15" customHeight="1">
      <c r="A143" t="inlineStr">
        <is>
          <t>A 36414-2025</t>
        </is>
      </c>
      <c r="B143" s="1" t="n">
        <v>45868.69246527777</v>
      </c>
      <c r="C143" s="1" t="n">
        <v>45929</v>
      </c>
      <c r="D143" t="inlineStr">
        <is>
          <t>VÄSTERNORRLANDS LÄN</t>
        </is>
      </c>
      <c r="E143" t="inlineStr">
        <is>
          <t>ÅNGE</t>
        </is>
      </c>
      <c r="G143" t="n">
        <v>5.4</v>
      </c>
      <c r="H143" t="n">
        <v>0</v>
      </c>
      <c r="I143" t="n">
        <v>0</v>
      </c>
      <c r="J143" t="n">
        <v>2</v>
      </c>
      <c r="K143" t="n">
        <v>0</v>
      </c>
      <c r="L143" t="n">
        <v>0</v>
      </c>
      <c r="M143" t="n">
        <v>0</v>
      </c>
      <c r="N143" t="n">
        <v>0</v>
      </c>
      <c r="O143" t="n">
        <v>2</v>
      </c>
      <c r="P143" t="n">
        <v>0</v>
      </c>
      <c r="Q143" t="n">
        <v>2</v>
      </c>
      <c r="R143" s="2" t="inlineStr">
        <is>
          <t>Kolflarnlav
Lunglav</t>
        </is>
      </c>
      <c r="S143">
        <f>HYPERLINK("https://klasma.github.io/Logging_2260/artfynd/A 36414-2025 artfynd.xlsx", "A 36414-2025")</f>
        <v/>
      </c>
      <c r="T143">
        <f>HYPERLINK("https://klasma.github.io/Logging_2260/kartor/A 36414-2025 karta.png", "A 36414-2025")</f>
        <v/>
      </c>
      <c r="V143">
        <f>HYPERLINK("https://klasma.github.io/Logging_2260/klagomål/A 36414-2025 FSC-klagomål.docx", "A 36414-2025")</f>
        <v/>
      </c>
      <c r="W143">
        <f>HYPERLINK("https://klasma.github.io/Logging_2260/klagomålsmail/A 36414-2025 FSC-klagomål mail.docx", "A 36414-2025")</f>
        <v/>
      </c>
      <c r="X143">
        <f>HYPERLINK("https://klasma.github.io/Logging_2260/tillsyn/A 36414-2025 tillsynsbegäran.docx", "A 36414-2025")</f>
        <v/>
      </c>
      <c r="Y143">
        <f>HYPERLINK("https://klasma.github.io/Logging_2260/tillsynsmail/A 36414-2025 tillsynsbegäran mail.docx", "A 36414-2025")</f>
        <v/>
      </c>
    </row>
    <row r="144" ht="15" customHeight="1">
      <c r="A144" t="inlineStr">
        <is>
          <t>A 43721-2025</t>
        </is>
      </c>
      <c r="B144" s="1" t="n">
        <v>45912.42800925926</v>
      </c>
      <c r="C144" s="1" t="n">
        <v>45929</v>
      </c>
      <c r="D144" t="inlineStr">
        <is>
          <t>VÄSTERNORRLANDS LÄN</t>
        </is>
      </c>
      <c r="E144" t="inlineStr">
        <is>
          <t>ÅNGE</t>
        </is>
      </c>
      <c r="F144" t="inlineStr">
        <is>
          <t>SCA</t>
        </is>
      </c>
      <c r="G144" t="n">
        <v>9.9</v>
      </c>
      <c r="H144" t="n">
        <v>1</v>
      </c>
      <c r="I144" t="n">
        <v>1</v>
      </c>
      <c r="J144" t="n">
        <v>0</v>
      </c>
      <c r="K144" t="n">
        <v>1</v>
      </c>
      <c r="L144" t="n">
        <v>0</v>
      </c>
      <c r="M144" t="n">
        <v>0</v>
      </c>
      <c r="N144" t="n">
        <v>0</v>
      </c>
      <c r="O144" t="n">
        <v>1</v>
      </c>
      <c r="P144" t="n">
        <v>1</v>
      </c>
      <c r="Q144" t="n">
        <v>2</v>
      </c>
      <c r="R144" s="2" t="inlineStr">
        <is>
          <t>Knärot
Svavelriska</t>
        </is>
      </c>
      <c r="S144">
        <f>HYPERLINK("https://klasma.github.io/Logging_2260/artfynd/A 43721-2025 artfynd.xlsx", "A 43721-2025")</f>
        <v/>
      </c>
      <c r="T144">
        <f>HYPERLINK("https://klasma.github.io/Logging_2260/kartor/A 43721-2025 karta.png", "A 43721-2025")</f>
        <v/>
      </c>
      <c r="U144">
        <f>HYPERLINK("https://klasma.github.io/Logging_2260/knärot/A 43721-2025 karta knärot.png", "A 43721-2025")</f>
        <v/>
      </c>
      <c r="V144">
        <f>HYPERLINK("https://klasma.github.io/Logging_2260/klagomål/A 43721-2025 FSC-klagomål.docx", "A 43721-2025")</f>
        <v/>
      </c>
      <c r="W144">
        <f>HYPERLINK("https://klasma.github.io/Logging_2260/klagomålsmail/A 43721-2025 FSC-klagomål mail.docx", "A 43721-2025")</f>
        <v/>
      </c>
      <c r="X144">
        <f>HYPERLINK("https://klasma.github.io/Logging_2260/tillsyn/A 43721-2025 tillsynsbegäran.docx", "A 43721-2025")</f>
        <v/>
      </c>
      <c r="Y144">
        <f>HYPERLINK("https://klasma.github.io/Logging_2260/tillsynsmail/A 43721-2025 tillsynsbegäran mail.docx", "A 43721-2025")</f>
        <v/>
      </c>
    </row>
    <row r="145" ht="15" customHeight="1">
      <c r="A145" t="inlineStr">
        <is>
          <t>A 51756-2020</t>
        </is>
      </c>
      <c r="B145" s="1" t="n">
        <v>44114</v>
      </c>
      <c r="C145" s="1" t="n">
        <v>45929</v>
      </c>
      <c r="D145" t="inlineStr">
        <is>
          <t>VÄSTERNORRLANDS LÄN</t>
        </is>
      </c>
      <c r="E145" t="inlineStr">
        <is>
          <t>ÅNGE</t>
        </is>
      </c>
      <c r="G145" t="n">
        <v>0.8</v>
      </c>
      <c r="H145" t="n">
        <v>1</v>
      </c>
      <c r="I145" t="n">
        <v>0</v>
      </c>
      <c r="J145" t="n">
        <v>0</v>
      </c>
      <c r="K145" t="n">
        <v>0</v>
      </c>
      <c r="L145" t="n">
        <v>2</v>
      </c>
      <c r="M145" t="n">
        <v>0</v>
      </c>
      <c r="N145" t="n">
        <v>0</v>
      </c>
      <c r="O145" t="n">
        <v>2</v>
      </c>
      <c r="P145" t="n">
        <v>2</v>
      </c>
      <c r="Q145" t="n">
        <v>2</v>
      </c>
      <c r="R145" s="2" t="inlineStr">
        <is>
          <t>Mikroskapania
Timmerskapania</t>
        </is>
      </c>
      <c r="S145">
        <f>HYPERLINK("https://klasma.github.io/Logging_2260/artfynd/A 51756-2020 artfynd.xlsx", "A 51756-2020")</f>
        <v/>
      </c>
      <c r="T145">
        <f>HYPERLINK("https://klasma.github.io/Logging_2260/kartor/A 51756-2020 karta.png", "A 51756-2020")</f>
        <v/>
      </c>
      <c r="V145">
        <f>HYPERLINK("https://klasma.github.io/Logging_2260/klagomål/A 51756-2020 FSC-klagomål.docx", "A 51756-2020")</f>
        <v/>
      </c>
      <c r="W145">
        <f>HYPERLINK("https://klasma.github.io/Logging_2260/klagomålsmail/A 51756-2020 FSC-klagomål mail.docx", "A 51756-2020")</f>
        <v/>
      </c>
      <c r="X145">
        <f>HYPERLINK("https://klasma.github.io/Logging_2260/tillsyn/A 51756-2020 tillsynsbegäran.docx", "A 51756-2020")</f>
        <v/>
      </c>
      <c r="Y145">
        <f>HYPERLINK("https://klasma.github.io/Logging_2260/tillsynsmail/A 51756-2020 tillsynsbegäran mail.docx", "A 51756-2020")</f>
        <v/>
      </c>
    </row>
    <row r="146" ht="15" customHeight="1">
      <c r="A146" t="inlineStr">
        <is>
          <t>A 26020-2024</t>
        </is>
      </c>
      <c r="B146" s="1" t="n">
        <v>45467.9603125</v>
      </c>
      <c r="C146" s="1" t="n">
        <v>45929</v>
      </c>
      <c r="D146" t="inlineStr">
        <is>
          <t>VÄSTERNORRLANDS LÄN</t>
        </is>
      </c>
      <c r="E146" t="inlineStr">
        <is>
          <t>ÅNGE</t>
        </is>
      </c>
      <c r="F146" t="inlineStr">
        <is>
          <t>SCA</t>
        </is>
      </c>
      <c r="G146" t="n">
        <v>4.8</v>
      </c>
      <c r="H146" t="n">
        <v>0</v>
      </c>
      <c r="I146" t="n">
        <v>1</v>
      </c>
      <c r="J146" t="n">
        <v>1</v>
      </c>
      <c r="K146" t="n">
        <v>0</v>
      </c>
      <c r="L146" t="n">
        <v>0</v>
      </c>
      <c r="M146" t="n">
        <v>0</v>
      </c>
      <c r="N146" t="n">
        <v>0</v>
      </c>
      <c r="O146" t="n">
        <v>1</v>
      </c>
      <c r="P146" t="n">
        <v>0</v>
      </c>
      <c r="Q146" t="n">
        <v>2</v>
      </c>
      <c r="R146" s="2" t="inlineStr">
        <is>
          <t>Lunglav
Stuplav</t>
        </is>
      </c>
      <c r="S146">
        <f>HYPERLINK("https://klasma.github.io/Logging_2260/artfynd/A 26020-2024 artfynd.xlsx", "A 26020-2024")</f>
        <v/>
      </c>
      <c r="T146">
        <f>HYPERLINK("https://klasma.github.io/Logging_2260/kartor/A 26020-2024 karta.png", "A 26020-2024")</f>
        <v/>
      </c>
      <c r="V146">
        <f>HYPERLINK("https://klasma.github.io/Logging_2260/klagomål/A 26020-2024 FSC-klagomål.docx", "A 26020-2024")</f>
        <v/>
      </c>
      <c r="W146">
        <f>HYPERLINK("https://klasma.github.io/Logging_2260/klagomålsmail/A 26020-2024 FSC-klagomål mail.docx", "A 26020-2024")</f>
        <v/>
      </c>
      <c r="X146">
        <f>HYPERLINK("https://klasma.github.io/Logging_2260/tillsyn/A 26020-2024 tillsynsbegäran.docx", "A 26020-2024")</f>
        <v/>
      </c>
      <c r="Y146">
        <f>HYPERLINK("https://klasma.github.io/Logging_2260/tillsynsmail/A 26020-2024 tillsynsbegäran mail.docx", "A 26020-2024")</f>
        <v/>
      </c>
    </row>
    <row r="147" ht="15" customHeight="1">
      <c r="A147" t="inlineStr">
        <is>
          <t>A 57597-2022</t>
        </is>
      </c>
      <c r="B147" s="1" t="n">
        <v>44896.97878472223</v>
      </c>
      <c r="C147" s="1" t="n">
        <v>45929</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32659-2024</t>
        </is>
      </c>
      <c r="B148" s="1" t="n">
        <v>45513</v>
      </c>
      <c r="C148" s="1" t="n">
        <v>45929</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37800-2025</t>
        </is>
      </c>
      <c r="B149" s="1" t="n">
        <v>45881.34420138889</v>
      </c>
      <c r="C149" s="1" t="n">
        <v>45929</v>
      </c>
      <c r="D149" t="inlineStr">
        <is>
          <t>VÄSTERNORRLANDS LÄN</t>
        </is>
      </c>
      <c r="E149" t="inlineStr">
        <is>
          <t>ÅNGE</t>
        </is>
      </c>
      <c r="F149" t="inlineStr">
        <is>
          <t>SCA</t>
        </is>
      </c>
      <c r="G149" t="n">
        <v>4</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37800-2025 artfynd.xlsx", "A 37800-2025")</f>
        <v/>
      </c>
      <c r="T149">
        <f>HYPERLINK("https://klasma.github.io/Logging_2260/kartor/A 37800-2025 karta.png", "A 37800-2025")</f>
        <v/>
      </c>
      <c r="V149">
        <f>HYPERLINK("https://klasma.github.io/Logging_2260/klagomål/A 37800-2025 FSC-klagomål.docx", "A 37800-2025")</f>
        <v/>
      </c>
      <c r="W149">
        <f>HYPERLINK("https://klasma.github.io/Logging_2260/klagomålsmail/A 37800-2025 FSC-klagomål mail.docx", "A 37800-2025")</f>
        <v/>
      </c>
      <c r="X149">
        <f>HYPERLINK("https://klasma.github.io/Logging_2260/tillsyn/A 37800-2025 tillsynsbegäran.docx", "A 37800-2025")</f>
        <v/>
      </c>
      <c r="Y149">
        <f>HYPERLINK("https://klasma.github.io/Logging_2260/tillsynsmail/A 37800-2025 tillsynsbegäran mail.docx", "A 37800-2025")</f>
        <v/>
      </c>
    </row>
    <row r="150" ht="15" customHeight="1">
      <c r="A150" t="inlineStr">
        <is>
          <t>A 42864-2025</t>
        </is>
      </c>
      <c r="B150" s="1" t="n">
        <v>45908</v>
      </c>
      <c r="C150" s="1" t="n">
        <v>45929</v>
      </c>
      <c r="D150" t="inlineStr">
        <is>
          <t>VÄSTERNORRLANDS LÄN</t>
        </is>
      </c>
      <c r="E150" t="inlineStr">
        <is>
          <t>ÅNGE</t>
        </is>
      </c>
      <c r="G150" t="n">
        <v>3.2</v>
      </c>
      <c r="H150" t="n">
        <v>0</v>
      </c>
      <c r="I150" t="n">
        <v>0</v>
      </c>
      <c r="J150" t="n">
        <v>2</v>
      </c>
      <c r="K150" t="n">
        <v>0</v>
      </c>
      <c r="L150" t="n">
        <v>0</v>
      </c>
      <c r="M150" t="n">
        <v>0</v>
      </c>
      <c r="N150" t="n">
        <v>0</v>
      </c>
      <c r="O150" t="n">
        <v>2</v>
      </c>
      <c r="P150" t="n">
        <v>0</v>
      </c>
      <c r="Q150" t="n">
        <v>2</v>
      </c>
      <c r="R150" s="2" t="inlineStr">
        <is>
          <t>Mörk kolflarnlav
Vedflamlav</t>
        </is>
      </c>
      <c r="S150">
        <f>HYPERLINK("https://klasma.github.io/Logging_2260/artfynd/A 42864-2025 artfynd.xlsx", "A 42864-2025")</f>
        <v/>
      </c>
      <c r="T150">
        <f>HYPERLINK("https://klasma.github.io/Logging_2260/kartor/A 42864-2025 karta.png", "A 42864-2025")</f>
        <v/>
      </c>
      <c r="V150">
        <f>HYPERLINK("https://klasma.github.io/Logging_2260/klagomål/A 42864-2025 FSC-klagomål.docx", "A 42864-2025")</f>
        <v/>
      </c>
      <c r="W150">
        <f>HYPERLINK("https://klasma.github.io/Logging_2260/klagomålsmail/A 42864-2025 FSC-klagomål mail.docx", "A 42864-2025")</f>
        <v/>
      </c>
      <c r="X150">
        <f>HYPERLINK("https://klasma.github.io/Logging_2260/tillsyn/A 42864-2025 tillsynsbegäran.docx", "A 42864-2025")</f>
        <v/>
      </c>
      <c r="Y150">
        <f>HYPERLINK("https://klasma.github.io/Logging_2260/tillsynsmail/A 42864-2025 tillsynsbegäran mail.docx", "A 42864-2025")</f>
        <v/>
      </c>
    </row>
    <row r="151" ht="15" customHeight="1">
      <c r="A151" t="inlineStr">
        <is>
          <t>A 18081-2025</t>
        </is>
      </c>
      <c r="B151" s="1" t="n">
        <v>45761.51086805556</v>
      </c>
      <c r="C151" s="1" t="n">
        <v>45929</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48374-2024</t>
        </is>
      </c>
      <c r="B152" s="1" t="n">
        <v>45590.58028935185</v>
      </c>
      <c r="C152" s="1" t="n">
        <v>45929</v>
      </c>
      <c r="D152" t="inlineStr">
        <is>
          <t>VÄSTERNORRLANDS LÄN</t>
        </is>
      </c>
      <c r="E152" t="inlineStr">
        <is>
          <t>ÅNGE</t>
        </is>
      </c>
      <c r="G152" t="n">
        <v>6.6</v>
      </c>
      <c r="H152" t="n">
        <v>0</v>
      </c>
      <c r="I152" t="n">
        <v>1</v>
      </c>
      <c r="J152" t="n">
        <v>1</v>
      </c>
      <c r="K152" t="n">
        <v>0</v>
      </c>
      <c r="L152" t="n">
        <v>0</v>
      </c>
      <c r="M152" t="n">
        <v>0</v>
      </c>
      <c r="N152" t="n">
        <v>0</v>
      </c>
      <c r="O152" t="n">
        <v>1</v>
      </c>
      <c r="P152" t="n">
        <v>0</v>
      </c>
      <c r="Q152" t="n">
        <v>2</v>
      </c>
      <c r="R152" s="2" t="inlineStr">
        <is>
          <t>Kolflarnlav
Bollvitmossa</t>
        </is>
      </c>
      <c r="S152">
        <f>HYPERLINK("https://klasma.github.io/Logging_2260/artfynd/A 48374-2024 artfynd.xlsx", "A 48374-2024")</f>
        <v/>
      </c>
      <c r="T152">
        <f>HYPERLINK("https://klasma.github.io/Logging_2260/kartor/A 48374-2024 karta.png", "A 48374-2024")</f>
        <v/>
      </c>
      <c r="V152">
        <f>HYPERLINK("https://klasma.github.io/Logging_2260/klagomål/A 48374-2024 FSC-klagomål.docx", "A 48374-2024")</f>
        <v/>
      </c>
      <c r="W152">
        <f>HYPERLINK("https://klasma.github.io/Logging_2260/klagomålsmail/A 48374-2024 FSC-klagomål mail.docx", "A 48374-2024")</f>
        <v/>
      </c>
      <c r="X152">
        <f>HYPERLINK("https://klasma.github.io/Logging_2260/tillsyn/A 48374-2024 tillsynsbegäran.docx", "A 48374-2024")</f>
        <v/>
      </c>
      <c r="Y152">
        <f>HYPERLINK("https://klasma.github.io/Logging_2260/tillsynsmail/A 48374-2024 tillsynsbegäran mail.docx", "A 48374-2024")</f>
        <v/>
      </c>
    </row>
    <row r="153" ht="15" customHeight="1">
      <c r="A153" t="inlineStr">
        <is>
          <t>A 38298-2025</t>
        </is>
      </c>
      <c r="B153" s="1" t="n">
        <v>45883.4568287037</v>
      </c>
      <c r="C153" s="1" t="n">
        <v>45929</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48695-2024</t>
        </is>
      </c>
      <c r="B154" s="1" t="n">
        <v>45593.5109837963</v>
      </c>
      <c r="C154" s="1" t="n">
        <v>45929</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49871-2024</t>
        </is>
      </c>
      <c r="B155" s="1" t="n">
        <v>45597.4903125</v>
      </c>
      <c r="C155" s="1" t="n">
        <v>45929</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8324-2025</t>
        </is>
      </c>
      <c r="B156" s="1" t="n">
        <v>45708.63621527778</v>
      </c>
      <c r="C156" s="1" t="n">
        <v>45929</v>
      </c>
      <c r="D156" t="inlineStr">
        <is>
          <t>VÄSTERNORRLANDS LÄN</t>
        </is>
      </c>
      <c r="E156" t="inlineStr">
        <is>
          <t>ÅNGE</t>
        </is>
      </c>
      <c r="F156" t="inlineStr">
        <is>
          <t>SCA</t>
        </is>
      </c>
      <c r="G156" t="n">
        <v>7.8</v>
      </c>
      <c r="H156" t="n">
        <v>0</v>
      </c>
      <c r="I156" t="n">
        <v>1</v>
      </c>
      <c r="J156" t="n">
        <v>1</v>
      </c>
      <c r="K156" t="n">
        <v>0</v>
      </c>
      <c r="L156" t="n">
        <v>0</v>
      </c>
      <c r="M156" t="n">
        <v>0</v>
      </c>
      <c r="N156" t="n">
        <v>0</v>
      </c>
      <c r="O156" t="n">
        <v>1</v>
      </c>
      <c r="P156" t="n">
        <v>0</v>
      </c>
      <c r="Q156" t="n">
        <v>2</v>
      </c>
      <c r="R156" s="2" t="inlineStr">
        <is>
          <t>Vitgrynig nållav
Bollvitmossa</t>
        </is>
      </c>
      <c r="S156">
        <f>HYPERLINK("https://klasma.github.io/Logging_2260/artfynd/A 8324-2025 artfynd.xlsx", "A 8324-2025")</f>
        <v/>
      </c>
      <c r="T156">
        <f>HYPERLINK("https://klasma.github.io/Logging_2260/kartor/A 8324-2025 karta.png", "A 8324-2025")</f>
        <v/>
      </c>
      <c r="V156">
        <f>HYPERLINK("https://klasma.github.io/Logging_2260/klagomål/A 8324-2025 FSC-klagomål.docx", "A 8324-2025")</f>
        <v/>
      </c>
      <c r="W156">
        <f>HYPERLINK("https://klasma.github.io/Logging_2260/klagomålsmail/A 8324-2025 FSC-klagomål mail.docx", "A 8324-2025")</f>
        <v/>
      </c>
      <c r="X156">
        <f>HYPERLINK("https://klasma.github.io/Logging_2260/tillsyn/A 8324-2025 tillsynsbegäran.docx", "A 8324-2025")</f>
        <v/>
      </c>
      <c r="Y156">
        <f>HYPERLINK("https://klasma.github.io/Logging_2260/tillsynsmail/A 8324-2025 tillsynsbegäran mail.docx", "A 8324-2025")</f>
        <v/>
      </c>
    </row>
    <row r="157" ht="15" customHeight="1">
      <c r="A157" t="inlineStr">
        <is>
          <t>A 21453-2025</t>
        </is>
      </c>
      <c r="B157" s="1" t="n">
        <v>45782.55311342593</v>
      </c>
      <c r="C157" s="1" t="n">
        <v>45929</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29325-2023</t>
        </is>
      </c>
      <c r="B158" s="1" t="n">
        <v>45105</v>
      </c>
      <c r="C158" s="1" t="n">
        <v>45929</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4093-2025</t>
        </is>
      </c>
      <c r="B159" s="1" t="n">
        <v>45684.67762731481</v>
      </c>
      <c r="C159" s="1" t="n">
        <v>45929</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24176-2025</t>
        </is>
      </c>
      <c r="B160" s="1" t="n">
        <v>45796.69832175926</v>
      </c>
      <c r="C160" s="1" t="n">
        <v>45929</v>
      </c>
      <c r="D160" t="inlineStr">
        <is>
          <t>VÄSTERNORRLANDS LÄN</t>
        </is>
      </c>
      <c r="E160" t="inlineStr">
        <is>
          <t>ÅNGE</t>
        </is>
      </c>
      <c r="F160" t="inlineStr">
        <is>
          <t>SCA</t>
        </is>
      </c>
      <c r="G160" t="n">
        <v>3.9</v>
      </c>
      <c r="H160" t="n">
        <v>0</v>
      </c>
      <c r="I160" t="n">
        <v>1</v>
      </c>
      <c r="J160" t="n">
        <v>1</v>
      </c>
      <c r="K160" t="n">
        <v>0</v>
      </c>
      <c r="L160" t="n">
        <v>0</v>
      </c>
      <c r="M160" t="n">
        <v>0</v>
      </c>
      <c r="N160" t="n">
        <v>0</v>
      </c>
      <c r="O160" t="n">
        <v>1</v>
      </c>
      <c r="P160" t="n">
        <v>0</v>
      </c>
      <c r="Q160" t="n">
        <v>2</v>
      </c>
      <c r="R160" s="2" t="inlineStr">
        <is>
          <t>Vitgrynig nållav
Vedticka</t>
        </is>
      </c>
      <c r="S160">
        <f>HYPERLINK("https://klasma.github.io/Logging_2260/artfynd/A 24176-2025 artfynd.xlsx", "A 24176-2025")</f>
        <v/>
      </c>
      <c r="T160">
        <f>HYPERLINK("https://klasma.github.io/Logging_2260/kartor/A 24176-2025 karta.png", "A 24176-2025")</f>
        <v/>
      </c>
      <c r="V160">
        <f>HYPERLINK("https://klasma.github.io/Logging_2260/klagomål/A 24176-2025 FSC-klagomål.docx", "A 24176-2025")</f>
        <v/>
      </c>
      <c r="W160">
        <f>HYPERLINK("https://klasma.github.io/Logging_2260/klagomålsmail/A 24176-2025 FSC-klagomål mail.docx", "A 24176-2025")</f>
        <v/>
      </c>
      <c r="X160">
        <f>HYPERLINK("https://klasma.github.io/Logging_2260/tillsyn/A 24176-2025 tillsynsbegäran.docx", "A 24176-2025")</f>
        <v/>
      </c>
      <c r="Y160">
        <f>HYPERLINK("https://klasma.github.io/Logging_2260/tillsynsmail/A 24176-2025 tillsynsbegäran mail.docx", "A 24176-2025")</f>
        <v/>
      </c>
    </row>
    <row r="161" ht="15" customHeight="1">
      <c r="A161" t="inlineStr">
        <is>
          <t>A 25034-2024</t>
        </is>
      </c>
      <c r="B161" s="1" t="n">
        <v>45461.96458333333</v>
      </c>
      <c r="C161" s="1" t="n">
        <v>45929</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26906-2025</t>
        </is>
      </c>
      <c r="B162" s="1" t="n">
        <v>45811.34552083333</v>
      </c>
      <c r="C162" s="1" t="n">
        <v>45929</v>
      </c>
      <c r="D162" t="inlineStr">
        <is>
          <t>VÄSTERNORRLANDS LÄN</t>
        </is>
      </c>
      <c r="E162" t="inlineStr">
        <is>
          <t>ÅNGE</t>
        </is>
      </c>
      <c r="F162" t="inlineStr">
        <is>
          <t>SCA</t>
        </is>
      </c>
      <c r="G162" t="n">
        <v>7</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26906-2025 artfynd.xlsx", "A 26906-2025")</f>
        <v/>
      </c>
      <c r="T162">
        <f>HYPERLINK("https://klasma.github.io/Logging_2260/kartor/A 26906-2025 karta.png", "A 26906-2025")</f>
        <v/>
      </c>
      <c r="V162">
        <f>HYPERLINK("https://klasma.github.io/Logging_2260/klagomål/A 26906-2025 FSC-klagomål.docx", "A 26906-2025")</f>
        <v/>
      </c>
      <c r="W162">
        <f>HYPERLINK("https://klasma.github.io/Logging_2260/klagomålsmail/A 26906-2025 FSC-klagomål mail.docx", "A 26906-2025")</f>
        <v/>
      </c>
      <c r="X162">
        <f>HYPERLINK("https://klasma.github.io/Logging_2260/tillsyn/A 26906-2025 tillsynsbegäran.docx", "A 26906-2025")</f>
        <v/>
      </c>
      <c r="Y162">
        <f>HYPERLINK("https://klasma.github.io/Logging_2260/tillsynsmail/A 26906-2025 tillsynsbegäran mail.docx", "A 26906-2025")</f>
        <v/>
      </c>
    </row>
    <row r="163" ht="15" customHeight="1">
      <c r="A163" t="inlineStr">
        <is>
          <t>A 24795-2024</t>
        </is>
      </c>
      <c r="B163" s="1" t="n">
        <v>45460.95252314815</v>
      </c>
      <c r="C163" s="1" t="n">
        <v>45929</v>
      </c>
      <c r="D163" t="inlineStr">
        <is>
          <t>VÄSTERNORRLANDS LÄN</t>
        </is>
      </c>
      <c r="E163" t="inlineStr">
        <is>
          <t>ÅNGE</t>
        </is>
      </c>
      <c r="F163" t="inlineStr">
        <is>
          <t>SCA</t>
        </is>
      </c>
      <c r="G163" t="n">
        <v>2.2</v>
      </c>
      <c r="H163" t="n">
        <v>0</v>
      </c>
      <c r="I163" t="n">
        <v>1</v>
      </c>
      <c r="J163" t="n">
        <v>1</v>
      </c>
      <c r="K163" t="n">
        <v>0</v>
      </c>
      <c r="L163" t="n">
        <v>0</v>
      </c>
      <c r="M163" t="n">
        <v>0</v>
      </c>
      <c r="N163" t="n">
        <v>0</v>
      </c>
      <c r="O163" t="n">
        <v>1</v>
      </c>
      <c r="P163" t="n">
        <v>0</v>
      </c>
      <c r="Q163" t="n">
        <v>2</v>
      </c>
      <c r="R163" s="2" t="inlineStr">
        <is>
          <t>Lunglav
Skinnlav</t>
        </is>
      </c>
      <c r="S163">
        <f>HYPERLINK("https://klasma.github.io/Logging_2260/artfynd/A 24795-2024 artfynd.xlsx", "A 24795-2024")</f>
        <v/>
      </c>
      <c r="T163">
        <f>HYPERLINK("https://klasma.github.io/Logging_2260/kartor/A 24795-2024 karta.png", "A 24795-2024")</f>
        <v/>
      </c>
      <c r="V163">
        <f>HYPERLINK("https://klasma.github.io/Logging_2260/klagomål/A 24795-2024 FSC-klagomål.docx", "A 24795-2024")</f>
        <v/>
      </c>
      <c r="W163">
        <f>HYPERLINK("https://klasma.github.io/Logging_2260/klagomålsmail/A 24795-2024 FSC-klagomål mail.docx", "A 24795-2024")</f>
        <v/>
      </c>
      <c r="X163">
        <f>HYPERLINK("https://klasma.github.io/Logging_2260/tillsyn/A 24795-2024 tillsynsbegäran.docx", "A 24795-2024")</f>
        <v/>
      </c>
      <c r="Y163">
        <f>HYPERLINK("https://klasma.github.io/Logging_2260/tillsynsmail/A 24795-2024 tillsynsbegäran mail.docx", "A 24795-2024")</f>
        <v/>
      </c>
    </row>
    <row r="164" ht="15" customHeight="1">
      <c r="A164" t="inlineStr">
        <is>
          <t>A 57089-2024</t>
        </is>
      </c>
      <c r="B164" s="1" t="n">
        <v>45629.35665509259</v>
      </c>
      <c r="C164" s="1" t="n">
        <v>45929</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19341-2024</t>
        </is>
      </c>
      <c r="B165" s="1" t="n">
        <v>45428</v>
      </c>
      <c r="C165" s="1" t="n">
        <v>45929</v>
      </c>
      <c r="D165" t="inlineStr">
        <is>
          <t>VÄSTERNORRLANDS LÄN</t>
        </is>
      </c>
      <c r="E165" t="inlineStr">
        <is>
          <t>ÅNGE</t>
        </is>
      </c>
      <c r="F165" t="inlineStr">
        <is>
          <t>SCA</t>
        </is>
      </c>
      <c r="G165" t="n">
        <v>2.5</v>
      </c>
      <c r="H165" t="n">
        <v>0</v>
      </c>
      <c r="I165" t="n">
        <v>0</v>
      </c>
      <c r="J165" t="n">
        <v>2</v>
      </c>
      <c r="K165" t="n">
        <v>0</v>
      </c>
      <c r="L165" t="n">
        <v>0</v>
      </c>
      <c r="M165" t="n">
        <v>0</v>
      </c>
      <c r="N165" t="n">
        <v>0</v>
      </c>
      <c r="O165" t="n">
        <v>2</v>
      </c>
      <c r="P165" t="n">
        <v>0</v>
      </c>
      <c r="Q165" t="n">
        <v>2</v>
      </c>
      <c r="R165" s="2" t="inlineStr">
        <is>
          <t>Granticka
Skrovellav</t>
        </is>
      </c>
      <c r="S165">
        <f>HYPERLINK("https://klasma.github.io/Logging_2260/artfynd/A 19341-2024 artfynd.xlsx", "A 19341-2024")</f>
        <v/>
      </c>
      <c r="T165">
        <f>HYPERLINK("https://klasma.github.io/Logging_2260/kartor/A 19341-2024 karta.png", "A 19341-2024")</f>
        <v/>
      </c>
      <c r="V165">
        <f>HYPERLINK("https://klasma.github.io/Logging_2260/klagomål/A 19341-2024 FSC-klagomål.docx", "A 19341-2024")</f>
        <v/>
      </c>
      <c r="W165">
        <f>HYPERLINK("https://klasma.github.io/Logging_2260/klagomålsmail/A 19341-2024 FSC-klagomål mail.docx", "A 19341-2024")</f>
        <v/>
      </c>
      <c r="X165">
        <f>HYPERLINK("https://klasma.github.io/Logging_2260/tillsyn/A 19341-2024 tillsynsbegäran.docx", "A 19341-2024")</f>
        <v/>
      </c>
      <c r="Y165">
        <f>HYPERLINK("https://klasma.github.io/Logging_2260/tillsynsmail/A 19341-2024 tillsynsbegäran mail.docx", "A 19341-2024")</f>
        <v/>
      </c>
    </row>
    <row r="166" ht="15" customHeight="1">
      <c r="A166" t="inlineStr">
        <is>
          <t>A 165-2025</t>
        </is>
      </c>
      <c r="B166" s="1" t="n">
        <v>45659</v>
      </c>
      <c r="C166" s="1" t="n">
        <v>45929</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45929</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45929</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45929</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20367-2022</t>
        </is>
      </c>
      <c r="B170" s="1" t="n">
        <v>44699</v>
      </c>
      <c r="C170" s="1" t="n">
        <v>45929</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45929</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45929</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45929</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45929</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38606-2024</t>
        </is>
      </c>
      <c r="B175" s="1" t="n">
        <v>45546.67804398148</v>
      </c>
      <c r="C175" s="1" t="n">
        <v>45929</v>
      </c>
      <c r="D175" t="inlineStr">
        <is>
          <t>VÄSTERNORRLANDS LÄN</t>
        </is>
      </c>
      <c r="E175" t="inlineStr">
        <is>
          <t>ÅNGE</t>
        </is>
      </c>
      <c r="F175" t="inlineStr">
        <is>
          <t>SCA</t>
        </is>
      </c>
      <c r="G175" t="n">
        <v>2.4</v>
      </c>
      <c r="H175" t="n">
        <v>0</v>
      </c>
      <c r="I175" t="n">
        <v>0</v>
      </c>
      <c r="J175" t="n">
        <v>1</v>
      </c>
      <c r="K175" t="n">
        <v>0</v>
      </c>
      <c r="L175" t="n">
        <v>0</v>
      </c>
      <c r="M175" t="n">
        <v>0</v>
      </c>
      <c r="N175" t="n">
        <v>0</v>
      </c>
      <c r="O175" t="n">
        <v>1</v>
      </c>
      <c r="P175" t="n">
        <v>0</v>
      </c>
      <c r="Q175" t="n">
        <v>1</v>
      </c>
      <c r="R175" s="2" t="inlineStr">
        <is>
          <t>Ullticka</t>
        </is>
      </c>
      <c r="S175">
        <f>HYPERLINK("https://klasma.github.io/Logging_2260/artfynd/A 38606-2024 artfynd.xlsx", "A 38606-2024")</f>
        <v/>
      </c>
      <c r="T175">
        <f>HYPERLINK("https://klasma.github.io/Logging_2260/kartor/A 38606-2024 karta.png", "A 38606-2024")</f>
        <v/>
      </c>
      <c r="V175">
        <f>HYPERLINK("https://klasma.github.io/Logging_2260/klagomål/A 38606-2024 FSC-klagomål.docx", "A 38606-2024")</f>
        <v/>
      </c>
      <c r="W175">
        <f>HYPERLINK("https://klasma.github.io/Logging_2260/klagomålsmail/A 38606-2024 FSC-klagomål mail.docx", "A 38606-2024")</f>
        <v/>
      </c>
      <c r="X175">
        <f>HYPERLINK("https://klasma.github.io/Logging_2260/tillsyn/A 38606-2024 tillsynsbegäran.docx", "A 38606-2024")</f>
        <v/>
      </c>
      <c r="Y175">
        <f>HYPERLINK("https://klasma.github.io/Logging_2260/tillsynsmail/A 38606-2024 tillsynsbegäran mail.docx", "A 38606-2024")</f>
        <v/>
      </c>
    </row>
    <row r="176" ht="15" customHeight="1">
      <c r="A176" t="inlineStr">
        <is>
          <t>A 43171-2024</t>
        </is>
      </c>
      <c r="B176" s="1" t="n">
        <v>45567</v>
      </c>
      <c r="C176" s="1" t="n">
        <v>45929</v>
      </c>
      <c r="D176" t="inlineStr">
        <is>
          <t>VÄSTERNORRLANDS LÄN</t>
        </is>
      </c>
      <c r="E176" t="inlineStr">
        <is>
          <t>ÅNGE</t>
        </is>
      </c>
      <c r="F176" t="inlineStr">
        <is>
          <t>SCA</t>
        </is>
      </c>
      <c r="G176" t="n">
        <v>3.4</v>
      </c>
      <c r="H176" t="n">
        <v>0</v>
      </c>
      <c r="I176" t="n">
        <v>0</v>
      </c>
      <c r="J176" t="n">
        <v>1</v>
      </c>
      <c r="K176" t="n">
        <v>0</v>
      </c>
      <c r="L176" t="n">
        <v>0</v>
      </c>
      <c r="M176" t="n">
        <v>0</v>
      </c>
      <c r="N176" t="n">
        <v>0</v>
      </c>
      <c r="O176" t="n">
        <v>1</v>
      </c>
      <c r="P176" t="n">
        <v>0</v>
      </c>
      <c r="Q176" t="n">
        <v>1</v>
      </c>
      <c r="R176" s="2" t="inlineStr">
        <is>
          <t>Rosenticka</t>
        </is>
      </c>
      <c r="S176">
        <f>HYPERLINK("https://klasma.github.io/Logging_2260/artfynd/A 43171-2024 artfynd.xlsx", "A 43171-2024")</f>
        <v/>
      </c>
      <c r="T176">
        <f>HYPERLINK("https://klasma.github.io/Logging_2260/kartor/A 43171-2024 karta.png", "A 43171-2024")</f>
        <v/>
      </c>
      <c r="V176">
        <f>HYPERLINK("https://klasma.github.io/Logging_2260/klagomål/A 43171-2024 FSC-klagomål.docx", "A 43171-2024")</f>
        <v/>
      </c>
      <c r="W176">
        <f>HYPERLINK("https://klasma.github.io/Logging_2260/klagomålsmail/A 43171-2024 FSC-klagomål mail.docx", "A 43171-2024")</f>
        <v/>
      </c>
      <c r="X176">
        <f>HYPERLINK("https://klasma.github.io/Logging_2260/tillsyn/A 43171-2024 tillsynsbegäran.docx", "A 43171-2024")</f>
        <v/>
      </c>
      <c r="Y176">
        <f>HYPERLINK("https://klasma.github.io/Logging_2260/tillsynsmail/A 43171-2024 tillsynsbegäran mail.docx", "A 43171-2024")</f>
        <v/>
      </c>
    </row>
    <row r="177" ht="15" customHeight="1">
      <c r="A177" t="inlineStr">
        <is>
          <t>A 5558-2021</t>
        </is>
      </c>
      <c r="B177" s="1" t="n">
        <v>44230</v>
      </c>
      <c r="C177" s="1" t="n">
        <v>45929</v>
      </c>
      <c r="D177" t="inlineStr">
        <is>
          <t>VÄSTERNORRLANDS LÄN</t>
        </is>
      </c>
      <c r="E177" t="inlineStr">
        <is>
          <t>ÅNGE</t>
        </is>
      </c>
      <c r="G177" t="n">
        <v>60.6</v>
      </c>
      <c r="H177" t="n">
        <v>0</v>
      </c>
      <c r="I177" t="n">
        <v>0</v>
      </c>
      <c r="J177" t="n">
        <v>1</v>
      </c>
      <c r="K177" t="n">
        <v>0</v>
      </c>
      <c r="L177" t="n">
        <v>0</v>
      </c>
      <c r="M177" t="n">
        <v>0</v>
      </c>
      <c r="N177" t="n">
        <v>0</v>
      </c>
      <c r="O177" t="n">
        <v>1</v>
      </c>
      <c r="P177" t="n">
        <v>0</v>
      </c>
      <c r="Q177" t="n">
        <v>1</v>
      </c>
      <c r="R177" s="2" t="inlineStr">
        <is>
          <t>Garnlav</t>
        </is>
      </c>
      <c r="S177">
        <f>HYPERLINK("https://klasma.github.io/Logging_2260/artfynd/A 5558-2021 artfynd.xlsx", "A 5558-2021")</f>
        <v/>
      </c>
      <c r="T177">
        <f>HYPERLINK("https://klasma.github.io/Logging_2260/kartor/A 5558-2021 karta.png", "A 5558-2021")</f>
        <v/>
      </c>
      <c r="V177">
        <f>HYPERLINK("https://klasma.github.io/Logging_2260/klagomål/A 5558-2021 FSC-klagomål.docx", "A 5558-2021")</f>
        <v/>
      </c>
      <c r="W177">
        <f>HYPERLINK("https://klasma.github.io/Logging_2260/klagomålsmail/A 5558-2021 FSC-klagomål mail.docx", "A 5558-2021")</f>
        <v/>
      </c>
      <c r="X177">
        <f>HYPERLINK("https://klasma.github.io/Logging_2260/tillsyn/A 5558-2021 tillsynsbegäran.docx", "A 5558-2021")</f>
        <v/>
      </c>
      <c r="Y177">
        <f>HYPERLINK("https://klasma.github.io/Logging_2260/tillsynsmail/A 5558-2021 tillsynsbegäran mail.docx", "A 5558-2021")</f>
        <v/>
      </c>
    </row>
    <row r="178" ht="15" customHeight="1">
      <c r="A178" t="inlineStr">
        <is>
          <t>A 24799-2024</t>
        </is>
      </c>
      <c r="B178" s="1" t="n">
        <v>45460</v>
      </c>
      <c r="C178" s="1" t="n">
        <v>45929</v>
      </c>
      <c r="D178" t="inlineStr">
        <is>
          <t>VÄSTERNORRLANDS LÄN</t>
        </is>
      </c>
      <c r="E178" t="inlineStr">
        <is>
          <t>ÅNGE</t>
        </is>
      </c>
      <c r="F178" t="inlineStr">
        <is>
          <t>SCA</t>
        </is>
      </c>
      <c r="G178" t="n">
        <v>2.8</v>
      </c>
      <c r="H178" t="n">
        <v>1</v>
      </c>
      <c r="I178" t="n">
        <v>0</v>
      </c>
      <c r="J178" t="n">
        <v>0</v>
      </c>
      <c r="K178" t="n">
        <v>1</v>
      </c>
      <c r="L178" t="n">
        <v>0</v>
      </c>
      <c r="M178" t="n">
        <v>0</v>
      </c>
      <c r="N178" t="n">
        <v>0</v>
      </c>
      <c r="O178" t="n">
        <v>1</v>
      </c>
      <c r="P178" t="n">
        <v>1</v>
      </c>
      <c r="Q178" t="n">
        <v>1</v>
      </c>
      <c r="R178" s="2" t="inlineStr">
        <is>
          <t>Doftticka</t>
        </is>
      </c>
      <c r="S178">
        <f>HYPERLINK("https://klasma.github.io/Logging_2260/artfynd/A 24799-2024 artfynd.xlsx", "A 24799-2024")</f>
        <v/>
      </c>
      <c r="T178">
        <f>HYPERLINK("https://klasma.github.io/Logging_2260/kartor/A 24799-2024 karta.png", "A 24799-2024")</f>
        <v/>
      </c>
      <c r="V178">
        <f>HYPERLINK("https://klasma.github.io/Logging_2260/klagomål/A 24799-2024 FSC-klagomål.docx", "A 24799-2024")</f>
        <v/>
      </c>
      <c r="W178">
        <f>HYPERLINK("https://klasma.github.io/Logging_2260/klagomålsmail/A 24799-2024 FSC-klagomål mail.docx", "A 24799-2024")</f>
        <v/>
      </c>
      <c r="X178">
        <f>HYPERLINK("https://klasma.github.io/Logging_2260/tillsyn/A 24799-2024 tillsynsbegäran.docx", "A 24799-2024")</f>
        <v/>
      </c>
      <c r="Y178">
        <f>HYPERLINK("https://klasma.github.io/Logging_2260/tillsynsmail/A 24799-2024 tillsynsbegäran mail.docx", "A 24799-2024")</f>
        <v/>
      </c>
    </row>
    <row r="179" ht="15" customHeight="1">
      <c r="A179" t="inlineStr">
        <is>
          <t>A 13934-2024</t>
        </is>
      </c>
      <c r="B179" s="1" t="n">
        <v>45391</v>
      </c>
      <c r="C179" s="1" t="n">
        <v>45929</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34696-2024</t>
        </is>
      </c>
      <c r="B180" s="1" t="n">
        <v>45526</v>
      </c>
      <c r="C180" s="1" t="n">
        <v>45929</v>
      </c>
      <c r="D180" t="inlineStr">
        <is>
          <t>VÄSTERNORRLANDS LÄN</t>
        </is>
      </c>
      <c r="E180" t="inlineStr">
        <is>
          <t>ÅNGE</t>
        </is>
      </c>
      <c r="G180" t="n">
        <v>3.6</v>
      </c>
      <c r="H180" t="n">
        <v>1</v>
      </c>
      <c r="I180" t="n">
        <v>0</v>
      </c>
      <c r="J180" t="n">
        <v>0</v>
      </c>
      <c r="K180" t="n">
        <v>0</v>
      </c>
      <c r="L180" t="n">
        <v>0</v>
      </c>
      <c r="M180" t="n">
        <v>0</v>
      </c>
      <c r="N180" t="n">
        <v>0</v>
      </c>
      <c r="O180" t="n">
        <v>0</v>
      </c>
      <c r="P180" t="n">
        <v>0</v>
      </c>
      <c r="Q180" t="n">
        <v>1</v>
      </c>
      <c r="R180" s="2" t="inlineStr">
        <is>
          <t>Revlummer</t>
        </is>
      </c>
      <c r="S180">
        <f>HYPERLINK("https://klasma.github.io/Logging_2260/artfynd/A 34696-2024 artfynd.xlsx", "A 34696-2024")</f>
        <v/>
      </c>
      <c r="T180">
        <f>HYPERLINK("https://klasma.github.io/Logging_2260/kartor/A 34696-2024 karta.png", "A 34696-2024")</f>
        <v/>
      </c>
      <c r="V180">
        <f>HYPERLINK("https://klasma.github.io/Logging_2260/klagomål/A 34696-2024 FSC-klagomål.docx", "A 34696-2024")</f>
        <v/>
      </c>
      <c r="W180">
        <f>HYPERLINK("https://klasma.github.io/Logging_2260/klagomålsmail/A 34696-2024 FSC-klagomål mail.docx", "A 34696-2024")</f>
        <v/>
      </c>
      <c r="X180">
        <f>HYPERLINK("https://klasma.github.io/Logging_2260/tillsyn/A 34696-2024 tillsynsbegäran.docx", "A 34696-2024")</f>
        <v/>
      </c>
      <c r="Y180">
        <f>HYPERLINK("https://klasma.github.io/Logging_2260/tillsynsmail/A 34696-2024 tillsynsbegäran mail.docx", "A 34696-2024")</f>
        <v/>
      </c>
    </row>
    <row r="181" ht="15" customHeight="1">
      <c r="A181" t="inlineStr">
        <is>
          <t>A 41493-2021</t>
        </is>
      </c>
      <c r="B181" s="1" t="n">
        <v>44424</v>
      </c>
      <c r="C181" s="1" t="n">
        <v>45929</v>
      </c>
      <c r="D181" t="inlineStr">
        <is>
          <t>VÄSTERNORRLANDS LÄN</t>
        </is>
      </c>
      <c r="E181" t="inlineStr">
        <is>
          <t>ÅNGE</t>
        </is>
      </c>
      <c r="F181" t="inlineStr">
        <is>
          <t>SCA</t>
        </is>
      </c>
      <c r="G181" t="n">
        <v>8</v>
      </c>
      <c r="H181" t="n">
        <v>1</v>
      </c>
      <c r="I181" t="n">
        <v>0</v>
      </c>
      <c r="J181" t="n">
        <v>0</v>
      </c>
      <c r="K181" t="n">
        <v>1</v>
      </c>
      <c r="L181" t="n">
        <v>0</v>
      </c>
      <c r="M181" t="n">
        <v>0</v>
      </c>
      <c r="N181" t="n">
        <v>0</v>
      </c>
      <c r="O181" t="n">
        <v>1</v>
      </c>
      <c r="P181" t="n">
        <v>1</v>
      </c>
      <c r="Q181" t="n">
        <v>1</v>
      </c>
      <c r="R181" s="2" t="inlineStr">
        <is>
          <t>Knärot</t>
        </is>
      </c>
      <c r="S181">
        <f>HYPERLINK("https://klasma.github.io/Logging_2260/artfynd/A 41493-2021 artfynd.xlsx", "A 41493-2021")</f>
        <v/>
      </c>
      <c r="T181">
        <f>HYPERLINK("https://klasma.github.io/Logging_2260/kartor/A 41493-2021 karta.png", "A 41493-2021")</f>
        <v/>
      </c>
      <c r="U181">
        <f>HYPERLINK("https://klasma.github.io/Logging_2260/knärot/A 41493-2021 karta knärot.png", "A 41493-2021")</f>
        <v/>
      </c>
      <c r="V181">
        <f>HYPERLINK("https://klasma.github.io/Logging_2260/klagomål/A 41493-2021 FSC-klagomål.docx", "A 41493-2021")</f>
        <v/>
      </c>
      <c r="W181">
        <f>HYPERLINK("https://klasma.github.io/Logging_2260/klagomålsmail/A 41493-2021 FSC-klagomål mail.docx", "A 41493-2021")</f>
        <v/>
      </c>
      <c r="X181">
        <f>HYPERLINK("https://klasma.github.io/Logging_2260/tillsyn/A 41493-2021 tillsynsbegäran.docx", "A 41493-2021")</f>
        <v/>
      </c>
      <c r="Y181">
        <f>HYPERLINK("https://klasma.github.io/Logging_2260/tillsynsmail/A 41493-2021 tillsynsbegäran mail.docx", "A 41493-2021")</f>
        <v/>
      </c>
    </row>
    <row r="182" ht="15" customHeight="1">
      <c r="A182" t="inlineStr">
        <is>
          <t>A 35648-2025</t>
        </is>
      </c>
      <c r="B182" s="1" t="n">
        <v>45859.51670138889</v>
      </c>
      <c r="C182" s="1" t="n">
        <v>45929</v>
      </c>
      <c r="D182" t="inlineStr">
        <is>
          <t>VÄSTERNORRLANDS LÄN</t>
        </is>
      </c>
      <c r="E182" t="inlineStr">
        <is>
          <t>ÅNGE</t>
        </is>
      </c>
      <c r="F182" t="inlineStr">
        <is>
          <t>Sveaskog</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HYPERLINK("https://klasma.github.io/Logging_2260/artfynd/A 35648-2025 artfynd.xlsx", "A 35648-2025")</f>
        <v/>
      </c>
      <c r="T182">
        <f>HYPERLINK("https://klasma.github.io/Logging_2260/kartor/A 35648-2025 karta.png", "A 35648-2025")</f>
        <v/>
      </c>
      <c r="V182">
        <f>HYPERLINK("https://klasma.github.io/Logging_2260/klagomål/A 35648-2025 FSC-klagomål.docx", "A 35648-2025")</f>
        <v/>
      </c>
      <c r="W182">
        <f>HYPERLINK("https://klasma.github.io/Logging_2260/klagomålsmail/A 35648-2025 FSC-klagomål mail.docx", "A 35648-2025")</f>
        <v/>
      </c>
      <c r="X182">
        <f>HYPERLINK("https://klasma.github.io/Logging_2260/tillsyn/A 35648-2025 tillsynsbegäran.docx", "A 35648-2025")</f>
        <v/>
      </c>
      <c r="Y182">
        <f>HYPERLINK("https://klasma.github.io/Logging_2260/tillsynsmail/A 35648-2025 tillsynsbegäran mail.docx", "A 35648-2025")</f>
        <v/>
      </c>
    </row>
    <row r="183" ht="15" customHeight="1">
      <c r="A183" t="inlineStr">
        <is>
          <t>A 35839-2025</t>
        </is>
      </c>
      <c r="B183" s="1" t="n">
        <v>45861.53943287037</v>
      </c>
      <c r="C183" s="1" t="n">
        <v>45929</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25705-2024</t>
        </is>
      </c>
      <c r="B184" s="1" t="n">
        <v>45463.9428587963</v>
      </c>
      <c r="C184" s="1" t="n">
        <v>45929</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43590-2025</t>
        </is>
      </c>
      <c r="B185" s="1" t="n">
        <v>45911.65665509259</v>
      </c>
      <c r="C185" s="1" t="n">
        <v>45929</v>
      </c>
      <c r="D185" t="inlineStr">
        <is>
          <t>VÄSTERNORRLANDS LÄN</t>
        </is>
      </c>
      <c r="E185" t="inlineStr">
        <is>
          <t>ÅNGE</t>
        </is>
      </c>
      <c r="F185" t="inlineStr">
        <is>
          <t>SCA</t>
        </is>
      </c>
      <c r="G185" t="n">
        <v>2.9</v>
      </c>
      <c r="H185" t="n">
        <v>0</v>
      </c>
      <c r="I185" t="n">
        <v>0</v>
      </c>
      <c r="J185" t="n">
        <v>1</v>
      </c>
      <c r="K185" t="n">
        <v>0</v>
      </c>
      <c r="L185" t="n">
        <v>0</v>
      </c>
      <c r="M185" t="n">
        <v>0</v>
      </c>
      <c r="N185" t="n">
        <v>0</v>
      </c>
      <c r="O185" t="n">
        <v>1</v>
      </c>
      <c r="P185" t="n">
        <v>0</v>
      </c>
      <c r="Q185" t="n">
        <v>1</v>
      </c>
      <c r="R185" s="2" t="inlineStr">
        <is>
          <t>Granticka</t>
        </is>
      </c>
      <c r="S185">
        <f>HYPERLINK("https://klasma.github.io/Logging_2260/artfynd/A 43590-2025 artfynd.xlsx", "A 43590-2025")</f>
        <v/>
      </c>
      <c r="T185">
        <f>HYPERLINK("https://klasma.github.io/Logging_2260/kartor/A 43590-2025 karta.png", "A 43590-2025")</f>
        <v/>
      </c>
      <c r="V185">
        <f>HYPERLINK("https://klasma.github.io/Logging_2260/klagomål/A 43590-2025 FSC-klagomål.docx", "A 43590-2025")</f>
        <v/>
      </c>
      <c r="W185">
        <f>HYPERLINK("https://klasma.github.io/Logging_2260/klagomålsmail/A 43590-2025 FSC-klagomål mail.docx", "A 43590-2025")</f>
        <v/>
      </c>
      <c r="X185">
        <f>HYPERLINK("https://klasma.github.io/Logging_2260/tillsyn/A 43590-2025 tillsynsbegäran.docx", "A 43590-2025")</f>
        <v/>
      </c>
      <c r="Y185">
        <f>HYPERLINK("https://klasma.github.io/Logging_2260/tillsynsmail/A 43590-2025 tillsynsbegäran mail.docx", "A 43590-2025")</f>
        <v/>
      </c>
    </row>
    <row r="186" ht="15" customHeight="1">
      <c r="A186" t="inlineStr">
        <is>
          <t>A 31544-2024</t>
        </is>
      </c>
      <c r="B186" s="1" t="n">
        <v>45505</v>
      </c>
      <c r="C186" s="1" t="n">
        <v>45929</v>
      </c>
      <c r="D186" t="inlineStr">
        <is>
          <t>VÄSTERNORRLANDS LÄN</t>
        </is>
      </c>
      <c r="E186" t="inlineStr">
        <is>
          <t>ÅNGE</t>
        </is>
      </c>
      <c r="F186" t="inlineStr">
        <is>
          <t>SCA</t>
        </is>
      </c>
      <c r="G186" t="n">
        <v>3.5</v>
      </c>
      <c r="H186" t="n">
        <v>0</v>
      </c>
      <c r="I186" t="n">
        <v>0</v>
      </c>
      <c r="J186" t="n">
        <v>1</v>
      </c>
      <c r="K186" t="n">
        <v>0</v>
      </c>
      <c r="L186" t="n">
        <v>0</v>
      </c>
      <c r="M186" t="n">
        <v>0</v>
      </c>
      <c r="N186" t="n">
        <v>0</v>
      </c>
      <c r="O186" t="n">
        <v>1</v>
      </c>
      <c r="P186" t="n">
        <v>0</v>
      </c>
      <c r="Q186" t="n">
        <v>1</v>
      </c>
      <c r="R186" s="2" t="inlineStr">
        <is>
          <t>Granticka</t>
        </is>
      </c>
      <c r="S186">
        <f>HYPERLINK("https://klasma.github.io/Logging_2260/artfynd/A 31544-2024 artfynd.xlsx", "A 31544-2024")</f>
        <v/>
      </c>
      <c r="T186">
        <f>HYPERLINK("https://klasma.github.io/Logging_2260/kartor/A 31544-2024 karta.png", "A 31544-2024")</f>
        <v/>
      </c>
      <c r="V186">
        <f>HYPERLINK("https://klasma.github.io/Logging_2260/klagomål/A 31544-2024 FSC-klagomål.docx", "A 31544-2024")</f>
        <v/>
      </c>
      <c r="W186">
        <f>HYPERLINK("https://klasma.github.io/Logging_2260/klagomålsmail/A 31544-2024 FSC-klagomål mail.docx", "A 31544-2024")</f>
        <v/>
      </c>
      <c r="X186">
        <f>HYPERLINK("https://klasma.github.io/Logging_2260/tillsyn/A 31544-2024 tillsynsbegäran.docx", "A 31544-2024")</f>
        <v/>
      </c>
      <c r="Y186">
        <f>HYPERLINK("https://klasma.github.io/Logging_2260/tillsynsmail/A 31544-2024 tillsynsbegäran mail.docx", "A 31544-2024")</f>
        <v/>
      </c>
    </row>
    <row r="187" ht="15" customHeight="1">
      <c r="A187" t="inlineStr">
        <is>
          <t>A 63983-2020</t>
        </is>
      </c>
      <c r="B187" s="1" t="n">
        <v>44167</v>
      </c>
      <c r="C187" s="1" t="n">
        <v>45929</v>
      </c>
      <c r="D187" t="inlineStr">
        <is>
          <t>VÄSTERNORRLANDS LÄN</t>
        </is>
      </c>
      <c r="E187" t="inlineStr">
        <is>
          <t>ÅNGE</t>
        </is>
      </c>
      <c r="F187" t="inlineStr">
        <is>
          <t>Kommuner</t>
        </is>
      </c>
      <c r="G187" t="n">
        <v>27.1</v>
      </c>
      <c r="H187" t="n">
        <v>1</v>
      </c>
      <c r="I187" t="n">
        <v>0</v>
      </c>
      <c r="J187" t="n">
        <v>0</v>
      </c>
      <c r="K187" t="n">
        <v>1</v>
      </c>
      <c r="L187" t="n">
        <v>0</v>
      </c>
      <c r="M187" t="n">
        <v>0</v>
      </c>
      <c r="N187" t="n">
        <v>0</v>
      </c>
      <c r="O187" t="n">
        <v>1</v>
      </c>
      <c r="P187" t="n">
        <v>1</v>
      </c>
      <c r="Q187" t="n">
        <v>1</v>
      </c>
      <c r="R187" s="2" t="inlineStr">
        <is>
          <t>Knärot</t>
        </is>
      </c>
      <c r="S187">
        <f>HYPERLINK("https://klasma.github.io/Logging_2260/artfynd/A 63983-2020 artfynd.xlsx", "A 63983-2020")</f>
        <v/>
      </c>
      <c r="T187">
        <f>HYPERLINK("https://klasma.github.io/Logging_2260/kartor/A 63983-2020 karta.png", "A 63983-2020")</f>
        <v/>
      </c>
      <c r="U187">
        <f>HYPERLINK("https://klasma.github.io/Logging_2260/knärot/A 63983-2020 karta knärot.png", "A 63983-2020")</f>
        <v/>
      </c>
      <c r="V187">
        <f>HYPERLINK("https://klasma.github.io/Logging_2260/klagomål/A 63983-2020 FSC-klagomål.docx", "A 63983-2020")</f>
        <v/>
      </c>
      <c r="W187">
        <f>HYPERLINK("https://klasma.github.io/Logging_2260/klagomålsmail/A 63983-2020 FSC-klagomål mail.docx", "A 63983-2020")</f>
        <v/>
      </c>
      <c r="X187">
        <f>HYPERLINK("https://klasma.github.io/Logging_2260/tillsyn/A 63983-2020 tillsynsbegäran.docx", "A 63983-2020")</f>
        <v/>
      </c>
      <c r="Y187">
        <f>HYPERLINK("https://klasma.github.io/Logging_2260/tillsynsmail/A 63983-2020 tillsynsbegäran mail.docx", "A 63983-2020")</f>
        <v/>
      </c>
    </row>
    <row r="188" ht="15" customHeight="1">
      <c r="A188" t="inlineStr">
        <is>
          <t>A 52424-2023</t>
        </is>
      </c>
      <c r="B188" s="1" t="n">
        <v>45217</v>
      </c>
      <c r="C188" s="1" t="n">
        <v>45929</v>
      </c>
      <c r="D188" t="inlineStr">
        <is>
          <t>VÄSTERNORRLANDS LÄN</t>
        </is>
      </c>
      <c r="E188" t="inlineStr">
        <is>
          <t>ÅNGE</t>
        </is>
      </c>
      <c r="F188" t="inlineStr">
        <is>
          <t>SCA</t>
        </is>
      </c>
      <c r="G188" t="n">
        <v>3.8</v>
      </c>
      <c r="H188" t="n">
        <v>1</v>
      </c>
      <c r="I188" t="n">
        <v>0</v>
      </c>
      <c r="J188" t="n">
        <v>0</v>
      </c>
      <c r="K188" t="n">
        <v>0</v>
      </c>
      <c r="L188" t="n">
        <v>0</v>
      </c>
      <c r="M188" t="n">
        <v>0</v>
      </c>
      <c r="N188" t="n">
        <v>0</v>
      </c>
      <c r="O188" t="n">
        <v>0</v>
      </c>
      <c r="P188" t="n">
        <v>0</v>
      </c>
      <c r="Q188" t="n">
        <v>1</v>
      </c>
      <c r="R188" s="2" t="inlineStr">
        <is>
          <t>Revlummer</t>
        </is>
      </c>
      <c r="S188">
        <f>HYPERLINK("https://klasma.github.io/Logging_2260/artfynd/A 52424-2023 artfynd.xlsx", "A 52424-2023")</f>
        <v/>
      </c>
      <c r="T188">
        <f>HYPERLINK("https://klasma.github.io/Logging_2260/kartor/A 52424-2023 karta.png", "A 52424-2023")</f>
        <v/>
      </c>
      <c r="V188">
        <f>HYPERLINK("https://klasma.github.io/Logging_2260/klagomål/A 52424-2023 FSC-klagomål.docx", "A 52424-2023")</f>
        <v/>
      </c>
      <c r="W188">
        <f>HYPERLINK("https://klasma.github.io/Logging_2260/klagomålsmail/A 52424-2023 FSC-klagomål mail.docx", "A 52424-2023")</f>
        <v/>
      </c>
      <c r="X188">
        <f>HYPERLINK("https://klasma.github.io/Logging_2260/tillsyn/A 52424-2023 tillsynsbegäran.docx", "A 52424-2023")</f>
        <v/>
      </c>
      <c r="Y188">
        <f>HYPERLINK("https://klasma.github.io/Logging_2260/tillsynsmail/A 52424-2023 tillsynsbegäran mail.docx", "A 52424-2023")</f>
        <v/>
      </c>
    </row>
    <row r="189" ht="15" customHeight="1">
      <c r="A189" t="inlineStr">
        <is>
          <t>A 39638-2024</t>
        </is>
      </c>
      <c r="B189" s="1" t="n">
        <v>45552</v>
      </c>
      <c r="C189" s="1" t="n">
        <v>45929</v>
      </c>
      <c r="D189" t="inlineStr">
        <is>
          <t>VÄSTERNORRLANDS LÄN</t>
        </is>
      </c>
      <c r="E189" t="inlineStr">
        <is>
          <t>ÅNGE</t>
        </is>
      </c>
      <c r="G189" t="n">
        <v>3</v>
      </c>
      <c r="H189" t="n">
        <v>1</v>
      </c>
      <c r="I189" t="n">
        <v>0</v>
      </c>
      <c r="J189" t="n">
        <v>0</v>
      </c>
      <c r="K189" t="n">
        <v>0</v>
      </c>
      <c r="L189" t="n">
        <v>0</v>
      </c>
      <c r="M189" t="n">
        <v>0</v>
      </c>
      <c r="N189" t="n">
        <v>0</v>
      </c>
      <c r="O189" t="n">
        <v>0</v>
      </c>
      <c r="P189" t="n">
        <v>0</v>
      </c>
      <c r="Q189" t="n">
        <v>1</v>
      </c>
      <c r="R189" s="2" t="inlineStr">
        <is>
          <t>Tjäder</t>
        </is>
      </c>
      <c r="S189">
        <f>HYPERLINK("https://klasma.github.io/Logging_2260/artfynd/A 39638-2024 artfynd.xlsx", "A 39638-2024")</f>
        <v/>
      </c>
      <c r="T189">
        <f>HYPERLINK("https://klasma.github.io/Logging_2260/kartor/A 39638-2024 karta.png", "A 39638-2024")</f>
        <v/>
      </c>
      <c r="V189">
        <f>HYPERLINK("https://klasma.github.io/Logging_2260/klagomål/A 39638-2024 FSC-klagomål.docx", "A 39638-2024")</f>
        <v/>
      </c>
      <c r="W189">
        <f>HYPERLINK("https://klasma.github.io/Logging_2260/klagomålsmail/A 39638-2024 FSC-klagomål mail.docx", "A 39638-2024")</f>
        <v/>
      </c>
      <c r="X189">
        <f>HYPERLINK("https://klasma.github.io/Logging_2260/tillsyn/A 39638-2024 tillsynsbegäran.docx", "A 39638-2024")</f>
        <v/>
      </c>
      <c r="Y189">
        <f>HYPERLINK("https://klasma.github.io/Logging_2260/tillsynsmail/A 39638-2024 tillsynsbegäran mail.docx", "A 39638-2024")</f>
        <v/>
      </c>
      <c r="Z189">
        <f>HYPERLINK("https://klasma.github.io/Logging_2260/fåglar/A 39638-2024 prioriterade fågelarter.docx", "A 39638-2024")</f>
        <v/>
      </c>
    </row>
    <row r="190" ht="15" customHeight="1">
      <c r="A190" t="inlineStr">
        <is>
          <t>A 57272-2024</t>
        </is>
      </c>
      <c r="B190" s="1" t="n">
        <v>45629.57380787037</v>
      </c>
      <c r="C190" s="1" t="n">
        <v>45929</v>
      </c>
      <c r="D190" t="inlineStr">
        <is>
          <t>VÄSTERNORRLANDS LÄN</t>
        </is>
      </c>
      <c r="E190" t="inlineStr">
        <is>
          <t>ÅNGE</t>
        </is>
      </c>
      <c r="F190" t="inlineStr">
        <is>
          <t>SCA</t>
        </is>
      </c>
      <c r="G190" t="n">
        <v>5.4</v>
      </c>
      <c r="H190" t="n">
        <v>0</v>
      </c>
      <c r="I190" t="n">
        <v>0</v>
      </c>
      <c r="J190" t="n">
        <v>1</v>
      </c>
      <c r="K190" t="n">
        <v>0</v>
      </c>
      <c r="L190" t="n">
        <v>0</v>
      </c>
      <c r="M190" t="n">
        <v>0</v>
      </c>
      <c r="N190" t="n">
        <v>0</v>
      </c>
      <c r="O190" t="n">
        <v>1</v>
      </c>
      <c r="P190" t="n">
        <v>0</v>
      </c>
      <c r="Q190" t="n">
        <v>1</v>
      </c>
      <c r="R190" s="2" t="inlineStr">
        <is>
          <t>Orange taggsvamp</t>
        </is>
      </c>
      <c r="S190">
        <f>HYPERLINK("https://klasma.github.io/Logging_2260/artfynd/A 57272-2024 artfynd.xlsx", "A 57272-2024")</f>
        <v/>
      </c>
      <c r="T190">
        <f>HYPERLINK("https://klasma.github.io/Logging_2260/kartor/A 57272-2024 karta.png", "A 57272-2024")</f>
        <v/>
      </c>
      <c r="V190">
        <f>HYPERLINK("https://klasma.github.io/Logging_2260/klagomål/A 57272-2024 FSC-klagomål.docx", "A 57272-2024")</f>
        <v/>
      </c>
      <c r="W190">
        <f>HYPERLINK("https://klasma.github.io/Logging_2260/klagomålsmail/A 57272-2024 FSC-klagomål mail.docx", "A 57272-2024")</f>
        <v/>
      </c>
      <c r="X190">
        <f>HYPERLINK("https://klasma.github.io/Logging_2260/tillsyn/A 57272-2024 tillsynsbegäran.docx", "A 57272-2024")</f>
        <v/>
      </c>
      <c r="Y190">
        <f>HYPERLINK("https://klasma.github.io/Logging_2260/tillsynsmail/A 57272-2024 tillsynsbegäran mail.docx", "A 57272-2024")</f>
        <v/>
      </c>
    </row>
    <row r="191" ht="15" customHeight="1">
      <c r="A191" t="inlineStr">
        <is>
          <t>A 37432-2025</t>
        </is>
      </c>
      <c r="B191" s="1" t="n">
        <v>45877.51106481482</v>
      </c>
      <c r="C191" s="1" t="n">
        <v>45929</v>
      </c>
      <c r="D191" t="inlineStr">
        <is>
          <t>VÄSTERNORRLANDS LÄN</t>
        </is>
      </c>
      <c r="E191" t="inlineStr">
        <is>
          <t>ÅNGE</t>
        </is>
      </c>
      <c r="F191" t="inlineStr">
        <is>
          <t>SCA</t>
        </is>
      </c>
      <c r="G191" t="n">
        <v>1.2</v>
      </c>
      <c r="H191" t="n">
        <v>1</v>
      </c>
      <c r="I191" t="n">
        <v>1</v>
      </c>
      <c r="J191" t="n">
        <v>0</v>
      </c>
      <c r="K191" t="n">
        <v>0</v>
      </c>
      <c r="L191" t="n">
        <v>0</v>
      </c>
      <c r="M191" t="n">
        <v>0</v>
      </c>
      <c r="N191" t="n">
        <v>0</v>
      </c>
      <c r="O191" t="n">
        <v>0</v>
      </c>
      <c r="P191" t="n">
        <v>0</v>
      </c>
      <c r="Q191" t="n">
        <v>1</v>
      </c>
      <c r="R191" s="2" t="inlineStr">
        <is>
          <t>Spindelblomster</t>
        </is>
      </c>
      <c r="S191">
        <f>HYPERLINK("https://klasma.github.io/Logging_2260/artfynd/A 37432-2025 artfynd.xlsx", "A 37432-2025")</f>
        <v/>
      </c>
      <c r="T191">
        <f>HYPERLINK("https://klasma.github.io/Logging_2260/kartor/A 37432-2025 karta.png", "A 37432-2025")</f>
        <v/>
      </c>
      <c r="V191">
        <f>HYPERLINK("https://klasma.github.io/Logging_2260/klagomål/A 37432-2025 FSC-klagomål.docx", "A 37432-2025")</f>
        <v/>
      </c>
      <c r="W191">
        <f>HYPERLINK("https://klasma.github.io/Logging_2260/klagomålsmail/A 37432-2025 FSC-klagomål mail.docx", "A 37432-2025")</f>
        <v/>
      </c>
      <c r="X191">
        <f>HYPERLINK("https://klasma.github.io/Logging_2260/tillsyn/A 37432-2025 tillsynsbegäran.docx", "A 37432-2025")</f>
        <v/>
      </c>
      <c r="Y191">
        <f>HYPERLINK("https://klasma.github.io/Logging_2260/tillsynsmail/A 37432-2025 tillsynsbegäran mail.docx", "A 37432-2025")</f>
        <v/>
      </c>
    </row>
    <row r="192" ht="15" customHeight="1">
      <c r="A192" t="inlineStr">
        <is>
          <t>A 54751-2021</t>
        </is>
      </c>
      <c r="B192" s="1" t="n">
        <v>44473</v>
      </c>
      <c r="C192" s="1" t="n">
        <v>45929</v>
      </c>
      <c r="D192" t="inlineStr">
        <is>
          <t>VÄSTERNORRLANDS LÄN</t>
        </is>
      </c>
      <c r="E192" t="inlineStr">
        <is>
          <t>ÅNGE</t>
        </is>
      </c>
      <c r="G192" t="n">
        <v>6.5</v>
      </c>
      <c r="H192" t="n">
        <v>0</v>
      </c>
      <c r="I192" t="n">
        <v>0</v>
      </c>
      <c r="J192" t="n">
        <v>0</v>
      </c>
      <c r="K192" t="n">
        <v>1</v>
      </c>
      <c r="L192" t="n">
        <v>0</v>
      </c>
      <c r="M192" t="n">
        <v>0</v>
      </c>
      <c r="N192" t="n">
        <v>0</v>
      </c>
      <c r="O192" t="n">
        <v>1</v>
      </c>
      <c r="P192" t="n">
        <v>1</v>
      </c>
      <c r="Q192" t="n">
        <v>1</v>
      </c>
      <c r="R192" s="2" t="inlineStr">
        <is>
          <t>Gräddporing</t>
        </is>
      </c>
      <c r="S192">
        <f>HYPERLINK("https://klasma.github.io/Logging_2260/artfynd/A 54751-2021 artfynd.xlsx", "A 54751-2021")</f>
        <v/>
      </c>
      <c r="T192">
        <f>HYPERLINK("https://klasma.github.io/Logging_2260/kartor/A 54751-2021 karta.png", "A 54751-2021")</f>
        <v/>
      </c>
      <c r="V192">
        <f>HYPERLINK("https://klasma.github.io/Logging_2260/klagomål/A 54751-2021 FSC-klagomål.docx", "A 54751-2021")</f>
        <v/>
      </c>
      <c r="W192">
        <f>HYPERLINK("https://klasma.github.io/Logging_2260/klagomålsmail/A 54751-2021 FSC-klagomål mail.docx", "A 54751-2021")</f>
        <v/>
      </c>
      <c r="X192">
        <f>HYPERLINK("https://klasma.github.io/Logging_2260/tillsyn/A 54751-2021 tillsynsbegäran.docx", "A 54751-2021")</f>
        <v/>
      </c>
      <c r="Y192">
        <f>HYPERLINK("https://klasma.github.io/Logging_2260/tillsynsmail/A 54751-2021 tillsynsbegäran mail.docx", "A 54751-2021")</f>
        <v/>
      </c>
    </row>
    <row r="193" ht="15" customHeight="1">
      <c r="A193" t="inlineStr">
        <is>
          <t>A 40214-2024</t>
        </is>
      </c>
      <c r="B193" s="1" t="n">
        <v>45554.59460648148</v>
      </c>
      <c r="C193" s="1" t="n">
        <v>45929</v>
      </c>
      <c r="D193" t="inlineStr">
        <is>
          <t>VÄSTERNORRLANDS LÄN</t>
        </is>
      </c>
      <c r="E193" t="inlineStr">
        <is>
          <t>ÅNGE</t>
        </is>
      </c>
      <c r="F193" t="inlineStr">
        <is>
          <t>SCA</t>
        </is>
      </c>
      <c r="G193" t="n">
        <v>7.7</v>
      </c>
      <c r="H193" t="n">
        <v>0</v>
      </c>
      <c r="I193" t="n">
        <v>0</v>
      </c>
      <c r="J193" t="n">
        <v>1</v>
      </c>
      <c r="K193" t="n">
        <v>0</v>
      </c>
      <c r="L193" t="n">
        <v>0</v>
      </c>
      <c r="M193" t="n">
        <v>0</v>
      </c>
      <c r="N193" t="n">
        <v>0</v>
      </c>
      <c r="O193" t="n">
        <v>1</v>
      </c>
      <c r="P193" t="n">
        <v>0</v>
      </c>
      <c r="Q193" t="n">
        <v>1</v>
      </c>
      <c r="R193" s="2" t="inlineStr">
        <is>
          <t>Lunglav</t>
        </is>
      </c>
      <c r="S193">
        <f>HYPERLINK("https://klasma.github.io/Logging_2260/artfynd/A 40214-2024 artfynd.xlsx", "A 40214-2024")</f>
        <v/>
      </c>
      <c r="T193">
        <f>HYPERLINK("https://klasma.github.io/Logging_2260/kartor/A 40214-2024 karta.png", "A 40214-2024")</f>
        <v/>
      </c>
      <c r="V193">
        <f>HYPERLINK("https://klasma.github.io/Logging_2260/klagomål/A 40214-2024 FSC-klagomål.docx", "A 40214-2024")</f>
        <v/>
      </c>
      <c r="W193">
        <f>HYPERLINK("https://klasma.github.io/Logging_2260/klagomålsmail/A 40214-2024 FSC-klagomål mail.docx", "A 40214-2024")</f>
        <v/>
      </c>
      <c r="X193">
        <f>HYPERLINK("https://klasma.github.io/Logging_2260/tillsyn/A 40214-2024 tillsynsbegäran.docx", "A 40214-2024")</f>
        <v/>
      </c>
      <c r="Y193">
        <f>HYPERLINK("https://klasma.github.io/Logging_2260/tillsynsmail/A 40214-2024 tillsynsbegäran mail.docx", "A 40214-2024")</f>
        <v/>
      </c>
    </row>
    <row r="194" ht="15" customHeight="1">
      <c r="A194" t="inlineStr">
        <is>
          <t>A 46094-2025</t>
        </is>
      </c>
      <c r="B194" s="1" t="n">
        <v>45924.53188657408</v>
      </c>
      <c r="C194" s="1" t="n">
        <v>45929</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37914-2024</t>
        </is>
      </c>
      <c r="B195" s="1" t="n">
        <v>45544</v>
      </c>
      <c r="C195" s="1" t="n">
        <v>45929</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1449-2025</t>
        </is>
      </c>
      <c r="B196" s="1" t="n">
        <v>45670.27537037037</v>
      </c>
      <c r="C196" s="1" t="n">
        <v>45929</v>
      </c>
      <c r="D196" t="inlineStr">
        <is>
          <t>VÄSTERNORRLANDS LÄN</t>
        </is>
      </c>
      <c r="E196" t="inlineStr">
        <is>
          <t>ÅNGE</t>
        </is>
      </c>
      <c r="G196" t="n">
        <v>6.3</v>
      </c>
      <c r="H196" t="n">
        <v>0</v>
      </c>
      <c r="I196" t="n">
        <v>1</v>
      </c>
      <c r="J196" t="n">
        <v>0</v>
      </c>
      <c r="K196" t="n">
        <v>0</v>
      </c>
      <c r="L196" t="n">
        <v>0</v>
      </c>
      <c r="M196" t="n">
        <v>0</v>
      </c>
      <c r="N196" t="n">
        <v>0</v>
      </c>
      <c r="O196" t="n">
        <v>0</v>
      </c>
      <c r="P196" t="n">
        <v>0</v>
      </c>
      <c r="Q196" t="n">
        <v>1</v>
      </c>
      <c r="R196" s="2" t="inlineStr">
        <is>
          <t>Korallblylav</t>
        </is>
      </c>
      <c r="S196">
        <f>HYPERLINK("https://klasma.github.io/Logging_2260/artfynd/A 1449-2025 artfynd.xlsx", "A 1449-2025")</f>
        <v/>
      </c>
      <c r="T196">
        <f>HYPERLINK("https://klasma.github.io/Logging_2260/kartor/A 1449-2025 karta.png", "A 1449-2025")</f>
        <v/>
      </c>
      <c r="V196">
        <f>HYPERLINK("https://klasma.github.io/Logging_2260/klagomål/A 1449-2025 FSC-klagomål.docx", "A 1449-2025")</f>
        <v/>
      </c>
      <c r="W196">
        <f>HYPERLINK("https://klasma.github.io/Logging_2260/klagomålsmail/A 1449-2025 FSC-klagomål mail.docx", "A 1449-2025")</f>
        <v/>
      </c>
      <c r="X196">
        <f>HYPERLINK("https://klasma.github.io/Logging_2260/tillsyn/A 1449-2025 tillsynsbegäran.docx", "A 1449-2025")</f>
        <v/>
      </c>
      <c r="Y196">
        <f>HYPERLINK("https://klasma.github.io/Logging_2260/tillsynsmail/A 1449-2025 tillsynsbegäran mail.docx", "A 1449-2025")</f>
        <v/>
      </c>
    </row>
    <row r="197" ht="15" customHeight="1">
      <c r="A197" t="inlineStr">
        <is>
          <t>A 39180-2024</t>
        </is>
      </c>
      <c r="B197" s="1" t="n">
        <v>45548.6571412037</v>
      </c>
      <c r="C197" s="1" t="n">
        <v>45929</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5-2025</t>
        </is>
      </c>
      <c r="B198" s="1" t="n">
        <v>45658.50527777777</v>
      </c>
      <c r="C198" s="1" t="n">
        <v>45929</v>
      </c>
      <c r="D198" t="inlineStr">
        <is>
          <t>VÄSTERNORRLANDS LÄN</t>
        </is>
      </c>
      <c r="E198" t="inlineStr">
        <is>
          <t>ÅNGE</t>
        </is>
      </c>
      <c r="G198" t="n">
        <v>5.7</v>
      </c>
      <c r="H198" t="n">
        <v>1</v>
      </c>
      <c r="I198" t="n">
        <v>0</v>
      </c>
      <c r="J198" t="n">
        <v>0</v>
      </c>
      <c r="K198" t="n">
        <v>0</v>
      </c>
      <c r="L198" t="n">
        <v>0</v>
      </c>
      <c r="M198" t="n">
        <v>0</v>
      </c>
      <c r="N198" t="n">
        <v>0</v>
      </c>
      <c r="O198" t="n">
        <v>0</v>
      </c>
      <c r="P198" t="n">
        <v>0</v>
      </c>
      <c r="Q198" t="n">
        <v>1</v>
      </c>
      <c r="R198" s="2" t="inlineStr">
        <is>
          <t>Vanlig groda</t>
        </is>
      </c>
      <c r="S198">
        <f>HYPERLINK("https://klasma.github.io/Logging_2260/artfynd/A 5-2025 artfynd.xlsx", "A 5-2025")</f>
        <v/>
      </c>
      <c r="T198">
        <f>HYPERLINK("https://klasma.github.io/Logging_2260/kartor/A 5-2025 karta.png", "A 5-2025")</f>
        <v/>
      </c>
      <c r="V198">
        <f>HYPERLINK("https://klasma.github.io/Logging_2260/klagomål/A 5-2025 FSC-klagomål.docx", "A 5-2025")</f>
        <v/>
      </c>
      <c r="W198">
        <f>HYPERLINK("https://klasma.github.io/Logging_2260/klagomålsmail/A 5-2025 FSC-klagomål mail.docx", "A 5-2025")</f>
        <v/>
      </c>
      <c r="X198">
        <f>HYPERLINK("https://klasma.github.io/Logging_2260/tillsyn/A 5-2025 tillsynsbegäran.docx", "A 5-2025")</f>
        <v/>
      </c>
      <c r="Y198">
        <f>HYPERLINK("https://klasma.github.io/Logging_2260/tillsynsmail/A 5-2025 tillsynsbegäran mail.docx", "A 5-2025")</f>
        <v/>
      </c>
    </row>
    <row r="199" ht="15" customHeight="1">
      <c r="A199" t="inlineStr">
        <is>
          <t>A 39933-2022</t>
        </is>
      </c>
      <c r="B199" s="1" t="n">
        <v>44819</v>
      </c>
      <c r="C199" s="1" t="n">
        <v>45929</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32457-2024</t>
        </is>
      </c>
      <c r="B200" s="1" t="n">
        <v>45512</v>
      </c>
      <c r="C200" s="1" t="n">
        <v>45929</v>
      </c>
      <c r="D200" t="inlineStr">
        <is>
          <t>VÄSTERNORRLANDS LÄN</t>
        </is>
      </c>
      <c r="E200" t="inlineStr">
        <is>
          <t>ÅNGE</t>
        </is>
      </c>
      <c r="F200" t="inlineStr">
        <is>
          <t>SCA</t>
        </is>
      </c>
      <c r="G200" t="n">
        <v>1.3</v>
      </c>
      <c r="H200" t="n">
        <v>0</v>
      </c>
      <c r="I200" t="n">
        <v>0</v>
      </c>
      <c r="J200" t="n">
        <v>1</v>
      </c>
      <c r="K200" t="n">
        <v>0</v>
      </c>
      <c r="L200" t="n">
        <v>0</v>
      </c>
      <c r="M200" t="n">
        <v>0</v>
      </c>
      <c r="N200" t="n">
        <v>0</v>
      </c>
      <c r="O200" t="n">
        <v>1</v>
      </c>
      <c r="P200" t="n">
        <v>0</v>
      </c>
      <c r="Q200" t="n">
        <v>1</v>
      </c>
      <c r="R200" s="2" t="inlineStr">
        <is>
          <t>Ullticka</t>
        </is>
      </c>
      <c r="S200">
        <f>HYPERLINK("https://klasma.github.io/Logging_2260/artfynd/A 32457-2024 artfynd.xlsx", "A 32457-2024")</f>
        <v/>
      </c>
      <c r="T200">
        <f>HYPERLINK("https://klasma.github.io/Logging_2260/kartor/A 32457-2024 karta.png", "A 32457-2024")</f>
        <v/>
      </c>
      <c r="V200">
        <f>HYPERLINK("https://klasma.github.io/Logging_2260/klagomål/A 32457-2024 FSC-klagomål.docx", "A 32457-2024")</f>
        <v/>
      </c>
      <c r="W200">
        <f>HYPERLINK("https://klasma.github.io/Logging_2260/klagomålsmail/A 32457-2024 FSC-klagomål mail.docx", "A 32457-2024")</f>
        <v/>
      </c>
      <c r="X200">
        <f>HYPERLINK("https://klasma.github.io/Logging_2260/tillsyn/A 32457-2024 tillsynsbegäran.docx", "A 32457-2024")</f>
        <v/>
      </c>
      <c r="Y200">
        <f>HYPERLINK("https://klasma.github.io/Logging_2260/tillsynsmail/A 32457-2024 tillsynsbegäran mail.docx", "A 32457-2024")</f>
        <v/>
      </c>
    </row>
    <row r="201" ht="15" customHeight="1">
      <c r="A201" t="inlineStr">
        <is>
          <t>A 29327-2023</t>
        </is>
      </c>
      <c r="B201" s="1" t="n">
        <v>45105.94349537037</v>
      </c>
      <c r="C201" s="1" t="n">
        <v>45929</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4351-2024</t>
        </is>
      </c>
      <c r="B202" s="1" t="n">
        <v>45324</v>
      </c>
      <c r="C202" s="1" t="n">
        <v>45929</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27308-2024</t>
        </is>
      </c>
      <c r="B203" s="1" t="n">
        <v>45471</v>
      </c>
      <c r="C203" s="1" t="n">
        <v>45929</v>
      </c>
      <c r="D203" t="inlineStr">
        <is>
          <t>VÄSTERNORRLANDS LÄN</t>
        </is>
      </c>
      <c r="E203" t="inlineStr">
        <is>
          <t>ÅNGE</t>
        </is>
      </c>
      <c r="F203" t="inlineStr">
        <is>
          <t>SCA</t>
        </is>
      </c>
      <c r="G203" t="n">
        <v>15.9</v>
      </c>
      <c r="H203" t="n">
        <v>0</v>
      </c>
      <c r="I203" t="n">
        <v>0</v>
      </c>
      <c r="J203" t="n">
        <v>1</v>
      </c>
      <c r="K203" t="n">
        <v>0</v>
      </c>
      <c r="L203" t="n">
        <v>0</v>
      </c>
      <c r="M203" t="n">
        <v>0</v>
      </c>
      <c r="N203" t="n">
        <v>0</v>
      </c>
      <c r="O203" t="n">
        <v>1</v>
      </c>
      <c r="P203" t="n">
        <v>0</v>
      </c>
      <c r="Q203" t="n">
        <v>1</v>
      </c>
      <c r="R203" s="2" t="inlineStr">
        <is>
          <t>Lunglav</t>
        </is>
      </c>
      <c r="S203">
        <f>HYPERLINK("https://klasma.github.io/Logging_2260/artfynd/A 27308-2024 artfynd.xlsx", "A 27308-2024")</f>
        <v/>
      </c>
      <c r="T203">
        <f>HYPERLINK("https://klasma.github.io/Logging_2260/kartor/A 27308-2024 karta.png", "A 27308-2024")</f>
        <v/>
      </c>
      <c r="V203">
        <f>HYPERLINK("https://klasma.github.io/Logging_2260/klagomål/A 27308-2024 FSC-klagomål.docx", "A 27308-2024")</f>
        <v/>
      </c>
      <c r="W203">
        <f>HYPERLINK("https://klasma.github.io/Logging_2260/klagomålsmail/A 27308-2024 FSC-klagomål mail.docx", "A 27308-2024")</f>
        <v/>
      </c>
      <c r="X203">
        <f>HYPERLINK("https://klasma.github.io/Logging_2260/tillsyn/A 27308-2024 tillsynsbegäran.docx", "A 27308-2024")</f>
        <v/>
      </c>
      <c r="Y203">
        <f>HYPERLINK("https://klasma.github.io/Logging_2260/tillsynsmail/A 27308-2024 tillsynsbegäran mail.docx", "A 27308-2024")</f>
        <v/>
      </c>
    </row>
    <row r="204" ht="15" customHeight="1">
      <c r="A204" t="inlineStr">
        <is>
          <t>A 30774-2024</t>
        </is>
      </c>
      <c r="B204" s="1" t="n">
        <v>45496.949375</v>
      </c>
      <c r="C204" s="1" t="n">
        <v>45929</v>
      </c>
      <c r="D204" t="inlineStr">
        <is>
          <t>VÄSTERNORRLANDS LÄN</t>
        </is>
      </c>
      <c r="E204" t="inlineStr">
        <is>
          <t>ÅNGE</t>
        </is>
      </c>
      <c r="F204" t="inlineStr">
        <is>
          <t>SCA</t>
        </is>
      </c>
      <c r="G204" t="n">
        <v>2.2</v>
      </c>
      <c r="H204" t="n">
        <v>1</v>
      </c>
      <c r="I204" t="n">
        <v>0</v>
      </c>
      <c r="J204" t="n">
        <v>0</v>
      </c>
      <c r="K204" t="n">
        <v>0</v>
      </c>
      <c r="L204" t="n">
        <v>0</v>
      </c>
      <c r="M204" t="n">
        <v>0</v>
      </c>
      <c r="N204" t="n">
        <v>0</v>
      </c>
      <c r="O204" t="n">
        <v>0</v>
      </c>
      <c r="P204" t="n">
        <v>0</v>
      </c>
      <c r="Q204" t="n">
        <v>1</v>
      </c>
      <c r="R204" s="2" t="inlineStr">
        <is>
          <t>Tjäder</t>
        </is>
      </c>
      <c r="S204">
        <f>HYPERLINK("https://klasma.github.io/Logging_2260/artfynd/A 30774-2024 artfynd.xlsx", "A 30774-2024")</f>
        <v/>
      </c>
      <c r="T204">
        <f>HYPERLINK("https://klasma.github.io/Logging_2260/kartor/A 30774-2024 karta.png", "A 30774-2024")</f>
        <v/>
      </c>
      <c r="V204">
        <f>HYPERLINK("https://klasma.github.io/Logging_2260/klagomål/A 30774-2024 FSC-klagomål.docx", "A 30774-2024")</f>
        <v/>
      </c>
      <c r="W204">
        <f>HYPERLINK("https://klasma.github.io/Logging_2260/klagomålsmail/A 30774-2024 FSC-klagomål mail.docx", "A 30774-2024")</f>
        <v/>
      </c>
      <c r="X204">
        <f>HYPERLINK("https://klasma.github.io/Logging_2260/tillsyn/A 30774-2024 tillsynsbegäran.docx", "A 30774-2024")</f>
        <v/>
      </c>
      <c r="Y204">
        <f>HYPERLINK("https://klasma.github.io/Logging_2260/tillsynsmail/A 30774-2024 tillsynsbegäran mail.docx", "A 30774-2024")</f>
        <v/>
      </c>
      <c r="Z204">
        <f>HYPERLINK("https://klasma.github.io/Logging_2260/fåglar/A 30774-2024 prioriterade fågelarter.docx", "A 30774-2024")</f>
        <v/>
      </c>
    </row>
    <row r="205" ht="15" customHeight="1">
      <c r="A205" t="inlineStr">
        <is>
          <t>A 64510-2023</t>
        </is>
      </c>
      <c r="B205" s="1" t="n">
        <v>45281</v>
      </c>
      <c r="C205" s="1" t="n">
        <v>45929</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38603-2024</t>
        </is>
      </c>
      <c r="B206" s="1" t="n">
        <v>45546</v>
      </c>
      <c r="C206" s="1" t="n">
        <v>45929</v>
      </c>
      <c r="D206" t="inlineStr">
        <is>
          <t>VÄSTERNORRLANDS LÄN</t>
        </is>
      </c>
      <c r="E206" t="inlineStr">
        <is>
          <t>ÅNGE</t>
        </is>
      </c>
      <c r="F206" t="inlineStr">
        <is>
          <t>SCA</t>
        </is>
      </c>
      <c r="G206" t="n">
        <v>5.6</v>
      </c>
      <c r="H206" t="n">
        <v>0</v>
      </c>
      <c r="I206" t="n">
        <v>0</v>
      </c>
      <c r="J206" t="n">
        <v>0</v>
      </c>
      <c r="K206" t="n">
        <v>1</v>
      </c>
      <c r="L206" t="n">
        <v>0</v>
      </c>
      <c r="M206" t="n">
        <v>0</v>
      </c>
      <c r="N206" t="n">
        <v>0</v>
      </c>
      <c r="O206" t="n">
        <v>1</v>
      </c>
      <c r="P206" t="n">
        <v>1</v>
      </c>
      <c r="Q206" t="n">
        <v>1</v>
      </c>
      <c r="R206" s="2" t="inlineStr">
        <is>
          <t>Rynkskinn</t>
        </is>
      </c>
      <c r="S206">
        <f>HYPERLINK("https://klasma.github.io/Logging_2260/artfynd/A 38603-2024 artfynd.xlsx", "A 38603-2024")</f>
        <v/>
      </c>
      <c r="T206">
        <f>HYPERLINK("https://klasma.github.io/Logging_2260/kartor/A 38603-2024 karta.png", "A 38603-2024")</f>
        <v/>
      </c>
      <c r="V206">
        <f>HYPERLINK("https://klasma.github.io/Logging_2260/klagomål/A 38603-2024 FSC-klagomål.docx", "A 38603-2024")</f>
        <v/>
      </c>
      <c r="W206">
        <f>HYPERLINK("https://klasma.github.io/Logging_2260/klagomålsmail/A 38603-2024 FSC-klagomål mail.docx", "A 38603-2024")</f>
        <v/>
      </c>
      <c r="X206">
        <f>HYPERLINK("https://klasma.github.io/Logging_2260/tillsyn/A 38603-2024 tillsynsbegäran.docx", "A 38603-2024")</f>
        <v/>
      </c>
      <c r="Y206">
        <f>HYPERLINK("https://klasma.github.io/Logging_2260/tillsynsmail/A 38603-2024 tillsynsbegäran mail.docx", "A 38603-2024")</f>
        <v/>
      </c>
    </row>
    <row r="207" ht="15" customHeight="1">
      <c r="A207" t="inlineStr">
        <is>
          <t>A 20192-2025</t>
        </is>
      </c>
      <c r="B207" s="1" t="n">
        <v>45772.60177083333</v>
      </c>
      <c r="C207" s="1" t="n">
        <v>45929</v>
      </c>
      <c r="D207" t="inlineStr">
        <is>
          <t>VÄSTERNORRLANDS LÄN</t>
        </is>
      </c>
      <c r="E207" t="inlineStr">
        <is>
          <t>ÅNGE</t>
        </is>
      </c>
      <c r="F207" t="inlineStr">
        <is>
          <t>Sveaskog</t>
        </is>
      </c>
      <c r="G207" t="n">
        <v>8.800000000000001</v>
      </c>
      <c r="H207" t="n">
        <v>1</v>
      </c>
      <c r="I207" t="n">
        <v>0</v>
      </c>
      <c r="J207" t="n">
        <v>0</v>
      </c>
      <c r="K207" t="n">
        <v>0</v>
      </c>
      <c r="L207" t="n">
        <v>0</v>
      </c>
      <c r="M207" t="n">
        <v>0</v>
      </c>
      <c r="N207" t="n">
        <v>0</v>
      </c>
      <c r="O207" t="n">
        <v>0</v>
      </c>
      <c r="P207" t="n">
        <v>0</v>
      </c>
      <c r="Q207" t="n">
        <v>1</v>
      </c>
      <c r="R207" s="2" t="inlineStr">
        <is>
          <t>Blåsippa</t>
        </is>
      </c>
      <c r="S207">
        <f>HYPERLINK("https://klasma.github.io/Logging_2260/artfynd/A 20192-2025 artfynd.xlsx", "A 20192-2025")</f>
        <v/>
      </c>
      <c r="T207">
        <f>HYPERLINK("https://klasma.github.io/Logging_2260/kartor/A 20192-2025 karta.png", "A 20192-2025")</f>
        <v/>
      </c>
      <c r="V207">
        <f>HYPERLINK("https://klasma.github.io/Logging_2260/klagomål/A 20192-2025 FSC-klagomål.docx", "A 20192-2025")</f>
        <v/>
      </c>
      <c r="W207">
        <f>HYPERLINK("https://klasma.github.io/Logging_2260/klagomålsmail/A 20192-2025 FSC-klagomål mail.docx", "A 20192-2025")</f>
        <v/>
      </c>
      <c r="X207">
        <f>HYPERLINK("https://klasma.github.io/Logging_2260/tillsyn/A 20192-2025 tillsynsbegäran.docx", "A 20192-2025")</f>
        <v/>
      </c>
      <c r="Y207">
        <f>HYPERLINK("https://klasma.github.io/Logging_2260/tillsynsmail/A 20192-2025 tillsynsbegäran mail.docx", "A 20192-2025")</f>
        <v/>
      </c>
    </row>
    <row r="208" ht="15" customHeight="1">
      <c r="A208" t="inlineStr">
        <is>
          <t>A 23490-2025</t>
        </is>
      </c>
      <c r="B208" s="1" t="n">
        <v>45792.46907407408</v>
      </c>
      <c r="C208" s="1" t="n">
        <v>45929</v>
      </c>
      <c r="D208" t="inlineStr">
        <is>
          <t>VÄSTERNORRLANDS LÄN</t>
        </is>
      </c>
      <c r="E208" t="inlineStr">
        <is>
          <t>ÅNGE</t>
        </is>
      </c>
      <c r="F208" t="inlineStr">
        <is>
          <t>SCA</t>
        </is>
      </c>
      <c r="G208" t="n">
        <v>3.3</v>
      </c>
      <c r="H208" t="n">
        <v>0</v>
      </c>
      <c r="I208" t="n">
        <v>0</v>
      </c>
      <c r="J208" t="n">
        <v>1</v>
      </c>
      <c r="K208" t="n">
        <v>0</v>
      </c>
      <c r="L208" t="n">
        <v>0</v>
      </c>
      <c r="M208" t="n">
        <v>0</v>
      </c>
      <c r="N208" t="n">
        <v>0</v>
      </c>
      <c r="O208" t="n">
        <v>1</v>
      </c>
      <c r="P208" t="n">
        <v>0</v>
      </c>
      <c r="Q208" t="n">
        <v>1</v>
      </c>
      <c r="R208" s="2" t="inlineStr">
        <is>
          <t>Garnlav</t>
        </is>
      </c>
      <c r="S208">
        <f>HYPERLINK("https://klasma.github.io/Logging_2260/artfynd/A 23490-2025 artfynd.xlsx", "A 23490-2025")</f>
        <v/>
      </c>
      <c r="T208">
        <f>HYPERLINK("https://klasma.github.io/Logging_2260/kartor/A 23490-2025 karta.png", "A 23490-2025")</f>
        <v/>
      </c>
      <c r="V208">
        <f>HYPERLINK("https://klasma.github.io/Logging_2260/klagomål/A 23490-2025 FSC-klagomål.docx", "A 23490-2025")</f>
        <v/>
      </c>
      <c r="W208">
        <f>HYPERLINK("https://klasma.github.io/Logging_2260/klagomålsmail/A 23490-2025 FSC-klagomål mail.docx", "A 23490-2025")</f>
        <v/>
      </c>
      <c r="X208">
        <f>HYPERLINK("https://klasma.github.io/Logging_2260/tillsyn/A 23490-2025 tillsynsbegäran.docx", "A 23490-2025")</f>
        <v/>
      </c>
      <c r="Y208">
        <f>HYPERLINK("https://klasma.github.io/Logging_2260/tillsynsmail/A 23490-2025 tillsynsbegäran mail.docx", "A 23490-2025")</f>
        <v/>
      </c>
    </row>
    <row r="209" ht="15" customHeight="1">
      <c r="A209" t="inlineStr">
        <is>
          <t>A 71366-2021</t>
        </is>
      </c>
      <c r="B209" s="1" t="n">
        <v>44539</v>
      </c>
      <c r="C209" s="1" t="n">
        <v>45929</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54386-2024</t>
        </is>
      </c>
      <c r="B210" s="1" t="n">
        <v>45617.44822916666</v>
      </c>
      <c r="C210" s="1" t="n">
        <v>45929</v>
      </c>
      <c r="D210" t="inlineStr">
        <is>
          <t>VÄSTERNORRLANDS LÄN</t>
        </is>
      </c>
      <c r="E210" t="inlineStr">
        <is>
          <t>ÅNGE</t>
        </is>
      </c>
      <c r="F210" t="inlineStr">
        <is>
          <t>SCA</t>
        </is>
      </c>
      <c r="G210" t="n">
        <v>1.9</v>
      </c>
      <c r="H210" t="n">
        <v>0</v>
      </c>
      <c r="I210" t="n">
        <v>0</v>
      </c>
      <c r="J210" t="n">
        <v>1</v>
      </c>
      <c r="K210" t="n">
        <v>0</v>
      </c>
      <c r="L210" t="n">
        <v>0</v>
      </c>
      <c r="M210" t="n">
        <v>0</v>
      </c>
      <c r="N210" t="n">
        <v>0</v>
      </c>
      <c r="O210" t="n">
        <v>1</v>
      </c>
      <c r="P210" t="n">
        <v>0</v>
      </c>
      <c r="Q210" t="n">
        <v>1</v>
      </c>
      <c r="R210" s="2" t="inlineStr">
        <is>
          <t>Reliktbock</t>
        </is>
      </c>
      <c r="S210">
        <f>HYPERLINK("https://klasma.github.io/Logging_2260/artfynd/A 54386-2024 artfynd.xlsx", "A 54386-2024")</f>
        <v/>
      </c>
      <c r="T210">
        <f>HYPERLINK("https://klasma.github.io/Logging_2260/kartor/A 54386-2024 karta.png", "A 54386-2024")</f>
        <v/>
      </c>
      <c r="V210">
        <f>HYPERLINK("https://klasma.github.io/Logging_2260/klagomål/A 54386-2024 FSC-klagomål.docx", "A 54386-2024")</f>
        <v/>
      </c>
      <c r="W210">
        <f>HYPERLINK("https://klasma.github.io/Logging_2260/klagomålsmail/A 54386-2024 FSC-klagomål mail.docx", "A 54386-2024")</f>
        <v/>
      </c>
      <c r="X210">
        <f>HYPERLINK("https://klasma.github.io/Logging_2260/tillsyn/A 54386-2024 tillsynsbegäran.docx", "A 54386-2024")</f>
        <v/>
      </c>
      <c r="Y210">
        <f>HYPERLINK("https://klasma.github.io/Logging_2260/tillsynsmail/A 54386-2024 tillsynsbegäran mail.docx", "A 54386-2024")</f>
        <v/>
      </c>
    </row>
    <row r="211" ht="15" customHeight="1">
      <c r="A211" t="inlineStr">
        <is>
          <t>A 56091-2024</t>
        </is>
      </c>
      <c r="B211" s="1" t="n">
        <v>45624.40678240741</v>
      </c>
      <c r="C211" s="1" t="n">
        <v>45929</v>
      </c>
      <c r="D211" t="inlineStr">
        <is>
          <t>VÄSTERNORRLANDS LÄN</t>
        </is>
      </c>
      <c r="E211" t="inlineStr">
        <is>
          <t>ÅNGE</t>
        </is>
      </c>
      <c r="F211" t="inlineStr">
        <is>
          <t>SCA</t>
        </is>
      </c>
      <c r="G211" t="n">
        <v>2.5</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56091-2024 artfynd.xlsx", "A 56091-2024")</f>
        <v/>
      </c>
      <c r="T211">
        <f>HYPERLINK("https://klasma.github.io/Logging_2260/kartor/A 56091-2024 karta.png", "A 56091-2024")</f>
        <v/>
      </c>
      <c r="V211">
        <f>HYPERLINK("https://klasma.github.io/Logging_2260/klagomål/A 56091-2024 FSC-klagomål.docx", "A 56091-2024")</f>
        <v/>
      </c>
      <c r="W211">
        <f>HYPERLINK("https://klasma.github.io/Logging_2260/klagomålsmail/A 56091-2024 FSC-klagomål mail.docx", "A 56091-2024")</f>
        <v/>
      </c>
      <c r="X211">
        <f>HYPERLINK("https://klasma.github.io/Logging_2260/tillsyn/A 56091-2024 tillsynsbegäran.docx", "A 56091-2024")</f>
        <v/>
      </c>
      <c r="Y211">
        <f>HYPERLINK("https://klasma.github.io/Logging_2260/tillsynsmail/A 56091-2024 tillsynsbegäran mail.docx", "A 56091-2024")</f>
        <v/>
      </c>
    </row>
    <row r="212" ht="15" customHeight="1">
      <c r="A212" t="inlineStr">
        <is>
          <t>A 31878-2024</t>
        </is>
      </c>
      <c r="B212" s="1" t="n">
        <v>45509</v>
      </c>
      <c r="C212" s="1" t="n">
        <v>45929</v>
      </c>
      <c r="D212" t="inlineStr">
        <is>
          <t>VÄSTERNORRLANDS LÄN</t>
        </is>
      </c>
      <c r="E212" t="inlineStr">
        <is>
          <t>ÅNGE</t>
        </is>
      </c>
      <c r="F212" t="inlineStr">
        <is>
          <t>SCA</t>
        </is>
      </c>
      <c r="G212" t="n">
        <v>5.1</v>
      </c>
      <c r="H212" t="n">
        <v>0</v>
      </c>
      <c r="I212" t="n">
        <v>1</v>
      </c>
      <c r="J212" t="n">
        <v>0</v>
      </c>
      <c r="K212" t="n">
        <v>0</v>
      </c>
      <c r="L212" t="n">
        <v>0</v>
      </c>
      <c r="M212" t="n">
        <v>0</v>
      </c>
      <c r="N212" t="n">
        <v>0</v>
      </c>
      <c r="O212" t="n">
        <v>0</v>
      </c>
      <c r="P212" t="n">
        <v>0</v>
      </c>
      <c r="Q212" t="n">
        <v>1</v>
      </c>
      <c r="R212" s="2" t="inlineStr">
        <is>
          <t>Grönpyrola</t>
        </is>
      </c>
      <c r="S212">
        <f>HYPERLINK("https://klasma.github.io/Logging_2260/artfynd/A 31878-2024 artfynd.xlsx", "A 31878-2024")</f>
        <v/>
      </c>
      <c r="T212">
        <f>HYPERLINK("https://klasma.github.io/Logging_2260/kartor/A 31878-2024 karta.png", "A 31878-2024")</f>
        <v/>
      </c>
      <c r="V212">
        <f>HYPERLINK("https://klasma.github.io/Logging_2260/klagomål/A 31878-2024 FSC-klagomål.docx", "A 31878-2024")</f>
        <v/>
      </c>
      <c r="W212">
        <f>HYPERLINK("https://klasma.github.io/Logging_2260/klagomålsmail/A 31878-2024 FSC-klagomål mail.docx", "A 31878-2024")</f>
        <v/>
      </c>
      <c r="X212">
        <f>HYPERLINK("https://klasma.github.io/Logging_2260/tillsyn/A 31878-2024 tillsynsbegäran.docx", "A 31878-2024")</f>
        <v/>
      </c>
      <c r="Y212">
        <f>HYPERLINK("https://klasma.github.io/Logging_2260/tillsynsmail/A 31878-2024 tillsynsbegäran mail.docx", "A 31878-2024")</f>
        <v/>
      </c>
    </row>
    <row r="213" ht="15" customHeight="1">
      <c r="A213" t="inlineStr">
        <is>
          <t>A 27025-2025</t>
        </is>
      </c>
      <c r="B213" s="1" t="n">
        <v>45811</v>
      </c>
      <c r="C213" s="1" t="n">
        <v>45929</v>
      </c>
      <c r="D213" t="inlineStr">
        <is>
          <t>VÄSTERNORRLANDS LÄN</t>
        </is>
      </c>
      <c r="E213" t="inlineStr">
        <is>
          <t>ÅNGE</t>
        </is>
      </c>
      <c r="G213" t="n">
        <v>25.5</v>
      </c>
      <c r="H213" t="n">
        <v>0</v>
      </c>
      <c r="I213" t="n">
        <v>0</v>
      </c>
      <c r="J213" t="n">
        <v>1</v>
      </c>
      <c r="K213" t="n">
        <v>0</v>
      </c>
      <c r="L213" t="n">
        <v>0</v>
      </c>
      <c r="M213" t="n">
        <v>0</v>
      </c>
      <c r="N213" t="n">
        <v>0</v>
      </c>
      <c r="O213" t="n">
        <v>1</v>
      </c>
      <c r="P213" t="n">
        <v>0</v>
      </c>
      <c r="Q213" t="n">
        <v>1</v>
      </c>
      <c r="R213" s="2" t="inlineStr">
        <is>
          <t>Garnlav</t>
        </is>
      </c>
      <c r="S213">
        <f>HYPERLINK("https://klasma.github.io/Logging_2260/artfynd/A 27025-2025 artfynd.xlsx", "A 27025-2025")</f>
        <v/>
      </c>
      <c r="T213">
        <f>HYPERLINK("https://klasma.github.io/Logging_2260/kartor/A 27025-2025 karta.png", "A 27025-2025")</f>
        <v/>
      </c>
      <c r="U213">
        <f>HYPERLINK("https://klasma.github.io/Logging_2260/knärot/A 27025-2025 karta knärot.png", "A 27025-2025")</f>
        <v/>
      </c>
      <c r="V213">
        <f>HYPERLINK("https://klasma.github.io/Logging_2260/klagomål/A 27025-2025 FSC-klagomål.docx", "A 27025-2025")</f>
        <v/>
      </c>
      <c r="W213">
        <f>HYPERLINK("https://klasma.github.io/Logging_2260/klagomålsmail/A 27025-2025 FSC-klagomål mail.docx", "A 27025-2025")</f>
        <v/>
      </c>
      <c r="X213">
        <f>HYPERLINK("https://klasma.github.io/Logging_2260/tillsyn/A 27025-2025 tillsynsbegäran.docx", "A 27025-2025")</f>
        <v/>
      </c>
      <c r="Y213">
        <f>HYPERLINK("https://klasma.github.io/Logging_2260/tillsynsmail/A 27025-2025 tillsynsbegäran mail.docx", "A 27025-2025")</f>
        <v/>
      </c>
    </row>
    <row r="214" ht="15" customHeight="1">
      <c r="A214" t="inlineStr">
        <is>
          <t>A 31510-2024</t>
        </is>
      </c>
      <c r="B214" s="1" t="n">
        <v>45505</v>
      </c>
      <c r="C214" s="1" t="n">
        <v>45929</v>
      </c>
      <c r="D214" t="inlineStr">
        <is>
          <t>VÄSTERNORRLANDS LÄN</t>
        </is>
      </c>
      <c r="E214" t="inlineStr">
        <is>
          <t>ÅNGE</t>
        </is>
      </c>
      <c r="F214" t="inlineStr">
        <is>
          <t>SCA</t>
        </is>
      </c>
      <c r="G214" t="n">
        <v>6</v>
      </c>
      <c r="H214" t="n">
        <v>1</v>
      </c>
      <c r="I214" t="n">
        <v>0</v>
      </c>
      <c r="J214" t="n">
        <v>0</v>
      </c>
      <c r="K214" t="n">
        <v>1</v>
      </c>
      <c r="L214" t="n">
        <v>0</v>
      </c>
      <c r="M214" t="n">
        <v>0</v>
      </c>
      <c r="N214" t="n">
        <v>0</v>
      </c>
      <c r="O214" t="n">
        <v>1</v>
      </c>
      <c r="P214" t="n">
        <v>1</v>
      </c>
      <c r="Q214" t="n">
        <v>1</v>
      </c>
      <c r="R214" s="2" t="inlineStr">
        <is>
          <t>Doftticka</t>
        </is>
      </c>
      <c r="S214">
        <f>HYPERLINK("https://klasma.github.io/Logging_2260/artfynd/A 31510-2024 artfynd.xlsx", "A 31510-2024")</f>
        <v/>
      </c>
      <c r="T214">
        <f>HYPERLINK("https://klasma.github.io/Logging_2260/kartor/A 31510-2024 karta.png", "A 31510-2024")</f>
        <v/>
      </c>
      <c r="V214">
        <f>HYPERLINK("https://klasma.github.io/Logging_2260/klagomål/A 31510-2024 FSC-klagomål.docx", "A 31510-2024")</f>
        <v/>
      </c>
      <c r="W214">
        <f>HYPERLINK("https://klasma.github.io/Logging_2260/klagomålsmail/A 31510-2024 FSC-klagomål mail.docx", "A 31510-2024")</f>
        <v/>
      </c>
      <c r="X214">
        <f>HYPERLINK("https://klasma.github.io/Logging_2260/tillsyn/A 31510-2024 tillsynsbegäran.docx", "A 31510-2024")</f>
        <v/>
      </c>
      <c r="Y214">
        <f>HYPERLINK("https://klasma.github.io/Logging_2260/tillsynsmail/A 31510-2024 tillsynsbegäran mail.docx", "A 31510-2024")</f>
        <v/>
      </c>
    </row>
    <row r="215" ht="15" customHeight="1">
      <c r="A215" t="inlineStr">
        <is>
          <t>A 55015-2023</t>
        </is>
      </c>
      <c r="B215" s="1" t="n">
        <v>45237.32185185186</v>
      </c>
      <c r="C215" s="1" t="n">
        <v>45929</v>
      </c>
      <c r="D215" t="inlineStr">
        <is>
          <t>VÄSTERNORRLANDS LÄN</t>
        </is>
      </c>
      <c r="E215" t="inlineStr">
        <is>
          <t>ÅNGE</t>
        </is>
      </c>
      <c r="F215" t="inlineStr">
        <is>
          <t>Sveaskog</t>
        </is>
      </c>
      <c r="G215" t="n">
        <v>2.7</v>
      </c>
      <c r="H215" t="n">
        <v>0</v>
      </c>
      <c r="I215" t="n">
        <v>0</v>
      </c>
      <c r="J215" t="n">
        <v>1</v>
      </c>
      <c r="K215" t="n">
        <v>0</v>
      </c>
      <c r="L215" t="n">
        <v>0</v>
      </c>
      <c r="M215" t="n">
        <v>0</v>
      </c>
      <c r="N215" t="n">
        <v>0</v>
      </c>
      <c r="O215" t="n">
        <v>1</v>
      </c>
      <c r="P215" t="n">
        <v>0</v>
      </c>
      <c r="Q215" t="n">
        <v>1</v>
      </c>
      <c r="R215" s="2" t="inlineStr">
        <is>
          <t>Lunglav</t>
        </is>
      </c>
      <c r="S215">
        <f>HYPERLINK("https://klasma.github.io/Logging_2260/artfynd/A 55015-2023 artfynd.xlsx", "A 55015-2023")</f>
        <v/>
      </c>
      <c r="T215">
        <f>HYPERLINK("https://klasma.github.io/Logging_2260/kartor/A 55015-2023 karta.png", "A 55015-2023")</f>
        <v/>
      </c>
      <c r="V215">
        <f>HYPERLINK("https://klasma.github.io/Logging_2260/klagomål/A 55015-2023 FSC-klagomål.docx", "A 55015-2023")</f>
        <v/>
      </c>
      <c r="W215">
        <f>HYPERLINK("https://klasma.github.io/Logging_2260/klagomålsmail/A 55015-2023 FSC-klagomål mail.docx", "A 55015-2023")</f>
        <v/>
      </c>
      <c r="X215">
        <f>HYPERLINK("https://klasma.github.io/Logging_2260/tillsyn/A 55015-2023 tillsynsbegäran.docx", "A 55015-2023")</f>
        <v/>
      </c>
      <c r="Y215">
        <f>HYPERLINK("https://klasma.github.io/Logging_2260/tillsynsmail/A 55015-2023 tillsynsbegäran mail.docx", "A 55015-2023")</f>
        <v/>
      </c>
    </row>
    <row r="216" ht="15" customHeight="1">
      <c r="A216" t="inlineStr">
        <is>
          <t>A 8057-2021</t>
        </is>
      </c>
      <c r="B216" s="1" t="n">
        <v>44238</v>
      </c>
      <c r="C216" s="1" t="n">
        <v>45929</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52627-2020</t>
        </is>
      </c>
      <c r="B217" s="1" t="n">
        <v>44118</v>
      </c>
      <c r="C217" s="1" t="n">
        <v>45929</v>
      </c>
      <c r="D217" t="inlineStr">
        <is>
          <t>VÄSTERNORRLANDS LÄN</t>
        </is>
      </c>
      <c r="E217" t="inlineStr">
        <is>
          <t>ÅNGE</t>
        </is>
      </c>
      <c r="G217" t="n">
        <v>0.8</v>
      </c>
      <c r="H217" t="n">
        <v>0</v>
      </c>
      <c r="I217" t="n">
        <v>0</v>
      </c>
      <c r="J217" t="n">
        <v>0</v>
      </c>
      <c r="K217" t="n">
        <v>0</v>
      </c>
      <c r="L217" t="n">
        <v>0</v>
      </c>
      <c r="M217" t="n">
        <v>0</v>
      </c>
      <c r="N217" t="n">
        <v>0</v>
      </c>
      <c r="O217" t="n">
        <v>0</v>
      </c>
      <c r="P217" t="n">
        <v>0</v>
      </c>
      <c r="Q217" t="n">
        <v>0</v>
      </c>
      <c r="R217" s="2" t="inlineStr"/>
    </row>
    <row r="218" ht="15" customHeight="1">
      <c r="A218" t="inlineStr">
        <is>
          <t>A 52633-2020</t>
        </is>
      </c>
      <c r="B218" s="1" t="n">
        <v>44118</v>
      </c>
      <c r="C218" s="1" t="n">
        <v>45929</v>
      </c>
      <c r="D218" t="inlineStr">
        <is>
          <t>VÄSTERNORRLANDS LÄN</t>
        </is>
      </c>
      <c r="E218" t="inlineStr">
        <is>
          <t>ÅNGE</t>
        </is>
      </c>
      <c r="G218" t="n">
        <v>3.6</v>
      </c>
      <c r="H218" t="n">
        <v>0</v>
      </c>
      <c r="I218" t="n">
        <v>0</v>
      </c>
      <c r="J218" t="n">
        <v>0</v>
      </c>
      <c r="K218" t="n">
        <v>0</v>
      </c>
      <c r="L218" t="n">
        <v>0</v>
      </c>
      <c r="M218" t="n">
        <v>0</v>
      </c>
      <c r="N218" t="n">
        <v>0</v>
      </c>
      <c r="O218" t="n">
        <v>0</v>
      </c>
      <c r="P218" t="n">
        <v>0</v>
      </c>
      <c r="Q218" t="n">
        <v>0</v>
      </c>
      <c r="R218" s="2" t="inlineStr"/>
    </row>
    <row r="219" ht="15" customHeight="1">
      <c r="A219" t="inlineStr">
        <is>
          <t>A 20354-2021</t>
        </is>
      </c>
      <c r="B219" s="1" t="n">
        <v>44312</v>
      </c>
      <c r="C219" s="1" t="n">
        <v>45929</v>
      </c>
      <c r="D219" t="inlineStr">
        <is>
          <t>VÄSTERNORRLANDS LÄN</t>
        </is>
      </c>
      <c r="E219" t="inlineStr">
        <is>
          <t>ÅNGE</t>
        </is>
      </c>
      <c r="G219" t="n">
        <v>1.3</v>
      </c>
      <c r="H219" t="n">
        <v>0</v>
      </c>
      <c r="I219" t="n">
        <v>0</v>
      </c>
      <c r="J219" t="n">
        <v>0</v>
      </c>
      <c r="K219" t="n">
        <v>0</v>
      </c>
      <c r="L219" t="n">
        <v>0</v>
      </c>
      <c r="M219" t="n">
        <v>0</v>
      </c>
      <c r="N219" t="n">
        <v>0</v>
      </c>
      <c r="O219" t="n">
        <v>0</v>
      </c>
      <c r="P219" t="n">
        <v>0</v>
      </c>
      <c r="Q219" t="n">
        <v>0</v>
      </c>
      <c r="R219" s="2" t="inlineStr"/>
    </row>
    <row r="220" ht="15" customHeight="1">
      <c r="A220" t="inlineStr">
        <is>
          <t>A 53474-2020</t>
        </is>
      </c>
      <c r="B220" s="1" t="n">
        <v>44123.68413194444</v>
      </c>
      <c r="C220" s="1" t="n">
        <v>45929</v>
      </c>
      <c r="D220" t="inlineStr">
        <is>
          <t>VÄSTERNORRLANDS LÄN</t>
        </is>
      </c>
      <c r="E220" t="inlineStr">
        <is>
          <t>ÅNGE</t>
        </is>
      </c>
      <c r="G220" t="n">
        <v>1.3</v>
      </c>
      <c r="H220" t="n">
        <v>0</v>
      </c>
      <c r="I220" t="n">
        <v>0</v>
      </c>
      <c r="J220" t="n">
        <v>0</v>
      </c>
      <c r="K220" t="n">
        <v>0</v>
      </c>
      <c r="L220" t="n">
        <v>0</v>
      </c>
      <c r="M220" t="n">
        <v>0</v>
      </c>
      <c r="N220" t="n">
        <v>0</v>
      </c>
      <c r="O220" t="n">
        <v>0</v>
      </c>
      <c r="P220" t="n">
        <v>0</v>
      </c>
      <c r="Q220" t="n">
        <v>0</v>
      </c>
      <c r="R220" s="2" t="inlineStr"/>
    </row>
    <row r="221" ht="15" customHeight="1">
      <c r="A221" t="inlineStr">
        <is>
          <t>A 49343-2020</t>
        </is>
      </c>
      <c r="B221" s="1" t="n">
        <v>44105.56329861111</v>
      </c>
      <c r="C221" s="1" t="n">
        <v>45929</v>
      </c>
      <c r="D221" t="inlineStr">
        <is>
          <t>VÄSTERNORRLANDS LÄN</t>
        </is>
      </c>
      <c r="E221" t="inlineStr">
        <is>
          <t>ÅNGE</t>
        </is>
      </c>
      <c r="G221" t="n">
        <v>1.2</v>
      </c>
      <c r="H221" t="n">
        <v>0</v>
      </c>
      <c r="I221" t="n">
        <v>0</v>
      </c>
      <c r="J221" t="n">
        <v>0</v>
      </c>
      <c r="K221" t="n">
        <v>0</v>
      </c>
      <c r="L221" t="n">
        <v>0</v>
      </c>
      <c r="M221" t="n">
        <v>0</v>
      </c>
      <c r="N221" t="n">
        <v>0</v>
      </c>
      <c r="O221" t="n">
        <v>0</v>
      </c>
      <c r="P221" t="n">
        <v>0</v>
      </c>
      <c r="Q221" t="n">
        <v>0</v>
      </c>
      <c r="R221" s="2" t="inlineStr"/>
    </row>
    <row r="222" ht="15" customHeight="1">
      <c r="A222" t="inlineStr">
        <is>
          <t>A 53660-2020</t>
        </is>
      </c>
      <c r="B222" s="1" t="n">
        <v>44124</v>
      </c>
      <c r="C222" s="1" t="n">
        <v>45929</v>
      </c>
      <c r="D222" t="inlineStr">
        <is>
          <t>VÄSTERNORRLANDS LÄN</t>
        </is>
      </c>
      <c r="E222" t="inlineStr">
        <is>
          <t>ÅNGE</t>
        </is>
      </c>
      <c r="G222" t="n">
        <v>5.4</v>
      </c>
      <c r="H222" t="n">
        <v>0</v>
      </c>
      <c r="I222" t="n">
        <v>0</v>
      </c>
      <c r="J222" t="n">
        <v>0</v>
      </c>
      <c r="K222" t="n">
        <v>0</v>
      </c>
      <c r="L222" t="n">
        <v>0</v>
      </c>
      <c r="M222" t="n">
        <v>0</v>
      </c>
      <c r="N222" t="n">
        <v>0</v>
      </c>
      <c r="O222" t="n">
        <v>0</v>
      </c>
      <c r="P222" t="n">
        <v>0</v>
      </c>
      <c r="Q222" t="n">
        <v>0</v>
      </c>
      <c r="R222" s="2" t="inlineStr"/>
    </row>
    <row r="223" ht="15" customHeight="1">
      <c r="A223" t="inlineStr">
        <is>
          <t>A 68715-2020</t>
        </is>
      </c>
      <c r="B223" s="1" t="n">
        <v>44187</v>
      </c>
      <c r="C223" s="1" t="n">
        <v>45929</v>
      </c>
      <c r="D223" t="inlineStr">
        <is>
          <t>VÄSTERNORRLANDS LÄN</t>
        </is>
      </c>
      <c r="E223" t="inlineStr">
        <is>
          <t>ÅNGE</t>
        </is>
      </c>
      <c r="G223" t="n">
        <v>19.1</v>
      </c>
      <c r="H223" t="n">
        <v>0</v>
      </c>
      <c r="I223" t="n">
        <v>0</v>
      </c>
      <c r="J223" t="n">
        <v>0</v>
      </c>
      <c r="K223" t="n">
        <v>0</v>
      </c>
      <c r="L223" t="n">
        <v>0</v>
      </c>
      <c r="M223" t="n">
        <v>0</v>
      </c>
      <c r="N223" t="n">
        <v>0</v>
      </c>
      <c r="O223" t="n">
        <v>0</v>
      </c>
      <c r="P223" t="n">
        <v>0</v>
      </c>
      <c r="Q223" t="n">
        <v>0</v>
      </c>
      <c r="R223" s="2" t="inlineStr"/>
    </row>
    <row r="224" ht="15" customHeight="1">
      <c r="A224" t="inlineStr">
        <is>
          <t>A 21740-2022</t>
        </is>
      </c>
      <c r="B224" s="1" t="n">
        <v>44708.37472222222</v>
      </c>
      <c r="C224" s="1" t="n">
        <v>45929</v>
      </c>
      <c r="D224" t="inlineStr">
        <is>
          <t>VÄSTERNORRLANDS LÄN</t>
        </is>
      </c>
      <c r="E224" t="inlineStr">
        <is>
          <t>ÅNGE</t>
        </is>
      </c>
      <c r="G224" t="n">
        <v>2</v>
      </c>
      <c r="H224" t="n">
        <v>0</v>
      </c>
      <c r="I224" t="n">
        <v>0</v>
      </c>
      <c r="J224" t="n">
        <v>0</v>
      </c>
      <c r="K224" t="n">
        <v>0</v>
      </c>
      <c r="L224" t="n">
        <v>0</v>
      </c>
      <c r="M224" t="n">
        <v>0</v>
      </c>
      <c r="N224" t="n">
        <v>0</v>
      </c>
      <c r="O224" t="n">
        <v>0</v>
      </c>
      <c r="P224" t="n">
        <v>0</v>
      </c>
      <c r="Q224" t="n">
        <v>0</v>
      </c>
      <c r="R224" s="2" t="inlineStr"/>
    </row>
    <row r="225" ht="15" customHeight="1">
      <c r="A225" t="inlineStr">
        <is>
          <t>A 37624-2021</t>
        </is>
      </c>
      <c r="B225" s="1" t="n">
        <v>44399</v>
      </c>
      <c r="C225" s="1" t="n">
        <v>45929</v>
      </c>
      <c r="D225" t="inlineStr">
        <is>
          <t>VÄSTERNORRLANDS LÄN</t>
        </is>
      </c>
      <c r="E225" t="inlineStr">
        <is>
          <t>ÅNGE</t>
        </is>
      </c>
      <c r="G225" t="n">
        <v>4.1</v>
      </c>
      <c r="H225" t="n">
        <v>0</v>
      </c>
      <c r="I225" t="n">
        <v>0</v>
      </c>
      <c r="J225" t="n">
        <v>0</v>
      </c>
      <c r="K225" t="n">
        <v>0</v>
      </c>
      <c r="L225" t="n">
        <v>0</v>
      </c>
      <c r="M225" t="n">
        <v>0</v>
      </c>
      <c r="N225" t="n">
        <v>0</v>
      </c>
      <c r="O225" t="n">
        <v>0</v>
      </c>
      <c r="P225" t="n">
        <v>0</v>
      </c>
      <c r="Q225" t="n">
        <v>0</v>
      </c>
      <c r="R225" s="2" t="inlineStr"/>
    </row>
    <row r="226" ht="15" customHeight="1">
      <c r="A226" t="inlineStr">
        <is>
          <t>A 24353-2022</t>
        </is>
      </c>
      <c r="B226" s="1" t="n">
        <v>44726.37769675926</v>
      </c>
      <c r="C226" s="1" t="n">
        <v>45929</v>
      </c>
      <c r="D226" t="inlineStr">
        <is>
          <t>VÄSTERNORRLANDS LÄN</t>
        </is>
      </c>
      <c r="E226" t="inlineStr">
        <is>
          <t>ÅNGE</t>
        </is>
      </c>
      <c r="G226" t="n">
        <v>1</v>
      </c>
      <c r="H226" t="n">
        <v>0</v>
      </c>
      <c r="I226" t="n">
        <v>0</v>
      </c>
      <c r="J226" t="n">
        <v>0</v>
      </c>
      <c r="K226" t="n">
        <v>0</v>
      </c>
      <c r="L226" t="n">
        <v>0</v>
      </c>
      <c r="M226" t="n">
        <v>0</v>
      </c>
      <c r="N226" t="n">
        <v>0</v>
      </c>
      <c r="O226" t="n">
        <v>0</v>
      </c>
      <c r="P226" t="n">
        <v>0</v>
      </c>
      <c r="Q226" t="n">
        <v>0</v>
      </c>
      <c r="R226" s="2" t="inlineStr"/>
    </row>
    <row r="227" ht="15" customHeight="1">
      <c r="A227" t="inlineStr">
        <is>
          <t>A 5381-2022</t>
        </is>
      </c>
      <c r="B227" s="1" t="n">
        <v>44594.9337037037</v>
      </c>
      <c r="C227" s="1" t="n">
        <v>45929</v>
      </c>
      <c r="D227" t="inlineStr">
        <is>
          <t>VÄSTERNORRLANDS LÄN</t>
        </is>
      </c>
      <c r="E227" t="inlineStr">
        <is>
          <t>ÅNGE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38432-2021</t>
        </is>
      </c>
      <c r="B228" s="1" t="n">
        <v>44406</v>
      </c>
      <c r="C228" s="1" t="n">
        <v>45929</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14433-2022</t>
        </is>
      </c>
      <c r="B229" s="1" t="n">
        <v>44652</v>
      </c>
      <c r="C229" s="1" t="n">
        <v>45929</v>
      </c>
      <c r="D229" t="inlineStr">
        <is>
          <t>VÄSTERNORRLANDS LÄN</t>
        </is>
      </c>
      <c r="E229" t="inlineStr">
        <is>
          <t>ÅNGE</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48990-2021</t>
        </is>
      </c>
      <c r="B230" s="1" t="n">
        <v>44453</v>
      </c>
      <c r="C230" s="1" t="n">
        <v>45929</v>
      </c>
      <c r="D230" t="inlineStr">
        <is>
          <t>VÄSTERNORRLANDS LÄN</t>
        </is>
      </c>
      <c r="E230" t="inlineStr">
        <is>
          <t>ÅNGE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48876-2021</t>
        </is>
      </c>
      <c r="B231" s="1" t="n">
        <v>44452</v>
      </c>
      <c r="C231" s="1" t="n">
        <v>45929</v>
      </c>
      <c r="D231" t="inlineStr">
        <is>
          <t>VÄSTERNORRLANDS LÄN</t>
        </is>
      </c>
      <c r="E231" t="inlineStr">
        <is>
          <t>ÅNGE</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39744-2021</t>
        </is>
      </c>
      <c r="B232" s="1" t="n">
        <v>44417</v>
      </c>
      <c r="C232" s="1" t="n">
        <v>45929</v>
      </c>
      <c r="D232" t="inlineStr">
        <is>
          <t>VÄSTERNORRLANDS LÄN</t>
        </is>
      </c>
      <c r="E232" t="inlineStr">
        <is>
          <t>ÅNGE</t>
        </is>
      </c>
      <c r="G232" t="n">
        <v>1.1</v>
      </c>
      <c r="H232" t="n">
        <v>0</v>
      </c>
      <c r="I232" t="n">
        <v>0</v>
      </c>
      <c r="J232" t="n">
        <v>0</v>
      </c>
      <c r="K232" t="n">
        <v>0</v>
      </c>
      <c r="L232" t="n">
        <v>0</v>
      </c>
      <c r="M232" t="n">
        <v>0</v>
      </c>
      <c r="N232" t="n">
        <v>0</v>
      </c>
      <c r="O232" t="n">
        <v>0</v>
      </c>
      <c r="P232" t="n">
        <v>0</v>
      </c>
      <c r="Q232" t="n">
        <v>0</v>
      </c>
      <c r="R232" s="2" t="inlineStr"/>
    </row>
    <row r="233" ht="15" customHeight="1">
      <c r="A233" t="inlineStr">
        <is>
          <t>A 69271-2020</t>
        </is>
      </c>
      <c r="B233" s="1" t="n">
        <v>44193</v>
      </c>
      <c r="C233" s="1" t="n">
        <v>45929</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74088-2021</t>
        </is>
      </c>
      <c r="B234" s="1" t="n">
        <v>44557.59435185185</v>
      </c>
      <c r="C234" s="1" t="n">
        <v>45929</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65593-2020</t>
        </is>
      </c>
      <c r="B235" s="1" t="n">
        <v>44173</v>
      </c>
      <c r="C235" s="1" t="n">
        <v>45929</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53173-2020</t>
        </is>
      </c>
      <c r="B236" s="1" t="n">
        <v>44120</v>
      </c>
      <c r="C236" s="1" t="n">
        <v>45929</v>
      </c>
      <c r="D236" t="inlineStr">
        <is>
          <t>VÄSTERNORRLANDS LÄN</t>
        </is>
      </c>
      <c r="E236" t="inlineStr">
        <is>
          <t>ÅNGE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53174-2020</t>
        </is>
      </c>
      <c r="B237" s="1" t="n">
        <v>44120</v>
      </c>
      <c r="C237" s="1" t="n">
        <v>45929</v>
      </c>
      <c r="D237" t="inlineStr">
        <is>
          <t>VÄSTERNORRLANDS LÄN</t>
        </is>
      </c>
      <c r="E237" t="inlineStr">
        <is>
          <t>ÅNGE</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65594-2020</t>
        </is>
      </c>
      <c r="B238" s="1" t="n">
        <v>44173</v>
      </c>
      <c r="C238" s="1" t="n">
        <v>45929</v>
      </c>
      <c r="D238" t="inlineStr">
        <is>
          <t>VÄSTERNORRLANDS LÄN</t>
        </is>
      </c>
      <c r="E238" t="inlineStr">
        <is>
          <t>ÅNGE</t>
        </is>
      </c>
      <c r="G238" t="n">
        <v>5.9</v>
      </c>
      <c r="H238" t="n">
        <v>0</v>
      </c>
      <c r="I238" t="n">
        <v>0</v>
      </c>
      <c r="J238" t="n">
        <v>0</v>
      </c>
      <c r="K238" t="n">
        <v>0</v>
      </c>
      <c r="L238" t="n">
        <v>0</v>
      </c>
      <c r="M238" t="n">
        <v>0</v>
      </c>
      <c r="N238" t="n">
        <v>0</v>
      </c>
      <c r="O238" t="n">
        <v>0</v>
      </c>
      <c r="P238" t="n">
        <v>0</v>
      </c>
      <c r="Q238" t="n">
        <v>0</v>
      </c>
      <c r="R238" s="2" t="inlineStr"/>
    </row>
    <row r="239" ht="15" customHeight="1">
      <c r="A239" t="inlineStr">
        <is>
          <t>A 71396-2021</t>
        </is>
      </c>
      <c r="B239" s="1" t="n">
        <v>44540.35644675926</v>
      </c>
      <c r="C239" s="1" t="n">
        <v>45929</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19102-2021</t>
        </is>
      </c>
      <c r="B240" s="1" t="n">
        <v>44308</v>
      </c>
      <c r="C240" s="1" t="n">
        <v>45929</v>
      </c>
      <c r="D240" t="inlineStr">
        <is>
          <t>VÄSTERNORRLANDS LÄN</t>
        </is>
      </c>
      <c r="E240" t="inlineStr">
        <is>
          <t>ÅNGE</t>
        </is>
      </c>
      <c r="G240" t="n">
        <v>3.3</v>
      </c>
      <c r="H240" t="n">
        <v>0</v>
      </c>
      <c r="I240" t="n">
        <v>0</v>
      </c>
      <c r="J240" t="n">
        <v>0</v>
      </c>
      <c r="K240" t="n">
        <v>0</v>
      </c>
      <c r="L240" t="n">
        <v>0</v>
      </c>
      <c r="M240" t="n">
        <v>0</v>
      </c>
      <c r="N240" t="n">
        <v>0</v>
      </c>
      <c r="O240" t="n">
        <v>0</v>
      </c>
      <c r="P240" t="n">
        <v>0</v>
      </c>
      <c r="Q240" t="n">
        <v>0</v>
      </c>
      <c r="R240" s="2" t="inlineStr"/>
    </row>
    <row r="241" ht="15" customHeight="1">
      <c r="A241" t="inlineStr">
        <is>
          <t>A 66265-2021</t>
        </is>
      </c>
      <c r="B241" s="1" t="n">
        <v>44518.45263888889</v>
      </c>
      <c r="C241" s="1" t="n">
        <v>45929</v>
      </c>
      <c r="D241" t="inlineStr">
        <is>
          <t>VÄSTERNORRLANDS LÄN</t>
        </is>
      </c>
      <c r="E241" t="inlineStr">
        <is>
          <t>ÅNGE</t>
        </is>
      </c>
      <c r="G241" t="n">
        <v>6</v>
      </c>
      <c r="H241" t="n">
        <v>0</v>
      </c>
      <c r="I241" t="n">
        <v>0</v>
      </c>
      <c r="J241" t="n">
        <v>0</v>
      </c>
      <c r="K241" t="n">
        <v>0</v>
      </c>
      <c r="L241" t="n">
        <v>0</v>
      </c>
      <c r="M241" t="n">
        <v>0</v>
      </c>
      <c r="N241" t="n">
        <v>0</v>
      </c>
      <c r="O241" t="n">
        <v>0</v>
      </c>
      <c r="P241" t="n">
        <v>0</v>
      </c>
      <c r="Q241" t="n">
        <v>0</v>
      </c>
      <c r="R241" s="2" t="inlineStr"/>
    </row>
    <row r="242" ht="15" customHeight="1">
      <c r="A242" t="inlineStr">
        <is>
          <t>A 71669-2021</t>
        </is>
      </c>
      <c r="B242" s="1" t="n">
        <v>44538</v>
      </c>
      <c r="C242" s="1" t="n">
        <v>45929</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50258-2020</t>
        </is>
      </c>
      <c r="B243" s="1" t="n">
        <v>44109</v>
      </c>
      <c r="C243" s="1" t="n">
        <v>45929</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50259-2020</t>
        </is>
      </c>
      <c r="B244" s="1" t="n">
        <v>44109</v>
      </c>
      <c r="C244" s="1" t="n">
        <v>45929</v>
      </c>
      <c r="D244" t="inlineStr">
        <is>
          <t>VÄSTERNORRLANDS LÄN</t>
        </is>
      </c>
      <c r="E244" t="inlineStr">
        <is>
          <t>ÅNGE</t>
        </is>
      </c>
      <c r="G244" t="n">
        <v>5.1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45929</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9619-2021</t>
        </is>
      </c>
      <c r="B246" s="1" t="n">
        <v>44251</v>
      </c>
      <c r="C246" s="1" t="n">
        <v>45929</v>
      </c>
      <c r="D246" t="inlineStr">
        <is>
          <t>VÄSTERNORRLANDS LÄN</t>
        </is>
      </c>
      <c r="E246" t="inlineStr">
        <is>
          <t>ÅNGE</t>
        </is>
      </c>
      <c r="G246" t="n">
        <v>10.4</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45929</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54105-2020</t>
        </is>
      </c>
      <c r="B248" s="1" t="n">
        <v>44125</v>
      </c>
      <c r="C248" s="1" t="n">
        <v>45929</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45929</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45929</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45929</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45929</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45929</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45929</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45929</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45929</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45929</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45929</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45929</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45929</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45929</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45929</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45929</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45929</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45929</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53170-2020</t>
        </is>
      </c>
      <c r="B266" s="1" t="n">
        <v>44120</v>
      </c>
      <c r="C266" s="1" t="n">
        <v>45929</v>
      </c>
      <c r="D266" t="inlineStr">
        <is>
          <t>VÄSTERNORRLANDS LÄN</t>
        </is>
      </c>
      <c r="E266" t="inlineStr">
        <is>
          <t>ÅNGE</t>
        </is>
      </c>
      <c r="F266" t="inlineStr">
        <is>
          <t>SCA</t>
        </is>
      </c>
      <c r="G266" t="n">
        <v>6.1</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45929</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45929</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45929</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45929</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45929</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45929</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45929</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45929</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45929</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45929</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45929</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45929</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45929</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45929</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45929</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45929</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45929</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45929</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45929</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45929</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45929</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45929</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45929</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45929</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45929</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45929</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45929</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45929</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45929</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45929</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45929</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45929</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45929</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45929</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45929</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57111-2020</t>
        </is>
      </c>
      <c r="B302" s="1" t="n">
        <v>44139</v>
      </c>
      <c r="C302" s="1" t="n">
        <v>45929</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45929</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45929</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45929</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45929</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45929</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45929</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45929</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45929</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45929</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45929</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45929</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45929</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45929</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45929</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45929</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45929</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45929</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45929</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45929</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45929</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45929</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30286-2021</t>
        </is>
      </c>
      <c r="B324" s="1" t="n">
        <v>44363</v>
      </c>
      <c r="C324" s="1" t="n">
        <v>45929</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60064-2020</t>
        </is>
      </c>
      <c r="B325" s="1" t="n">
        <v>44151</v>
      </c>
      <c r="C325" s="1" t="n">
        <v>45929</v>
      </c>
      <c r="D325" t="inlineStr">
        <is>
          <t>VÄSTERNORRLANDS LÄN</t>
        </is>
      </c>
      <c r="E325" t="inlineStr">
        <is>
          <t>ÅNGE</t>
        </is>
      </c>
      <c r="G325" t="n">
        <v>1.8</v>
      </c>
      <c r="H325" t="n">
        <v>0</v>
      </c>
      <c r="I325" t="n">
        <v>0</v>
      </c>
      <c r="J325" t="n">
        <v>0</v>
      </c>
      <c r="K325" t="n">
        <v>0</v>
      </c>
      <c r="L325" t="n">
        <v>0</v>
      </c>
      <c r="M325" t="n">
        <v>0</v>
      </c>
      <c r="N325" t="n">
        <v>0</v>
      </c>
      <c r="O325" t="n">
        <v>0</v>
      </c>
      <c r="P325" t="n">
        <v>0</v>
      </c>
      <c r="Q325" t="n">
        <v>0</v>
      </c>
      <c r="R325" s="2" t="inlineStr"/>
    </row>
    <row r="326" ht="15" customHeight="1">
      <c r="A326" t="inlineStr">
        <is>
          <t>A 51755-2020</t>
        </is>
      </c>
      <c r="B326" s="1" t="n">
        <v>44114</v>
      </c>
      <c r="C326" s="1" t="n">
        <v>45929</v>
      </c>
      <c r="D326" t="inlineStr">
        <is>
          <t>VÄSTERNORRLANDS LÄN</t>
        </is>
      </c>
      <c r="E326" t="inlineStr">
        <is>
          <t>ÅNGE</t>
        </is>
      </c>
      <c r="G326" t="n">
        <v>6.4</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45929</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5366-2022</t>
        </is>
      </c>
      <c r="B328" s="1" t="n">
        <v>44594.92107638889</v>
      </c>
      <c r="C328" s="1" t="n">
        <v>45929</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53962-2020</t>
        </is>
      </c>
      <c r="B329" s="1" t="n">
        <v>44125.46759259259</v>
      </c>
      <c r="C329" s="1" t="n">
        <v>45929</v>
      </c>
      <c r="D329" t="inlineStr">
        <is>
          <t>VÄSTERNORRLANDS LÄN</t>
        </is>
      </c>
      <c r="E329" t="inlineStr">
        <is>
          <t>ÅNGE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35276-2022</t>
        </is>
      </c>
      <c r="B330" s="1" t="n">
        <v>44798</v>
      </c>
      <c r="C330" s="1" t="n">
        <v>45929</v>
      </c>
      <c r="D330" t="inlineStr">
        <is>
          <t>VÄSTERNORRLANDS LÄN</t>
        </is>
      </c>
      <c r="E330" t="inlineStr">
        <is>
          <t>ÅNGE</t>
        </is>
      </c>
      <c r="G330" t="n">
        <v>15.2</v>
      </c>
      <c r="H330" t="n">
        <v>0</v>
      </c>
      <c r="I330" t="n">
        <v>0</v>
      </c>
      <c r="J330" t="n">
        <v>0</v>
      </c>
      <c r="K330" t="n">
        <v>0</v>
      </c>
      <c r="L330" t="n">
        <v>0</v>
      </c>
      <c r="M330" t="n">
        <v>0</v>
      </c>
      <c r="N330" t="n">
        <v>0</v>
      </c>
      <c r="O330" t="n">
        <v>0</v>
      </c>
      <c r="P330" t="n">
        <v>0</v>
      </c>
      <c r="Q330" t="n">
        <v>0</v>
      </c>
      <c r="R330" s="2" t="inlineStr"/>
    </row>
    <row r="331" ht="15" customHeight="1">
      <c r="A331" t="inlineStr">
        <is>
          <t>A 50268-2020</t>
        </is>
      </c>
      <c r="B331" s="1" t="n">
        <v>44109</v>
      </c>
      <c r="C331" s="1" t="n">
        <v>45929</v>
      </c>
      <c r="D331" t="inlineStr">
        <is>
          <t>VÄSTERNORRLANDS LÄN</t>
        </is>
      </c>
      <c r="E331" t="inlineStr">
        <is>
          <t>ÅNGE</t>
        </is>
      </c>
      <c r="G331" t="n">
        <v>1.3</v>
      </c>
      <c r="H331" t="n">
        <v>0</v>
      </c>
      <c r="I331" t="n">
        <v>0</v>
      </c>
      <c r="J331" t="n">
        <v>0</v>
      </c>
      <c r="K331" t="n">
        <v>0</v>
      </c>
      <c r="L331" t="n">
        <v>0</v>
      </c>
      <c r="M331" t="n">
        <v>0</v>
      </c>
      <c r="N331" t="n">
        <v>0</v>
      </c>
      <c r="O331" t="n">
        <v>0</v>
      </c>
      <c r="P331" t="n">
        <v>0</v>
      </c>
      <c r="Q331" t="n">
        <v>0</v>
      </c>
      <c r="R331" s="2" t="inlineStr"/>
    </row>
    <row r="332" ht="15" customHeight="1">
      <c r="A332" t="inlineStr">
        <is>
          <t>A 13149-2021</t>
        </is>
      </c>
      <c r="B332" s="1" t="n">
        <v>44272</v>
      </c>
      <c r="C332" s="1" t="n">
        <v>45929</v>
      </c>
      <c r="D332" t="inlineStr">
        <is>
          <t>VÄSTERNORRLANDS LÄN</t>
        </is>
      </c>
      <c r="E332" t="inlineStr">
        <is>
          <t>ÅNGE</t>
        </is>
      </c>
      <c r="G332" t="n">
        <v>3.4</v>
      </c>
      <c r="H332" t="n">
        <v>0</v>
      </c>
      <c r="I332" t="n">
        <v>0</v>
      </c>
      <c r="J332" t="n">
        <v>0</v>
      </c>
      <c r="K332" t="n">
        <v>0</v>
      </c>
      <c r="L332" t="n">
        <v>0</v>
      </c>
      <c r="M332" t="n">
        <v>0</v>
      </c>
      <c r="N332" t="n">
        <v>0</v>
      </c>
      <c r="O332" t="n">
        <v>0</v>
      </c>
      <c r="P332" t="n">
        <v>0</v>
      </c>
      <c r="Q332" t="n">
        <v>0</v>
      </c>
      <c r="R332" s="2" t="inlineStr"/>
    </row>
    <row r="333" ht="15" customHeight="1">
      <c r="A333" t="inlineStr">
        <is>
          <t>A 11098-2022</t>
        </is>
      </c>
      <c r="B333" s="1" t="n">
        <v>44628</v>
      </c>
      <c r="C333" s="1" t="n">
        <v>45929</v>
      </c>
      <c r="D333" t="inlineStr">
        <is>
          <t>VÄSTERNORRLANDS LÄN</t>
        </is>
      </c>
      <c r="E333" t="inlineStr">
        <is>
          <t>ÅNGE</t>
        </is>
      </c>
      <c r="G333" t="n">
        <v>8.9</v>
      </c>
      <c r="H333" t="n">
        <v>0</v>
      </c>
      <c r="I333" t="n">
        <v>0</v>
      </c>
      <c r="J333" t="n">
        <v>0</v>
      </c>
      <c r="K333" t="n">
        <v>0</v>
      </c>
      <c r="L333" t="n">
        <v>0</v>
      </c>
      <c r="M333" t="n">
        <v>0</v>
      </c>
      <c r="N333" t="n">
        <v>0</v>
      </c>
      <c r="O333" t="n">
        <v>0</v>
      </c>
      <c r="P333" t="n">
        <v>0</v>
      </c>
      <c r="Q333" t="n">
        <v>0</v>
      </c>
      <c r="R333" s="2" t="inlineStr"/>
    </row>
    <row r="334" ht="15" customHeight="1">
      <c r="A334" t="inlineStr">
        <is>
          <t>A 46351-2022</t>
        </is>
      </c>
      <c r="B334" s="1" t="n">
        <v>44847</v>
      </c>
      <c r="C334" s="1" t="n">
        <v>45929</v>
      </c>
      <c r="D334" t="inlineStr">
        <is>
          <t>VÄSTERNORRLANDS LÄN</t>
        </is>
      </c>
      <c r="E334" t="inlineStr">
        <is>
          <t>ÅNGE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18024-2022</t>
        </is>
      </c>
      <c r="B335" s="1" t="n">
        <v>44683.94383101852</v>
      </c>
      <c r="C335" s="1" t="n">
        <v>45929</v>
      </c>
      <c r="D335" t="inlineStr">
        <is>
          <t>VÄSTERNORRLANDS LÄN</t>
        </is>
      </c>
      <c r="E335" t="inlineStr">
        <is>
          <t>ÅNGE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65280-2020</t>
        </is>
      </c>
      <c r="B336" s="1" t="n">
        <v>44172</v>
      </c>
      <c r="C336" s="1" t="n">
        <v>45929</v>
      </c>
      <c r="D336" t="inlineStr">
        <is>
          <t>VÄSTERNORRLANDS LÄN</t>
        </is>
      </c>
      <c r="E336" t="inlineStr">
        <is>
          <t>ÅNGE</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44413-2022</t>
        </is>
      </c>
      <c r="B337" s="1" t="n">
        <v>44839.92630787037</v>
      </c>
      <c r="C337" s="1" t="n">
        <v>45929</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35283-2022</t>
        </is>
      </c>
      <c r="B338" s="1" t="n">
        <v>44798.39916666667</v>
      </c>
      <c r="C338" s="1" t="n">
        <v>45929</v>
      </c>
      <c r="D338" t="inlineStr">
        <is>
          <t>VÄSTERNORRLANDS LÄN</t>
        </is>
      </c>
      <c r="E338" t="inlineStr">
        <is>
          <t>ÅNGE</t>
        </is>
      </c>
      <c r="G338" t="n">
        <v>4.5</v>
      </c>
      <c r="H338" t="n">
        <v>0</v>
      </c>
      <c r="I338" t="n">
        <v>0</v>
      </c>
      <c r="J338" t="n">
        <v>0</v>
      </c>
      <c r="K338" t="n">
        <v>0</v>
      </c>
      <c r="L338" t="n">
        <v>0</v>
      </c>
      <c r="M338" t="n">
        <v>0</v>
      </c>
      <c r="N338" t="n">
        <v>0</v>
      </c>
      <c r="O338" t="n">
        <v>0</v>
      </c>
      <c r="P338" t="n">
        <v>0</v>
      </c>
      <c r="Q338" t="n">
        <v>0</v>
      </c>
      <c r="R338" s="2" t="inlineStr"/>
    </row>
    <row r="339" ht="15" customHeight="1">
      <c r="A339" t="inlineStr">
        <is>
          <t>A 50265-2020</t>
        </is>
      </c>
      <c r="B339" s="1" t="n">
        <v>44109</v>
      </c>
      <c r="C339" s="1" t="n">
        <v>45929</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45929</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48810-2020</t>
        </is>
      </c>
      <c r="B341" s="1" t="n">
        <v>44103</v>
      </c>
      <c r="C341" s="1" t="n">
        <v>45929</v>
      </c>
      <c r="D341" t="inlineStr">
        <is>
          <t>VÄSTERNORRLANDS LÄN</t>
        </is>
      </c>
      <c r="E341" t="inlineStr">
        <is>
          <t>ÅNGE</t>
        </is>
      </c>
      <c r="F341" t="inlineStr">
        <is>
          <t>SCA</t>
        </is>
      </c>
      <c r="G341" t="n">
        <v>1.8</v>
      </c>
      <c r="H341" t="n">
        <v>0</v>
      </c>
      <c r="I341" t="n">
        <v>0</v>
      </c>
      <c r="J341" t="n">
        <v>0</v>
      </c>
      <c r="K341" t="n">
        <v>0</v>
      </c>
      <c r="L341" t="n">
        <v>0</v>
      </c>
      <c r="M341" t="n">
        <v>0</v>
      </c>
      <c r="N341" t="n">
        <v>0</v>
      </c>
      <c r="O341" t="n">
        <v>0</v>
      </c>
      <c r="P341" t="n">
        <v>0</v>
      </c>
      <c r="Q341" t="n">
        <v>0</v>
      </c>
      <c r="R341" s="2" t="inlineStr"/>
      <c r="U341">
        <f>HYPERLINK("https://klasma.github.io/Logging_2260/knärot/A 48810-2020 karta knärot.png", "A 48810-2020")</f>
        <v/>
      </c>
      <c r="V341">
        <f>HYPERLINK("https://klasma.github.io/Logging_2260/klagomål/A 48810-2020 FSC-klagomål.docx", "A 48810-2020")</f>
        <v/>
      </c>
      <c r="W341">
        <f>HYPERLINK("https://klasma.github.io/Logging_2260/klagomålsmail/A 48810-2020 FSC-klagomål mail.docx", "A 48810-2020")</f>
        <v/>
      </c>
      <c r="X341">
        <f>HYPERLINK("https://klasma.github.io/Logging_2260/tillsyn/A 48810-2020 tillsynsbegäran.docx", "A 48810-2020")</f>
        <v/>
      </c>
      <c r="Y341">
        <f>HYPERLINK("https://klasma.github.io/Logging_2260/tillsynsmail/A 48810-2020 tillsynsbegäran mail.docx", "A 48810-2020")</f>
        <v/>
      </c>
    </row>
    <row r="342" ht="15" customHeight="1">
      <c r="A342" t="inlineStr">
        <is>
          <t>A 17963-2022</t>
        </is>
      </c>
      <c r="B342" s="1" t="n">
        <v>44683</v>
      </c>
      <c r="C342" s="1" t="n">
        <v>45929</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45929</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45929</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61909-2021</t>
        </is>
      </c>
      <c r="B345" s="1" t="n">
        <v>44502.35310185186</v>
      </c>
      <c r="C345" s="1" t="n">
        <v>45929</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25020-2021</t>
        </is>
      </c>
      <c r="B346" s="1" t="n">
        <v>44341</v>
      </c>
      <c r="C346" s="1" t="n">
        <v>45929</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45929</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45929</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35496-2022</t>
        </is>
      </c>
      <c r="B349" s="1" t="n">
        <v>44798</v>
      </c>
      <c r="C349" s="1" t="n">
        <v>45929</v>
      </c>
      <c r="D349" t="inlineStr">
        <is>
          <t>VÄSTERNORRLANDS LÄN</t>
        </is>
      </c>
      <c r="E349" t="inlineStr">
        <is>
          <t>ÅNGE</t>
        </is>
      </c>
      <c r="F349" t="inlineStr">
        <is>
          <t>SCA</t>
        </is>
      </c>
      <c r="G349" t="n">
        <v>15.6</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45929</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54469-2020</t>
        </is>
      </c>
      <c r="B351" s="1" t="n">
        <v>44126</v>
      </c>
      <c r="C351" s="1" t="n">
        <v>45929</v>
      </c>
      <c r="D351" t="inlineStr">
        <is>
          <t>VÄSTERNORRLANDS LÄN</t>
        </is>
      </c>
      <c r="E351" t="inlineStr">
        <is>
          <t>ÅNGE</t>
        </is>
      </c>
      <c r="G351" t="n">
        <v>4</v>
      </c>
      <c r="H351" t="n">
        <v>0</v>
      </c>
      <c r="I351" t="n">
        <v>0</v>
      </c>
      <c r="J351" t="n">
        <v>0</v>
      </c>
      <c r="K351" t="n">
        <v>0</v>
      </c>
      <c r="L351" t="n">
        <v>0</v>
      </c>
      <c r="M351" t="n">
        <v>0</v>
      </c>
      <c r="N351" t="n">
        <v>0</v>
      </c>
      <c r="O351" t="n">
        <v>0</v>
      </c>
      <c r="P351" t="n">
        <v>0</v>
      </c>
      <c r="Q351" t="n">
        <v>0</v>
      </c>
      <c r="R351" s="2" t="inlineStr"/>
    </row>
    <row r="352" ht="15" customHeight="1">
      <c r="A352" t="inlineStr">
        <is>
          <t>A 56907-2021</t>
        </is>
      </c>
      <c r="B352" s="1" t="n">
        <v>44481.93837962963</v>
      </c>
      <c r="C352" s="1" t="n">
        <v>45929</v>
      </c>
      <c r="D352" t="inlineStr">
        <is>
          <t>VÄSTERNORRLANDS LÄN</t>
        </is>
      </c>
      <c r="E352" t="inlineStr">
        <is>
          <t>ÅNGE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12800-2021</t>
        </is>
      </c>
      <c r="B353" s="1" t="n">
        <v>44270.92056712963</v>
      </c>
      <c r="C353" s="1" t="n">
        <v>45929</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45929</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2327-2021</t>
        </is>
      </c>
      <c r="B355" s="1" t="n">
        <v>44214</v>
      </c>
      <c r="C355" s="1" t="n">
        <v>45929</v>
      </c>
      <c r="D355" t="inlineStr">
        <is>
          <t>VÄSTERNORRLANDS LÄN</t>
        </is>
      </c>
      <c r="E355" t="inlineStr">
        <is>
          <t>ÅNGE</t>
        </is>
      </c>
      <c r="G355" t="n">
        <v>6.7</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45929</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45929</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18422-2021</t>
        </is>
      </c>
      <c r="B358" s="1" t="n">
        <v>44305</v>
      </c>
      <c r="C358" s="1" t="n">
        <v>45929</v>
      </c>
      <c r="D358" t="inlineStr">
        <is>
          <t>VÄSTERNORRLANDS LÄN</t>
        </is>
      </c>
      <c r="E358" t="inlineStr">
        <is>
          <t>ÅNGE</t>
        </is>
      </c>
      <c r="G358" t="n">
        <v>1.5</v>
      </c>
      <c r="H358" t="n">
        <v>0</v>
      </c>
      <c r="I358" t="n">
        <v>0</v>
      </c>
      <c r="J358" t="n">
        <v>0</v>
      </c>
      <c r="K358" t="n">
        <v>0</v>
      </c>
      <c r="L358" t="n">
        <v>0</v>
      </c>
      <c r="M358" t="n">
        <v>0</v>
      </c>
      <c r="N358" t="n">
        <v>0</v>
      </c>
      <c r="O358" t="n">
        <v>0</v>
      </c>
      <c r="P358" t="n">
        <v>0</v>
      </c>
      <c r="Q358" t="n">
        <v>0</v>
      </c>
      <c r="R358" s="2" t="inlineStr"/>
    </row>
    <row r="359" ht="15" customHeight="1">
      <c r="A359" t="inlineStr">
        <is>
          <t>A 14587-2021</t>
        </is>
      </c>
      <c r="B359" s="1" t="n">
        <v>44279.91825231481</v>
      </c>
      <c r="C359" s="1" t="n">
        <v>45929</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53010-2022</t>
        </is>
      </c>
      <c r="B360" s="1" t="n">
        <v>44875</v>
      </c>
      <c r="C360" s="1" t="n">
        <v>45929</v>
      </c>
      <c r="D360" t="inlineStr">
        <is>
          <t>VÄSTERNORRLANDS LÄN</t>
        </is>
      </c>
      <c r="E360" t="inlineStr">
        <is>
          <t>ÅNGE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45929</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51542-2022</t>
        </is>
      </c>
      <c r="B362" s="1" t="n">
        <v>44869.94850694444</v>
      </c>
      <c r="C362" s="1" t="n">
        <v>45929</v>
      </c>
      <c r="D362" t="inlineStr">
        <is>
          <t>VÄSTERNORRLANDS LÄN</t>
        </is>
      </c>
      <c r="E362" t="inlineStr">
        <is>
          <t>ÅNGE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46053-2021</t>
        </is>
      </c>
      <c r="B363" s="1" t="n">
        <v>44441</v>
      </c>
      <c r="C363" s="1" t="n">
        <v>45929</v>
      </c>
      <c r="D363" t="inlineStr">
        <is>
          <t>VÄSTERNORRLANDS LÄN</t>
        </is>
      </c>
      <c r="E363" t="inlineStr">
        <is>
          <t>ÅNGE</t>
        </is>
      </c>
      <c r="F363" t="inlineStr">
        <is>
          <t>SCA</t>
        </is>
      </c>
      <c r="G363" t="n">
        <v>0.2</v>
      </c>
      <c r="H363" t="n">
        <v>0</v>
      </c>
      <c r="I363" t="n">
        <v>0</v>
      </c>
      <c r="J363" t="n">
        <v>0</v>
      </c>
      <c r="K363" t="n">
        <v>0</v>
      </c>
      <c r="L363" t="n">
        <v>0</v>
      </c>
      <c r="M363" t="n">
        <v>0</v>
      </c>
      <c r="N363" t="n">
        <v>0</v>
      </c>
      <c r="O363" t="n">
        <v>0</v>
      </c>
      <c r="P363" t="n">
        <v>0</v>
      </c>
      <c r="Q363" t="n">
        <v>0</v>
      </c>
      <c r="R363" s="2" t="inlineStr"/>
    </row>
    <row r="364" ht="15" customHeight="1">
      <c r="A364" t="inlineStr">
        <is>
          <t>A 53664-2022</t>
        </is>
      </c>
      <c r="B364" s="1" t="n">
        <v>44879.95643518519</v>
      </c>
      <c r="C364" s="1" t="n">
        <v>45929</v>
      </c>
      <c r="D364" t="inlineStr">
        <is>
          <t>VÄSTERNORRLANDS LÄN</t>
        </is>
      </c>
      <c r="E364" t="inlineStr">
        <is>
          <t>ÅNGE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21642-2021</t>
        </is>
      </c>
      <c r="B365" s="1" t="n">
        <v>44321.94239583334</v>
      </c>
      <c r="C365" s="1" t="n">
        <v>45929</v>
      </c>
      <c r="D365" t="inlineStr">
        <is>
          <t>VÄSTERNORRLANDS LÄN</t>
        </is>
      </c>
      <c r="E365" t="inlineStr">
        <is>
          <t>ÅNGE</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45929</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45929</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45929</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45929</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32535-2022</t>
        </is>
      </c>
      <c r="B370" s="1" t="n">
        <v>44783.29856481482</v>
      </c>
      <c r="C370" s="1" t="n">
        <v>45929</v>
      </c>
      <c r="D370" t="inlineStr">
        <is>
          <t>VÄSTERNORRLANDS LÄN</t>
        </is>
      </c>
      <c r="E370" t="inlineStr">
        <is>
          <t>ÅNGE</t>
        </is>
      </c>
      <c r="G370" t="n">
        <v>10.3</v>
      </c>
      <c r="H370" t="n">
        <v>0</v>
      </c>
      <c r="I370" t="n">
        <v>0</v>
      </c>
      <c r="J370" t="n">
        <v>0</v>
      </c>
      <c r="K370" t="n">
        <v>0</v>
      </c>
      <c r="L370" t="n">
        <v>0</v>
      </c>
      <c r="M370" t="n">
        <v>0</v>
      </c>
      <c r="N370" t="n">
        <v>0</v>
      </c>
      <c r="O370" t="n">
        <v>0</v>
      </c>
      <c r="P370" t="n">
        <v>0</v>
      </c>
      <c r="Q370" t="n">
        <v>0</v>
      </c>
      <c r="R370" s="2" t="inlineStr"/>
    </row>
    <row r="371" ht="15" customHeight="1">
      <c r="A371" t="inlineStr">
        <is>
          <t>A 39594-2022</t>
        </is>
      </c>
      <c r="B371" s="1" t="n">
        <v>44818</v>
      </c>
      <c r="C371" s="1" t="n">
        <v>45929</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10313-2022</t>
        </is>
      </c>
      <c r="B372" s="1" t="n">
        <v>44622</v>
      </c>
      <c r="C372" s="1" t="n">
        <v>45929</v>
      </c>
      <c r="D372" t="inlineStr">
        <is>
          <t>VÄSTERNORRLANDS LÄN</t>
        </is>
      </c>
      <c r="E372" t="inlineStr">
        <is>
          <t>ÅNGE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1297-2022</t>
        </is>
      </c>
      <c r="B373" s="1" t="n">
        <v>44572.69135416667</v>
      </c>
      <c r="C373" s="1" t="n">
        <v>45929</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45929</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45929</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10342-2021</t>
        </is>
      </c>
      <c r="B376" s="1" t="n">
        <v>44257</v>
      </c>
      <c r="C376" s="1" t="n">
        <v>45929</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53549-2023</t>
        </is>
      </c>
      <c r="B377" s="1" t="n">
        <v>45230</v>
      </c>
      <c r="C377" s="1" t="n">
        <v>45929</v>
      </c>
      <c r="D377" t="inlineStr">
        <is>
          <t>VÄSTERNORRLANDS LÄN</t>
        </is>
      </c>
      <c r="E377" t="inlineStr">
        <is>
          <t>ÅNGE</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31325-2022</t>
        </is>
      </c>
      <c r="B378" s="1" t="n">
        <v>44774.41421296296</v>
      </c>
      <c r="C378" s="1" t="n">
        <v>45929</v>
      </c>
      <c r="D378" t="inlineStr">
        <is>
          <t>VÄSTERNORRLANDS LÄN</t>
        </is>
      </c>
      <c r="E378" t="inlineStr">
        <is>
          <t>ÅNGE</t>
        </is>
      </c>
      <c r="G378" t="n">
        <v>6.3</v>
      </c>
      <c r="H378" t="n">
        <v>0</v>
      </c>
      <c r="I378" t="n">
        <v>0</v>
      </c>
      <c r="J378" t="n">
        <v>0</v>
      </c>
      <c r="K378" t="n">
        <v>0</v>
      </c>
      <c r="L378" t="n">
        <v>0</v>
      </c>
      <c r="M378" t="n">
        <v>0</v>
      </c>
      <c r="N378" t="n">
        <v>0</v>
      </c>
      <c r="O378" t="n">
        <v>0</v>
      </c>
      <c r="P378" t="n">
        <v>0</v>
      </c>
      <c r="Q378" t="n">
        <v>0</v>
      </c>
      <c r="R378" s="2" t="inlineStr"/>
    </row>
    <row r="379" ht="15" customHeight="1">
      <c r="A379" t="inlineStr">
        <is>
          <t>A 55905-2021</t>
        </is>
      </c>
      <c r="B379" s="1" t="n">
        <v>44476.91895833334</v>
      </c>
      <c r="C379" s="1" t="n">
        <v>45929</v>
      </c>
      <c r="D379" t="inlineStr">
        <is>
          <t>VÄSTERNORRLANDS LÄN</t>
        </is>
      </c>
      <c r="E379" t="inlineStr">
        <is>
          <t>ÅNGE</t>
        </is>
      </c>
      <c r="G379" t="n">
        <v>0.9</v>
      </c>
      <c r="H379" t="n">
        <v>0</v>
      </c>
      <c r="I379" t="n">
        <v>0</v>
      </c>
      <c r="J379" t="n">
        <v>0</v>
      </c>
      <c r="K379" t="n">
        <v>0</v>
      </c>
      <c r="L379" t="n">
        <v>0</v>
      </c>
      <c r="M379" t="n">
        <v>0</v>
      </c>
      <c r="N379" t="n">
        <v>0</v>
      </c>
      <c r="O379" t="n">
        <v>0</v>
      </c>
      <c r="P379" t="n">
        <v>0</v>
      </c>
      <c r="Q379" t="n">
        <v>0</v>
      </c>
      <c r="R379" s="2" t="inlineStr"/>
    </row>
    <row r="380" ht="15" customHeight="1">
      <c r="A380" t="inlineStr">
        <is>
          <t>A 17580-2022</t>
        </is>
      </c>
      <c r="B380" s="1" t="n">
        <v>44679</v>
      </c>
      <c r="C380" s="1" t="n">
        <v>45929</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45929</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44412-2022</t>
        </is>
      </c>
      <c r="B382" s="1" t="n">
        <v>44839.92626157407</v>
      </c>
      <c r="C382" s="1" t="n">
        <v>45929</v>
      </c>
      <c r="D382" t="inlineStr">
        <is>
          <t>VÄSTERNORRLANDS LÄN</t>
        </is>
      </c>
      <c r="E382" t="inlineStr">
        <is>
          <t>ÅNGE</t>
        </is>
      </c>
      <c r="G382" t="n">
        <v>1.6</v>
      </c>
      <c r="H382" t="n">
        <v>0</v>
      </c>
      <c r="I382" t="n">
        <v>0</v>
      </c>
      <c r="J382" t="n">
        <v>0</v>
      </c>
      <c r="K382" t="n">
        <v>0</v>
      </c>
      <c r="L382" t="n">
        <v>0</v>
      </c>
      <c r="M382" t="n">
        <v>0</v>
      </c>
      <c r="N382" t="n">
        <v>0</v>
      </c>
      <c r="O382" t="n">
        <v>0</v>
      </c>
      <c r="P382" t="n">
        <v>0</v>
      </c>
      <c r="Q382" t="n">
        <v>0</v>
      </c>
      <c r="R382" s="2" t="inlineStr"/>
    </row>
    <row r="383" ht="15" customHeight="1">
      <c r="A383" t="inlineStr">
        <is>
          <t>A 25023-2022</t>
        </is>
      </c>
      <c r="B383" s="1" t="n">
        <v>44728</v>
      </c>
      <c r="C383" s="1" t="n">
        <v>45929</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6263-2022</t>
        </is>
      </c>
      <c r="B384" s="1" t="n">
        <v>44600</v>
      </c>
      <c r="C384" s="1" t="n">
        <v>45929</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31696-2022</t>
        </is>
      </c>
      <c r="B385" s="1" t="n">
        <v>44776</v>
      </c>
      <c r="C385" s="1" t="n">
        <v>45929</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58634-2023</t>
        </is>
      </c>
      <c r="B386" s="1" t="n">
        <v>45251</v>
      </c>
      <c r="C386" s="1" t="n">
        <v>45929</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52232-2020</t>
        </is>
      </c>
      <c r="B387" s="1" t="n">
        <v>44111</v>
      </c>
      <c r="C387" s="1" t="n">
        <v>45929</v>
      </c>
      <c r="D387" t="inlineStr">
        <is>
          <t>VÄSTERNORRLANDS LÄN</t>
        </is>
      </c>
      <c r="E387" t="inlineStr">
        <is>
          <t>ÅNGE</t>
        </is>
      </c>
      <c r="G387" t="n">
        <v>1.1</v>
      </c>
      <c r="H387" t="n">
        <v>0</v>
      </c>
      <c r="I387" t="n">
        <v>0</v>
      </c>
      <c r="J387" t="n">
        <v>0</v>
      </c>
      <c r="K387" t="n">
        <v>0</v>
      </c>
      <c r="L387" t="n">
        <v>0</v>
      </c>
      <c r="M387" t="n">
        <v>0</v>
      </c>
      <c r="N387" t="n">
        <v>0</v>
      </c>
      <c r="O387" t="n">
        <v>0</v>
      </c>
      <c r="P387" t="n">
        <v>0</v>
      </c>
      <c r="Q387" t="n">
        <v>0</v>
      </c>
      <c r="R387" s="2" t="inlineStr"/>
    </row>
    <row r="388" ht="15" customHeight="1">
      <c r="A388" t="inlineStr">
        <is>
          <t>A 27953-2021</t>
        </is>
      </c>
      <c r="B388" s="1" t="n">
        <v>44354.9209375</v>
      </c>
      <c r="C388" s="1" t="n">
        <v>45929</v>
      </c>
      <c r="D388" t="inlineStr">
        <is>
          <t>VÄSTERNORRLANDS LÄN</t>
        </is>
      </c>
      <c r="E388" t="inlineStr">
        <is>
          <t>ÅNGE</t>
        </is>
      </c>
      <c r="G388" t="n">
        <v>2.9</v>
      </c>
      <c r="H388" t="n">
        <v>0</v>
      </c>
      <c r="I388" t="n">
        <v>0</v>
      </c>
      <c r="J388" t="n">
        <v>0</v>
      </c>
      <c r="K388" t="n">
        <v>0</v>
      </c>
      <c r="L388" t="n">
        <v>0</v>
      </c>
      <c r="M388" t="n">
        <v>0</v>
      </c>
      <c r="N388" t="n">
        <v>0</v>
      </c>
      <c r="O388" t="n">
        <v>0</v>
      </c>
      <c r="P388" t="n">
        <v>0</v>
      </c>
      <c r="Q388" t="n">
        <v>0</v>
      </c>
      <c r="R388" s="2" t="inlineStr"/>
    </row>
    <row r="389" ht="15" customHeight="1">
      <c r="A389" t="inlineStr">
        <is>
          <t>A 20807-2021</t>
        </is>
      </c>
      <c r="B389" s="1" t="n">
        <v>44316.93965277778</v>
      </c>
      <c r="C389" s="1" t="n">
        <v>45929</v>
      </c>
      <c r="D389" t="inlineStr">
        <is>
          <t>VÄSTERNORRLANDS LÄN</t>
        </is>
      </c>
      <c r="E389" t="inlineStr">
        <is>
          <t>ÅNGE</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17594-2021</t>
        </is>
      </c>
      <c r="B390" s="1" t="n">
        <v>44299</v>
      </c>
      <c r="C390" s="1" t="n">
        <v>45929</v>
      </c>
      <c r="D390" t="inlineStr">
        <is>
          <t>VÄSTERNORRLANDS LÄN</t>
        </is>
      </c>
      <c r="E390" t="inlineStr">
        <is>
          <t>ÅNGE</t>
        </is>
      </c>
      <c r="G390" t="n">
        <v>0.8</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45929</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37605-2021</t>
        </is>
      </c>
      <c r="B392" s="1" t="n">
        <v>44399</v>
      </c>
      <c r="C392" s="1" t="n">
        <v>45929</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37620-2021</t>
        </is>
      </c>
      <c r="B393" s="1" t="n">
        <v>44399</v>
      </c>
      <c r="C393" s="1" t="n">
        <v>45929</v>
      </c>
      <c r="D393" t="inlineStr">
        <is>
          <t>VÄSTERNORRLANDS LÄN</t>
        </is>
      </c>
      <c r="E393" t="inlineStr">
        <is>
          <t>ÅNGE</t>
        </is>
      </c>
      <c r="G393" t="n">
        <v>4.3</v>
      </c>
      <c r="H393" t="n">
        <v>0</v>
      </c>
      <c r="I393" t="n">
        <v>0</v>
      </c>
      <c r="J393" t="n">
        <v>0</v>
      </c>
      <c r="K393" t="n">
        <v>0</v>
      </c>
      <c r="L393" t="n">
        <v>0</v>
      </c>
      <c r="M393" t="n">
        <v>0</v>
      </c>
      <c r="N393" t="n">
        <v>0</v>
      </c>
      <c r="O393" t="n">
        <v>0</v>
      </c>
      <c r="P393" t="n">
        <v>0</v>
      </c>
      <c r="Q393" t="n">
        <v>0</v>
      </c>
      <c r="R393" s="2" t="inlineStr"/>
    </row>
    <row r="394" ht="15" customHeight="1">
      <c r="A394" t="inlineStr">
        <is>
          <t>A 30365-2021</t>
        </is>
      </c>
      <c r="B394" s="1" t="n">
        <v>44364.45164351852</v>
      </c>
      <c r="C394" s="1" t="n">
        <v>45929</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45929</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20108-2025</t>
        </is>
      </c>
      <c r="B396" s="1" t="n">
        <v>45772.47006944445</v>
      </c>
      <c r="C396" s="1" t="n">
        <v>45929</v>
      </c>
      <c r="D396" t="inlineStr">
        <is>
          <t>VÄSTERNORRLANDS LÄN</t>
        </is>
      </c>
      <c r="E396" t="inlineStr">
        <is>
          <t>ÅNGE</t>
        </is>
      </c>
      <c r="F396" t="inlineStr">
        <is>
          <t>Naturvårdsverket</t>
        </is>
      </c>
      <c r="G396" t="n">
        <v>2</v>
      </c>
      <c r="H396" t="n">
        <v>0</v>
      </c>
      <c r="I396" t="n">
        <v>0</v>
      </c>
      <c r="J396" t="n">
        <v>0</v>
      </c>
      <c r="K396" t="n">
        <v>0</v>
      </c>
      <c r="L396" t="n">
        <v>0</v>
      </c>
      <c r="M396" t="n">
        <v>0</v>
      </c>
      <c r="N396" t="n">
        <v>0</v>
      </c>
      <c r="O396" t="n">
        <v>0</v>
      </c>
      <c r="P396" t="n">
        <v>0</v>
      </c>
      <c r="Q396" t="n">
        <v>0</v>
      </c>
      <c r="R396" s="2" t="inlineStr"/>
    </row>
    <row r="397" ht="15" customHeight="1">
      <c r="A397" t="inlineStr">
        <is>
          <t>A 17044-2022</t>
        </is>
      </c>
      <c r="B397" s="1" t="n">
        <v>44676</v>
      </c>
      <c r="C397" s="1" t="n">
        <v>45929</v>
      </c>
      <c r="D397" t="inlineStr">
        <is>
          <t>VÄSTERNORRLANDS LÄN</t>
        </is>
      </c>
      <c r="E397" t="inlineStr">
        <is>
          <t>ÅNGE</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45929</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16853-2023</t>
        </is>
      </c>
      <c r="B399" s="1" t="n">
        <v>45033</v>
      </c>
      <c r="C399" s="1" t="n">
        <v>45929</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63709-2023</t>
        </is>
      </c>
      <c r="B400" s="1" t="n">
        <v>45275.95069444444</v>
      </c>
      <c r="C400" s="1" t="n">
        <v>45929</v>
      </c>
      <c r="D400" t="inlineStr">
        <is>
          <t>VÄSTERNORRLANDS LÄN</t>
        </is>
      </c>
      <c r="E400" t="inlineStr">
        <is>
          <t>ÅNGE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45929</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70893-2021</t>
        </is>
      </c>
      <c r="B402" s="1" t="n">
        <v>44538</v>
      </c>
      <c r="C402" s="1" t="n">
        <v>45929</v>
      </c>
      <c r="D402" t="inlineStr">
        <is>
          <t>VÄSTERNORRLANDS LÄN</t>
        </is>
      </c>
      <c r="E402" t="inlineStr">
        <is>
          <t>ÅNGE</t>
        </is>
      </c>
      <c r="G402" t="n">
        <v>6.2</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45929</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45929</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54342-2023</t>
        </is>
      </c>
      <c r="B405" s="1" t="n">
        <v>45232</v>
      </c>
      <c r="C405" s="1" t="n">
        <v>45929</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46255-2023</t>
        </is>
      </c>
      <c r="B406" s="1" t="n">
        <v>45196</v>
      </c>
      <c r="C406" s="1" t="n">
        <v>45929</v>
      </c>
      <c r="D406" t="inlineStr">
        <is>
          <t>VÄSTERNORRLANDS LÄN</t>
        </is>
      </c>
      <c r="E406" t="inlineStr">
        <is>
          <t>ÅNGE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45929</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45929</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45929</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20369-2022</t>
        </is>
      </c>
      <c r="B410" s="1" t="n">
        <v>44699.41140046297</v>
      </c>
      <c r="C410" s="1" t="n">
        <v>45929</v>
      </c>
      <c r="D410" t="inlineStr">
        <is>
          <t>VÄSTERNORRLANDS LÄN</t>
        </is>
      </c>
      <c r="E410" t="inlineStr">
        <is>
          <t>ÅNGE</t>
        </is>
      </c>
      <c r="G410" t="n">
        <v>5.5</v>
      </c>
      <c r="H410" t="n">
        <v>0</v>
      </c>
      <c r="I410" t="n">
        <v>0</v>
      </c>
      <c r="J410" t="n">
        <v>0</v>
      </c>
      <c r="K410" t="n">
        <v>0</v>
      </c>
      <c r="L410" t="n">
        <v>0</v>
      </c>
      <c r="M410" t="n">
        <v>0</v>
      </c>
      <c r="N410" t="n">
        <v>0</v>
      </c>
      <c r="O410" t="n">
        <v>0</v>
      </c>
      <c r="P410" t="n">
        <v>0</v>
      </c>
      <c r="Q410" t="n">
        <v>0</v>
      </c>
      <c r="R410" s="2" t="inlineStr"/>
    </row>
    <row r="411" ht="15" customHeight="1">
      <c r="A411" t="inlineStr">
        <is>
          <t>A 50640-2022</t>
        </is>
      </c>
      <c r="B411" s="1" t="n">
        <v>44866.94734953704</v>
      </c>
      <c r="C411" s="1" t="n">
        <v>45929</v>
      </c>
      <c r="D411" t="inlineStr">
        <is>
          <t>VÄSTERNORRLANDS LÄN</t>
        </is>
      </c>
      <c r="E411" t="inlineStr">
        <is>
          <t>ÅNGE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5113-2022</t>
        </is>
      </c>
      <c r="B412" s="1" t="n">
        <v>44593.93362268519</v>
      </c>
      <c r="C412" s="1" t="n">
        <v>45929</v>
      </c>
      <c r="D412" t="inlineStr">
        <is>
          <t>VÄSTERNORRLANDS LÄN</t>
        </is>
      </c>
      <c r="E412" t="inlineStr">
        <is>
          <t>ÅNGE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31668-2021</t>
        </is>
      </c>
      <c r="B413" s="1" t="n">
        <v>44369</v>
      </c>
      <c r="C413" s="1" t="n">
        <v>45929</v>
      </c>
      <c r="D413" t="inlineStr">
        <is>
          <t>VÄSTERNORRLANDS LÄN</t>
        </is>
      </c>
      <c r="E413" t="inlineStr">
        <is>
          <t>ÅNGE</t>
        </is>
      </c>
      <c r="F413" t="inlineStr">
        <is>
          <t>Kyrkan</t>
        </is>
      </c>
      <c r="G413" t="n">
        <v>3.6</v>
      </c>
      <c r="H413" t="n">
        <v>0</v>
      </c>
      <c r="I413" t="n">
        <v>0</v>
      </c>
      <c r="J413" t="n">
        <v>0</v>
      </c>
      <c r="K413" t="n">
        <v>0</v>
      </c>
      <c r="L413" t="n">
        <v>0</v>
      </c>
      <c r="M413" t="n">
        <v>0</v>
      </c>
      <c r="N413" t="n">
        <v>0</v>
      </c>
      <c r="O413" t="n">
        <v>0</v>
      </c>
      <c r="P413" t="n">
        <v>0</v>
      </c>
      <c r="Q413" t="n">
        <v>0</v>
      </c>
      <c r="R413" s="2" t="inlineStr"/>
    </row>
    <row r="414" ht="15" customHeight="1">
      <c r="A414" t="inlineStr">
        <is>
          <t>A 32328-2021</t>
        </is>
      </c>
      <c r="B414" s="1" t="n">
        <v>44371.55924768518</v>
      </c>
      <c r="C414" s="1" t="n">
        <v>45929</v>
      </c>
      <c r="D414" t="inlineStr">
        <is>
          <t>VÄSTERNORRLANDS LÄN</t>
        </is>
      </c>
      <c r="E414" t="inlineStr">
        <is>
          <t>ÅNGE</t>
        </is>
      </c>
      <c r="G414" t="n">
        <v>0.9</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45929</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45929</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45929</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33408-2021</t>
        </is>
      </c>
      <c r="B418" s="1" t="n">
        <v>44377</v>
      </c>
      <c r="C418" s="1" t="n">
        <v>45929</v>
      </c>
      <c r="D418" t="inlineStr">
        <is>
          <t>VÄSTERNORRLANDS LÄN</t>
        </is>
      </c>
      <c r="E418" t="inlineStr">
        <is>
          <t>ÅNGE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20761-2024</t>
        </is>
      </c>
      <c r="B419" s="1" t="n">
        <v>45436</v>
      </c>
      <c r="C419" s="1" t="n">
        <v>45929</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42857-2022</t>
        </is>
      </c>
      <c r="B420" s="1" t="n">
        <v>44832</v>
      </c>
      <c r="C420" s="1" t="n">
        <v>45929</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61761-2021</t>
        </is>
      </c>
      <c r="B421" s="1" t="n">
        <v>44501</v>
      </c>
      <c r="C421" s="1" t="n">
        <v>45929</v>
      </c>
      <c r="D421" t="inlineStr">
        <is>
          <t>VÄSTERNORRLANDS LÄN</t>
        </is>
      </c>
      <c r="E421" t="inlineStr">
        <is>
          <t>ÅNGE</t>
        </is>
      </c>
      <c r="G421" t="n">
        <v>0.3</v>
      </c>
      <c r="H421" t="n">
        <v>0</v>
      </c>
      <c r="I421" t="n">
        <v>0</v>
      </c>
      <c r="J421" t="n">
        <v>0</v>
      </c>
      <c r="K421" t="n">
        <v>0</v>
      </c>
      <c r="L421" t="n">
        <v>0</v>
      </c>
      <c r="M421" t="n">
        <v>0</v>
      </c>
      <c r="N421" t="n">
        <v>0</v>
      </c>
      <c r="O421" t="n">
        <v>0</v>
      </c>
      <c r="P421" t="n">
        <v>0</v>
      </c>
      <c r="Q421" t="n">
        <v>0</v>
      </c>
      <c r="R421" s="2" t="inlineStr"/>
    </row>
    <row r="422" ht="15" customHeight="1">
      <c r="A422" t="inlineStr">
        <is>
          <t>A 15287-2025</t>
        </is>
      </c>
      <c r="B422" s="1" t="n">
        <v>45745</v>
      </c>
      <c r="C422" s="1" t="n">
        <v>45929</v>
      </c>
      <c r="D422" t="inlineStr">
        <is>
          <t>VÄSTERNORRLANDS LÄN</t>
        </is>
      </c>
      <c r="E422" t="inlineStr">
        <is>
          <t>ÅNGE</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15288-2025</t>
        </is>
      </c>
      <c r="B423" s="1" t="n">
        <v>45745.34423611111</v>
      </c>
      <c r="C423" s="1" t="n">
        <v>45929</v>
      </c>
      <c r="D423" t="inlineStr">
        <is>
          <t>VÄSTERNORRLANDS LÄN</t>
        </is>
      </c>
      <c r="E423" t="inlineStr">
        <is>
          <t>ÅNGE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37621-2021</t>
        </is>
      </c>
      <c r="B424" s="1" t="n">
        <v>44399</v>
      </c>
      <c r="C424" s="1" t="n">
        <v>45929</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30768-2022</t>
        </is>
      </c>
      <c r="B425" s="1" t="n">
        <v>44764.53608796297</v>
      </c>
      <c r="C425" s="1" t="n">
        <v>45929</v>
      </c>
      <c r="D425" t="inlineStr">
        <is>
          <t>VÄSTERNORRLANDS LÄN</t>
        </is>
      </c>
      <c r="E425" t="inlineStr">
        <is>
          <t>ÅNGE</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70899-2021</t>
        </is>
      </c>
      <c r="B426" s="1" t="n">
        <v>44537</v>
      </c>
      <c r="C426" s="1" t="n">
        <v>45929</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74194-2021</t>
        </is>
      </c>
      <c r="B427" s="1" t="n">
        <v>44558.47333333334</v>
      </c>
      <c r="C427" s="1" t="n">
        <v>45929</v>
      </c>
      <c r="D427" t="inlineStr">
        <is>
          <t>VÄSTERNORRLANDS LÄN</t>
        </is>
      </c>
      <c r="E427" t="inlineStr">
        <is>
          <t>ÅNGE</t>
        </is>
      </c>
      <c r="G427" t="n">
        <v>1.9</v>
      </c>
      <c r="H427" t="n">
        <v>0</v>
      </c>
      <c r="I427" t="n">
        <v>0</v>
      </c>
      <c r="J427" t="n">
        <v>0</v>
      </c>
      <c r="K427" t="n">
        <v>0</v>
      </c>
      <c r="L427" t="n">
        <v>0</v>
      </c>
      <c r="M427" t="n">
        <v>0</v>
      </c>
      <c r="N427" t="n">
        <v>0</v>
      </c>
      <c r="O427" t="n">
        <v>0</v>
      </c>
      <c r="P427" t="n">
        <v>0</v>
      </c>
      <c r="Q427" t="n">
        <v>0</v>
      </c>
      <c r="R427" s="2" t="inlineStr"/>
    </row>
    <row r="428" ht="15" customHeight="1">
      <c r="A428" t="inlineStr">
        <is>
          <t>A 13641-2022</t>
        </is>
      </c>
      <c r="B428" s="1" t="n">
        <v>44648</v>
      </c>
      <c r="C428" s="1" t="n">
        <v>45929</v>
      </c>
      <c r="D428" t="inlineStr">
        <is>
          <t>VÄSTERNORRLANDS LÄN</t>
        </is>
      </c>
      <c r="E428" t="inlineStr">
        <is>
          <t>ÅNGE</t>
        </is>
      </c>
      <c r="G428" t="n">
        <v>4.9</v>
      </c>
      <c r="H428" t="n">
        <v>0</v>
      </c>
      <c r="I428" t="n">
        <v>0</v>
      </c>
      <c r="J428" t="n">
        <v>0</v>
      </c>
      <c r="K428" t="n">
        <v>0</v>
      </c>
      <c r="L428" t="n">
        <v>0</v>
      </c>
      <c r="M428" t="n">
        <v>0</v>
      </c>
      <c r="N428" t="n">
        <v>0</v>
      </c>
      <c r="O428" t="n">
        <v>0</v>
      </c>
      <c r="P428" t="n">
        <v>0</v>
      </c>
      <c r="Q428" t="n">
        <v>0</v>
      </c>
      <c r="R428" s="2" t="inlineStr"/>
    </row>
    <row r="429" ht="15" customHeight="1">
      <c r="A429" t="inlineStr">
        <is>
          <t>A 66233-2021</t>
        </is>
      </c>
      <c r="B429" s="1" t="n">
        <v>44518.39234953704</v>
      </c>
      <c r="C429" s="1" t="n">
        <v>45929</v>
      </c>
      <c r="D429" t="inlineStr">
        <is>
          <t>VÄSTERNORRLANDS LÄN</t>
        </is>
      </c>
      <c r="E429" t="inlineStr">
        <is>
          <t>ÅNGE</t>
        </is>
      </c>
      <c r="G429" t="n">
        <v>3.1</v>
      </c>
      <c r="H429" t="n">
        <v>0</v>
      </c>
      <c r="I429" t="n">
        <v>0</v>
      </c>
      <c r="J429" t="n">
        <v>0</v>
      </c>
      <c r="K429" t="n">
        <v>0</v>
      </c>
      <c r="L429" t="n">
        <v>0</v>
      </c>
      <c r="M429" t="n">
        <v>0</v>
      </c>
      <c r="N429" t="n">
        <v>0</v>
      </c>
      <c r="O429" t="n">
        <v>0</v>
      </c>
      <c r="P429" t="n">
        <v>0</v>
      </c>
      <c r="Q429" t="n">
        <v>0</v>
      </c>
      <c r="R429" s="2" t="inlineStr"/>
    </row>
    <row r="430" ht="15" customHeight="1">
      <c r="A430" t="inlineStr">
        <is>
          <t>A 51555-2022</t>
        </is>
      </c>
      <c r="B430" s="1" t="n">
        <v>44869.9495949074</v>
      </c>
      <c r="C430" s="1" t="n">
        <v>45929</v>
      </c>
      <c r="D430" t="inlineStr">
        <is>
          <t>VÄSTERNORRLANDS LÄN</t>
        </is>
      </c>
      <c r="E430" t="inlineStr">
        <is>
          <t>ÅNGE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51494-2022</t>
        </is>
      </c>
      <c r="B431" s="1" t="n">
        <v>44869</v>
      </c>
      <c r="C431" s="1" t="n">
        <v>45929</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10922-2024</t>
        </is>
      </c>
      <c r="B432" s="1" t="n">
        <v>45370</v>
      </c>
      <c r="C432" s="1" t="n">
        <v>45929</v>
      </c>
      <c r="D432" t="inlineStr">
        <is>
          <t>VÄSTERNORRLANDS LÄN</t>
        </is>
      </c>
      <c r="E432" t="inlineStr">
        <is>
          <t>ÅNGE</t>
        </is>
      </c>
      <c r="G432" t="n">
        <v>1.5</v>
      </c>
      <c r="H432" t="n">
        <v>0</v>
      </c>
      <c r="I432" t="n">
        <v>0</v>
      </c>
      <c r="J432" t="n">
        <v>0</v>
      </c>
      <c r="K432" t="n">
        <v>0</v>
      </c>
      <c r="L432" t="n">
        <v>0</v>
      </c>
      <c r="M432" t="n">
        <v>0</v>
      </c>
      <c r="N432" t="n">
        <v>0</v>
      </c>
      <c r="O432" t="n">
        <v>0</v>
      </c>
      <c r="P432" t="n">
        <v>0</v>
      </c>
      <c r="Q432" t="n">
        <v>0</v>
      </c>
      <c r="R432" s="2" t="inlineStr"/>
    </row>
    <row r="433" ht="15" customHeight="1">
      <c r="A433" t="inlineStr">
        <is>
          <t>A 58997-2023</t>
        </is>
      </c>
      <c r="B433" s="1" t="n">
        <v>45252.6352662037</v>
      </c>
      <c r="C433" s="1" t="n">
        <v>45929</v>
      </c>
      <c r="D433" t="inlineStr">
        <is>
          <t>VÄSTERNORRLANDS LÄN</t>
        </is>
      </c>
      <c r="E433" t="inlineStr">
        <is>
          <t>ÅNGE</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47792-2022</t>
        </is>
      </c>
      <c r="B434" s="1" t="n">
        <v>44854.95238425926</v>
      </c>
      <c r="C434" s="1" t="n">
        <v>45929</v>
      </c>
      <c r="D434" t="inlineStr">
        <is>
          <t>VÄSTERNORRLANDS LÄN</t>
        </is>
      </c>
      <c r="E434" t="inlineStr">
        <is>
          <t>ÅNGE</t>
        </is>
      </c>
      <c r="F434" t="inlineStr">
        <is>
          <t>SCA</t>
        </is>
      </c>
      <c r="G434" t="n">
        <v>10.9</v>
      </c>
      <c r="H434" t="n">
        <v>0</v>
      </c>
      <c r="I434" t="n">
        <v>0</v>
      </c>
      <c r="J434" t="n">
        <v>0</v>
      </c>
      <c r="K434" t="n">
        <v>0</v>
      </c>
      <c r="L434" t="n">
        <v>0</v>
      </c>
      <c r="M434" t="n">
        <v>0</v>
      </c>
      <c r="N434" t="n">
        <v>0</v>
      </c>
      <c r="O434" t="n">
        <v>0</v>
      </c>
      <c r="P434" t="n">
        <v>0</v>
      </c>
      <c r="Q434" t="n">
        <v>0</v>
      </c>
      <c r="R434" s="2" t="inlineStr"/>
    </row>
    <row r="435" ht="15" customHeight="1">
      <c r="A435" t="inlineStr">
        <is>
          <t>A 18869-2024</t>
        </is>
      </c>
      <c r="B435" s="1" t="n">
        <v>45426</v>
      </c>
      <c r="C435" s="1" t="n">
        <v>45929</v>
      </c>
      <c r="D435" t="inlineStr">
        <is>
          <t>VÄSTERNORRLANDS LÄN</t>
        </is>
      </c>
      <c r="E435" t="inlineStr">
        <is>
          <t>ÅNGE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24797-2024</t>
        </is>
      </c>
      <c r="B436" s="1" t="n">
        <v>45460.95269675926</v>
      </c>
      <c r="C436" s="1" t="n">
        <v>45929</v>
      </c>
      <c r="D436" t="inlineStr">
        <is>
          <t>VÄSTERNORRLANDS LÄN</t>
        </is>
      </c>
      <c r="E436" t="inlineStr">
        <is>
          <t>ÅNGE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24798-2024</t>
        </is>
      </c>
      <c r="B437" s="1" t="n">
        <v>45460.95277777778</v>
      </c>
      <c r="C437" s="1" t="n">
        <v>45929</v>
      </c>
      <c r="D437" t="inlineStr">
        <is>
          <t>VÄSTERNORRLANDS LÄN</t>
        </is>
      </c>
      <c r="E437" t="inlineStr">
        <is>
          <t>ÅNGE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21089-2024</t>
        </is>
      </c>
      <c r="B438" s="1" t="n">
        <v>45439.94987268518</v>
      </c>
      <c r="C438" s="1" t="n">
        <v>45929</v>
      </c>
      <c r="D438" t="inlineStr">
        <is>
          <t>VÄSTERNORRLANDS LÄN</t>
        </is>
      </c>
      <c r="E438" t="inlineStr">
        <is>
          <t>ÅNGE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22680-2024</t>
        </is>
      </c>
      <c r="B439" s="1" t="n">
        <v>45447.94548611111</v>
      </c>
      <c r="C439" s="1" t="n">
        <v>45929</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64950-2023</t>
        </is>
      </c>
      <c r="B440" s="1" t="n">
        <v>45282</v>
      </c>
      <c r="C440" s="1" t="n">
        <v>45929</v>
      </c>
      <c r="D440" t="inlineStr">
        <is>
          <t>VÄSTERNORRLANDS LÄN</t>
        </is>
      </c>
      <c r="E440" t="inlineStr">
        <is>
          <t>ÅNGE</t>
        </is>
      </c>
      <c r="F440" t="inlineStr">
        <is>
          <t>SCA</t>
        </is>
      </c>
      <c r="G440" t="n">
        <v>5.2</v>
      </c>
      <c r="H440" t="n">
        <v>0</v>
      </c>
      <c r="I440" t="n">
        <v>0</v>
      </c>
      <c r="J440" t="n">
        <v>0</v>
      </c>
      <c r="K440" t="n">
        <v>0</v>
      </c>
      <c r="L440" t="n">
        <v>0</v>
      </c>
      <c r="M440" t="n">
        <v>0</v>
      </c>
      <c r="N440" t="n">
        <v>0</v>
      </c>
      <c r="O440" t="n">
        <v>0</v>
      </c>
      <c r="P440" t="n">
        <v>0</v>
      </c>
      <c r="Q440" t="n">
        <v>0</v>
      </c>
      <c r="R440" s="2" t="inlineStr"/>
    </row>
    <row r="441" ht="15" customHeight="1">
      <c r="A441" t="inlineStr">
        <is>
          <t>A 20393-2022</t>
        </is>
      </c>
      <c r="B441" s="1" t="n">
        <v>44699</v>
      </c>
      <c r="C441" s="1" t="n">
        <v>45929</v>
      </c>
      <c r="D441" t="inlineStr">
        <is>
          <t>VÄSTERNORRLANDS LÄN</t>
        </is>
      </c>
      <c r="E441" t="inlineStr">
        <is>
          <t>ÅNGE</t>
        </is>
      </c>
      <c r="G441" t="n">
        <v>6.9</v>
      </c>
      <c r="H441" t="n">
        <v>0</v>
      </c>
      <c r="I441" t="n">
        <v>0</v>
      </c>
      <c r="J441" t="n">
        <v>0</v>
      </c>
      <c r="K441" t="n">
        <v>0</v>
      </c>
      <c r="L441" t="n">
        <v>0</v>
      </c>
      <c r="M441" t="n">
        <v>0</v>
      </c>
      <c r="N441" t="n">
        <v>0</v>
      </c>
      <c r="O441" t="n">
        <v>0</v>
      </c>
      <c r="P441" t="n">
        <v>0</v>
      </c>
      <c r="Q441" t="n">
        <v>0</v>
      </c>
      <c r="R441" s="2" t="inlineStr"/>
    </row>
    <row r="442" ht="15" customHeight="1">
      <c r="A442" t="inlineStr">
        <is>
          <t>A 4727-2023</t>
        </is>
      </c>
      <c r="B442" s="1" t="n">
        <v>44953</v>
      </c>
      <c r="C442" s="1" t="n">
        <v>45929</v>
      </c>
      <c r="D442" t="inlineStr">
        <is>
          <t>VÄSTERNORRLANDS LÄN</t>
        </is>
      </c>
      <c r="E442" t="inlineStr">
        <is>
          <t>ÅNGE</t>
        </is>
      </c>
      <c r="G442" t="n">
        <v>0.4</v>
      </c>
      <c r="H442" t="n">
        <v>0</v>
      </c>
      <c r="I442" t="n">
        <v>0</v>
      </c>
      <c r="J442" t="n">
        <v>0</v>
      </c>
      <c r="K442" t="n">
        <v>0</v>
      </c>
      <c r="L442" t="n">
        <v>0</v>
      </c>
      <c r="M442" t="n">
        <v>0</v>
      </c>
      <c r="N442" t="n">
        <v>0</v>
      </c>
      <c r="O442" t="n">
        <v>0</v>
      </c>
      <c r="P442" t="n">
        <v>0</v>
      </c>
      <c r="Q442" t="n">
        <v>0</v>
      </c>
      <c r="R442" s="2" t="inlineStr"/>
    </row>
    <row r="443" ht="15" customHeight="1">
      <c r="A443" t="inlineStr">
        <is>
          <t>A 35650-2024</t>
        </is>
      </c>
      <c r="B443" s="1" t="n">
        <v>45532.34123842593</v>
      </c>
      <c r="C443" s="1" t="n">
        <v>45929</v>
      </c>
      <c r="D443" t="inlineStr">
        <is>
          <t>VÄSTERNORRLANDS LÄN</t>
        </is>
      </c>
      <c r="E443" t="inlineStr">
        <is>
          <t>ÅNGE</t>
        </is>
      </c>
      <c r="G443" t="n">
        <v>3.8</v>
      </c>
      <c r="H443" t="n">
        <v>0</v>
      </c>
      <c r="I443" t="n">
        <v>0</v>
      </c>
      <c r="J443" t="n">
        <v>0</v>
      </c>
      <c r="K443" t="n">
        <v>0</v>
      </c>
      <c r="L443" t="n">
        <v>0</v>
      </c>
      <c r="M443" t="n">
        <v>0</v>
      </c>
      <c r="N443" t="n">
        <v>0</v>
      </c>
      <c r="O443" t="n">
        <v>0</v>
      </c>
      <c r="P443" t="n">
        <v>0</v>
      </c>
      <c r="Q443" t="n">
        <v>0</v>
      </c>
      <c r="R443" s="2" t="inlineStr"/>
    </row>
    <row r="444" ht="15" customHeight="1">
      <c r="A444" t="inlineStr">
        <is>
          <t>A 3357-2024</t>
        </is>
      </c>
      <c r="B444" s="1" t="n">
        <v>45317</v>
      </c>
      <c r="C444" s="1" t="n">
        <v>45929</v>
      </c>
      <c r="D444" t="inlineStr">
        <is>
          <t>VÄSTERNORRLANDS LÄN</t>
        </is>
      </c>
      <c r="E444" t="inlineStr">
        <is>
          <t>ÅNGE</t>
        </is>
      </c>
      <c r="G444" t="n">
        <v>8</v>
      </c>
      <c r="H444" t="n">
        <v>0</v>
      </c>
      <c r="I444" t="n">
        <v>0</v>
      </c>
      <c r="J444" t="n">
        <v>0</v>
      </c>
      <c r="K444" t="n">
        <v>0</v>
      </c>
      <c r="L444" t="n">
        <v>0</v>
      </c>
      <c r="M444" t="n">
        <v>0</v>
      </c>
      <c r="N444" t="n">
        <v>0</v>
      </c>
      <c r="O444" t="n">
        <v>0</v>
      </c>
      <c r="P444" t="n">
        <v>0</v>
      </c>
      <c r="Q444" t="n">
        <v>0</v>
      </c>
      <c r="R444" s="2" t="inlineStr"/>
    </row>
    <row r="445" ht="15" customHeight="1">
      <c r="A445" t="inlineStr">
        <is>
          <t>A 23035-2024</t>
        </is>
      </c>
      <c r="B445" s="1" t="n">
        <v>45450.39016203704</v>
      </c>
      <c r="C445" s="1" t="n">
        <v>45929</v>
      </c>
      <c r="D445" t="inlineStr">
        <is>
          <t>VÄSTERNORRLANDS LÄN</t>
        </is>
      </c>
      <c r="E445" t="inlineStr">
        <is>
          <t>ÅNGE</t>
        </is>
      </c>
      <c r="G445" t="n">
        <v>12.1</v>
      </c>
      <c r="H445" t="n">
        <v>0</v>
      </c>
      <c r="I445" t="n">
        <v>0</v>
      </c>
      <c r="J445" t="n">
        <v>0</v>
      </c>
      <c r="K445" t="n">
        <v>0</v>
      </c>
      <c r="L445" t="n">
        <v>0</v>
      </c>
      <c r="M445" t="n">
        <v>0</v>
      </c>
      <c r="N445" t="n">
        <v>0</v>
      </c>
      <c r="O445" t="n">
        <v>0</v>
      </c>
      <c r="P445" t="n">
        <v>0</v>
      </c>
      <c r="Q445" t="n">
        <v>0</v>
      </c>
      <c r="R445" s="2" t="inlineStr"/>
    </row>
    <row r="446" ht="15" customHeight="1">
      <c r="A446" t="inlineStr">
        <is>
          <t>A 23063-2024</t>
        </is>
      </c>
      <c r="B446" s="1" t="n">
        <v>45450.44278935185</v>
      </c>
      <c r="C446" s="1" t="n">
        <v>45929</v>
      </c>
      <c r="D446" t="inlineStr">
        <is>
          <t>VÄSTERNORRLANDS LÄN</t>
        </is>
      </c>
      <c r="E446" t="inlineStr">
        <is>
          <t>ÅNGE</t>
        </is>
      </c>
      <c r="G446" t="n">
        <v>0.8</v>
      </c>
      <c r="H446" t="n">
        <v>0</v>
      </c>
      <c r="I446" t="n">
        <v>0</v>
      </c>
      <c r="J446" t="n">
        <v>0</v>
      </c>
      <c r="K446" t="n">
        <v>0</v>
      </c>
      <c r="L446" t="n">
        <v>0</v>
      </c>
      <c r="M446" t="n">
        <v>0</v>
      </c>
      <c r="N446" t="n">
        <v>0</v>
      </c>
      <c r="O446" t="n">
        <v>0</v>
      </c>
      <c r="P446" t="n">
        <v>0</v>
      </c>
      <c r="Q446" t="n">
        <v>0</v>
      </c>
      <c r="R446" s="2" t="inlineStr"/>
    </row>
    <row r="447" ht="15" customHeight="1">
      <c r="A447" t="inlineStr">
        <is>
          <t>A 35143-2025</t>
        </is>
      </c>
      <c r="B447" s="1" t="n">
        <v>45852.65660879629</v>
      </c>
      <c r="C447" s="1" t="n">
        <v>45929</v>
      </c>
      <c r="D447" t="inlineStr">
        <is>
          <t>VÄSTERNORRLANDS LÄN</t>
        </is>
      </c>
      <c r="E447" t="inlineStr">
        <is>
          <t>ÅNGE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39768-2025</t>
        </is>
      </c>
      <c r="B448" s="1" t="n">
        <v>45891.44842592593</v>
      </c>
      <c r="C448" s="1" t="n">
        <v>45929</v>
      </c>
      <c r="D448" t="inlineStr">
        <is>
          <t>VÄSTERNORRLANDS LÄN</t>
        </is>
      </c>
      <c r="E448" t="inlineStr">
        <is>
          <t>ÅNGE</t>
        </is>
      </c>
      <c r="G448" t="n">
        <v>10.4</v>
      </c>
      <c r="H448" t="n">
        <v>0</v>
      </c>
      <c r="I448" t="n">
        <v>0</v>
      </c>
      <c r="J448" t="n">
        <v>0</v>
      </c>
      <c r="K448" t="n">
        <v>0</v>
      </c>
      <c r="L448" t="n">
        <v>0</v>
      </c>
      <c r="M448" t="n">
        <v>0</v>
      </c>
      <c r="N448" t="n">
        <v>0</v>
      </c>
      <c r="O448" t="n">
        <v>0</v>
      </c>
      <c r="P448" t="n">
        <v>0</v>
      </c>
      <c r="Q448" t="n">
        <v>0</v>
      </c>
      <c r="R448" s="2" t="inlineStr"/>
    </row>
    <row r="449" ht="15" customHeight="1">
      <c r="A449" t="inlineStr">
        <is>
          <t>A 35061-2025</t>
        </is>
      </c>
      <c r="B449" s="1" t="n">
        <v>45852</v>
      </c>
      <c r="C449" s="1" t="n">
        <v>45929</v>
      </c>
      <c r="D449" t="inlineStr">
        <is>
          <t>VÄSTERNORRLANDS LÄN</t>
        </is>
      </c>
      <c r="E449" t="inlineStr">
        <is>
          <t>ÅNGE</t>
        </is>
      </c>
      <c r="F449" t="inlineStr">
        <is>
          <t>SCA</t>
        </is>
      </c>
      <c r="G449" t="n">
        <v>5.6</v>
      </c>
      <c r="H449" t="n">
        <v>0</v>
      </c>
      <c r="I449" t="n">
        <v>0</v>
      </c>
      <c r="J449" t="n">
        <v>0</v>
      </c>
      <c r="K449" t="n">
        <v>0</v>
      </c>
      <c r="L449" t="n">
        <v>0</v>
      </c>
      <c r="M449" t="n">
        <v>0</v>
      </c>
      <c r="N449" t="n">
        <v>0</v>
      </c>
      <c r="O449" t="n">
        <v>0</v>
      </c>
      <c r="P449" t="n">
        <v>0</v>
      </c>
      <c r="Q449" t="n">
        <v>0</v>
      </c>
      <c r="R449" s="2" t="inlineStr"/>
    </row>
    <row r="450" ht="15" customHeight="1">
      <c r="A450" t="inlineStr">
        <is>
          <t>A 46332-2023</t>
        </is>
      </c>
      <c r="B450" s="1" t="n">
        <v>45196</v>
      </c>
      <c r="C450" s="1" t="n">
        <v>45929</v>
      </c>
      <c r="D450" t="inlineStr">
        <is>
          <t>VÄSTERNORRLANDS LÄN</t>
        </is>
      </c>
      <c r="E450" t="inlineStr">
        <is>
          <t>ÅNGE</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12581-2024</t>
        </is>
      </c>
      <c r="B451" s="1" t="n">
        <v>45379</v>
      </c>
      <c r="C451" s="1" t="n">
        <v>45929</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34679-2024</t>
        </is>
      </c>
      <c r="B452" s="1" t="n">
        <v>45526</v>
      </c>
      <c r="C452" s="1" t="n">
        <v>45929</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58445-2022</t>
        </is>
      </c>
      <c r="B453" s="1" t="n">
        <v>44901.95453703704</v>
      </c>
      <c r="C453" s="1" t="n">
        <v>45929</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23058-2024</t>
        </is>
      </c>
      <c r="B454" s="1" t="n">
        <v>45450.44020833333</v>
      </c>
      <c r="C454" s="1" t="n">
        <v>45929</v>
      </c>
      <c r="D454" t="inlineStr">
        <is>
          <t>VÄSTERNORRLANDS LÄN</t>
        </is>
      </c>
      <c r="E454" t="inlineStr">
        <is>
          <t>ÅNGE</t>
        </is>
      </c>
      <c r="G454" t="n">
        <v>3.9</v>
      </c>
      <c r="H454" t="n">
        <v>0</v>
      </c>
      <c r="I454" t="n">
        <v>0</v>
      </c>
      <c r="J454" t="n">
        <v>0</v>
      </c>
      <c r="K454" t="n">
        <v>0</v>
      </c>
      <c r="L454" t="n">
        <v>0</v>
      </c>
      <c r="M454" t="n">
        <v>0</v>
      </c>
      <c r="N454" t="n">
        <v>0</v>
      </c>
      <c r="O454" t="n">
        <v>0</v>
      </c>
      <c r="P454" t="n">
        <v>0</v>
      </c>
      <c r="Q454" t="n">
        <v>0</v>
      </c>
      <c r="R454" s="2" t="inlineStr"/>
    </row>
    <row r="455" ht="15" customHeight="1">
      <c r="A455" t="inlineStr">
        <is>
          <t>A 24231-2024</t>
        </is>
      </c>
      <c r="B455" s="1" t="n">
        <v>45457.34393518518</v>
      </c>
      <c r="C455" s="1" t="n">
        <v>45929</v>
      </c>
      <c r="D455" t="inlineStr">
        <is>
          <t>VÄSTERNORRLANDS LÄN</t>
        </is>
      </c>
      <c r="E455" t="inlineStr">
        <is>
          <t>ÅNGE</t>
        </is>
      </c>
      <c r="F455" t="inlineStr">
        <is>
          <t>Sveaskog</t>
        </is>
      </c>
      <c r="G455" t="n">
        <v>7</v>
      </c>
      <c r="H455" t="n">
        <v>0</v>
      </c>
      <c r="I455" t="n">
        <v>0</v>
      </c>
      <c r="J455" t="n">
        <v>0</v>
      </c>
      <c r="K455" t="n">
        <v>0</v>
      </c>
      <c r="L455" t="n">
        <v>0</v>
      </c>
      <c r="M455" t="n">
        <v>0</v>
      </c>
      <c r="N455" t="n">
        <v>0</v>
      </c>
      <c r="O455" t="n">
        <v>0</v>
      </c>
      <c r="P455" t="n">
        <v>0</v>
      </c>
      <c r="Q455" t="n">
        <v>0</v>
      </c>
      <c r="R455" s="2" t="inlineStr"/>
    </row>
    <row r="456" ht="15" customHeight="1">
      <c r="A456" t="inlineStr">
        <is>
          <t>A 40665-2025</t>
        </is>
      </c>
      <c r="B456" s="1" t="n">
        <v>45896.65663194445</v>
      </c>
      <c r="C456" s="1" t="n">
        <v>45929</v>
      </c>
      <c r="D456" t="inlineStr">
        <is>
          <t>VÄSTERNORRLANDS LÄN</t>
        </is>
      </c>
      <c r="E456" t="inlineStr">
        <is>
          <t>ÅNGE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64945-2023</t>
        </is>
      </c>
      <c r="B457" s="1" t="n">
        <v>45282.94668981482</v>
      </c>
      <c r="C457" s="1" t="n">
        <v>45929</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23018-2021</t>
        </is>
      </c>
      <c r="B458" s="1" t="n">
        <v>44328</v>
      </c>
      <c r="C458" s="1" t="n">
        <v>45929</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31866-2024</t>
        </is>
      </c>
      <c r="B459" s="1" t="n">
        <v>45509</v>
      </c>
      <c r="C459" s="1" t="n">
        <v>45929</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31867-2024</t>
        </is>
      </c>
      <c r="B460" s="1" t="n">
        <v>45509</v>
      </c>
      <c r="C460" s="1" t="n">
        <v>45929</v>
      </c>
      <c r="D460" t="inlineStr">
        <is>
          <t>VÄSTERNORRLANDS LÄN</t>
        </is>
      </c>
      <c r="E460" t="inlineStr">
        <is>
          <t>ÅNGE</t>
        </is>
      </c>
      <c r="G460" t="n">
        <v>7.8</v>
      </c>
      <c r="H460" t="n">
        <v>0</v>
      </c>
      <c r="I460" t="n">
        <v>0</v>
      </c>
      <c r="J460" t="n">
        <v>0</v>
      </c>
      <c r="K460" t="n">
        <v>0</v>
      </c>
      <c r="L460" t="n">
        <v>0</v>
      </c>
      <c r="M460" t="n">
        <v>0</v>
      </c>
      <c r="N460" t="n">
        <v>0</v>
      </c>
      <c r="O460" t="n">
        <v>0</v>
      </c>
      <c r="P460" t="n">
        <v>0</v>
      </c>
      <c r="Q460" t="n">
        <v>0</v>
      </c>
      <c r="R460" s="2" t="inlineStr"/>
    </row>
    <row r="461" ht="15" customHeight="1">
      <c r="A461" t="inlineStr">
        <is>
          <t>A 64946-2023</t>
        </is>
      </c>
      <c r="B461" s="1" t="n">
        <v>45282.94678240741</v>
      </c>
      <c r="C461" s="1" t="n">
        <v>45929</v>
      </c>
      <c r="D461" t="inlineStr">
        <is>
          <t>VÄSTERNORRLANDS LÄN</t>
        </is>
      </c>
      <c r="E461" t="inlineStr">
        <is>
          <t>ÅNGE</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39178-2024</t>
        </is>
      </c>
      <c r="B462" s="1" t="n">
        <v>45548.65692129629</v>
      </c>
      <c r="C462" s="1" t="n">
        <v>45929</v>
      </c>
      <c r="D462" t="inlineStr">
        <is>
          <t>VÄSTERNORRLANDS LÄN</t>
        </is>
      </c>
      <c r="E462" t="inlineStr">
        <is>
          <t>ÅNGE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40898-2025</t>
        </is>
      </c>
      <c r="B463" s="1" t="n">
        <v>45897.61503472222</v>
      </c>
      <c r="C463" s="1" t="n">
        <v>45929</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40830-2025</t>
        </is>
      </c>
      <c r="B464" s="1" t="n">
        <v>45897.51079861111</v>
      </c>
      <c r="C464" s="1" t="n">
        <v>45929</v>
      </c>
      <c r="D464" t="inlineStr">
        <is>
          <t>VÄSTERNORRLANDS LÄN</t>
        </is>
      </c>
      <c r="E464" t="inlineStr">
        <is>
          <t>ÅNGE</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40872-2025</t>
        </is>
      </c>
      <c r="B465" s="1" t="n">
        <v>45897.574375</v>
      </c>
      <c r="C465" s="1" t="n">
        <v>45929</v>
      </c>
      <c r="D465" t="inlineStr">
        <is>
          <t>VÄSTERNORRLANDS LÄN</t>
        </is>
      </c>
      <c r="E465" t="inlineStr">
        <is>
          <t>ÅNGE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35503-2025</t>
        </is>
      </c>
      <c r="B466" s="1" t="n">
        <v>45856</v>
      </c>
      <c r="C466" s="1" t="n">
        <v>45929</v>
      </c>
      <c r="D466" t="inlineStr">
        <is>
          <t>VÄSTERNORRLANDS LÄN</t>
        </is>
      </c>
      <c r="E466" t="inlineStr">
        <is>
          <t>ÅNGE</t>
        </is>
      </c>
      <c r="G466" t="n">
        <v>5.2</v>
      </c>
      <c r="H466" t="n">
        <v>0</v>
      </c>
      <c r="I466" t="n">
        <v>0</v>
      </c>
      <c r="J466" t="n">
        <v>0</v>
      </c>
      <c r="K466" t="n">
        <v>0</v>
      </c>
      <c r="L466" t="n">
        <v>0</v>
      </c>
      <c r="M466" t="n">
        <v>0</v>
      </c>
      <c r="N466" t="n">
        <v>0</v>
      </c>
      <c r="O466" t="n">
        <v>0</v>
      </c>
      <c r="P466" t="n">
        <v>0</v>
      </c>
      <c r="Q466" t="n">
        <v>0</v>
      </c>
      <c r="R466" s="2" t="inlineStr"/>
    </row>
    <row r="467" ht="15" customHeight="1">
      <c r="A467" t="inlineStr">
        <is>
          <t>A 35540-2025</t>
        </is>
      </c>
      <c r="B467" s="1" t="n">
        <v>45856.46912037037</v>
      </c>
      <c r="C467" s="1" t="n">
        <v>45929</v>
      </c>
      <c r="D467" t="inlineStr">
        <is>
          <t>VÄSTERNORRLANDS LÄN</t>
        </is>
      </c>
      <c r="E467" t="inlineStr">
        <is>
          <t>ÅNGE</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13773-2024</t>
        </is>
      </c>
      <c r="B468" s="1" t="n">
        <v>45390.95297453704</v>
      </c>
      <c r="C468" s="1" t="n">
        <v>45929</v>
      </c>
      <c r="D468" t="inlineStr">
        <is>
          <t>VÄSTERNORRLANDS LÄN</t>
        </is>
      </c>
      <c r="E468" t="inlineStr">
        <is>
          <t>ÅNGE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41179-2025</t>
        </is>
      </c>
      <c r="B469" s="1" t="n">
        <v>45898.55277777778</v>
      </c>
      <c r="C469" s="1" t="n">
        <v>45929</v>
      </c>
      <c r="D469" t="inlineStr">
        <is>
          <t>VÄSTERNORRLANDS LÄN</t>
        </is>
      </c>
      <c r="E469" t="inlineStr">
        <is>
          <t>ÅNGE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40899-2025</t>
        </is>
      </c>
      <c r="B470" s="1" t="n">
        <v>45897.61528935185</v>
      </c>
      <c r="C470" s="1" t="n">
        <v>45929</v>
      </c>
      <c r="D470" t="inlineStr">
        <is>
          <t>VÄSTERNORRLANDS LÄN</t>
        </is>
      </c>
      <c r="E470" t="inlineStr">
        <is>
          <t>ÅNGE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29193-2024</t>
        </is>
      </c>
      <c r="B471" s="1" t="n">
        <v>45482.56510416666</v>
      </c>
      <c r="C471" s="1" t="n">
        <v>45929</v>
      </c>
      <c r="D471" t="inlineStr">
        <is>
          <t>VÄSTERNORRLANDS LÄN</t>
        </is>
      </c>
      <c r="E471" t="inlineStr">
        <is>
          <t>ÅNGE</t>
        </is>
      </c>
      <c r="G471" t="n">
        <v>5.6</v>
      </c>
      <c r="H471" t="n">
        <v>0</v>
      </c>
      <c r="I471" t="n">
        <v>0</v>
      </c>
      <c r="J471" t="n">
        <v>0</v>
      </c>
      <c r="K471" t="n">
        <v>0</v>
      </c>
      <c r="L471" t="n">
        <v>0</v>
      </c>
      <c r="M471" t="n">
        <v>0</v>
      </c>
      <c r="N471" t="n">
        <v>0</v>
      </c>
      <c r="O471" t="n">
        <v>0</v>
      </c>
      <c r="P471" t="n">
        <v>0</v>
      </c>
      <c r="Q471" t="n">
        <v>0</v>
      </c>
      <c r="R471" s="2" t="inlineStr"/>
    </row>
    <row r="472" ht="15" customHeight="1">
      <c r="A472" t="inlineStr">
        <is>
          <t>A 35548-2025</t>
        </is>
      </c>
      <c r="B472" s="1" t="n">
        <v>45856.48995370371</v>
      </c>
      <c r="C472" s="1" t="n">
        <v>45929</v>
      </c>
      <c r="D472" t="inlineStr">
        <is>
          <t>VÄSTERNORRLANDS LÄN</t>
        </is>
      </c>
      <c r="E472" t="inlineStr">
        <is>
          <t>ÅNGE</t>
        </is>
      </c>
      <c r="F472" t="inlineStr">
        <is>
          <t>SCA</t>
        </is>
      </c>
      <c r="G472" t="n">
        <v>14.6</v>
      </c>
      <c r="H472" t="n">
        <v>0</v>
      </c>
      <c r="I472" t="n">
        <v>0</v>
      </c>
      <c r="J472" t="n">
        <v>0</v>
      </c>
      <c r="K472" t="n">
        <v>0</v>
      </c>
      <c r="L472" t="n">
        <v>0</v>
      </c>
      <c r="M472" t="n">
        <v>0</v>
      </c>
      <c r="N472" t="n">
        <v>0</v>
      </c>
      <c r="O472" t="n">
        <v>0</v>
      </c>
      <c r="P472" t="n">
        <v>0</v>
      </c>
      <c r="Q472" t="n">
        <v>0</v>
      </c>
      <c r="R472" s="2" t="inlineStr"/>
    </row>
    <row r="473" ht="15" customHeight="1">
      <c r="A473" t="inlineStr">
        <is>
          <t>A 35575-2025</t>
        </is>
      </c>
      <c r="B473" s="1" t="n">
        <v>45856.63591435185</v>
      </c>
      <c r="C473" s="1" t="n">
        <v>45929</v>
      </c>
      <c r="D473" t="inlineStr">
        <is>
          <t>VÄSTERNORRLANDS LÄN</t>
        </is>
      </c>
      <c r="E473" t="inlineStr">
        <is>
          <t>ÅNGE</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35578-2025</t>
        </is>
      </c>
      <c r="B474" s="1" t="n">
        <v>45856.67797453704</v>
      </c>
      <c r="C474" s="1" t="n">
        <v>45929</v>
      </c>
      <c r="D474" t="inlineStr">
        <is>
          <t>VÄSTERNORRLANDS LÄN</t>
        </is>
      </c>
      <c r="E474" t="inlineStr">
        <is>
          <t>ÅNGE</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42040-2024</t>
        </is>
      </c>
      <c r="B475" s="1" t="n">
        <v>45561.80983796297</v>
      </c>
      <c r="C475" s="1" t="n">
        <v>45929</v>
      </c>
      <c r="D475" t="inlineStr">
        <is>
          <t>VÄSTERNORRLANDS LÄN</t>
        </is>
      </c>
      <c r="E475" t="inlineStr">
        <is>
          <t>ÅNGE</t>
        </is>
      </c>
      <c r="G475" t="n">
        <v>0.6</v>
      </c>
      <c r="H475" t="n">
        <v>0</v>
      </c>
      <c r="I475" t="n">
        <v>0</v>
      </c>
      <c r="J475" t="n">
        <v>0</v>
      </c>
      <c r="K475" t="n">
        <v>0</v>
      </c>
      <c r="L475" t="n">
        <v>0</v>
      </c>
      <c r="M475" t="n">
        <v>0</v>
      </c>
      <c r="N475" t="n">
        <v>0</v>
      </c>
      <c r="O475" t="n">
        <v>0</v>
      </c>
      <c r="P475" t="n">
        <v>0</v>
      </c>
      <c r="Q475" t="n">
        <v>0</v>
      </c>
      <c r="R475" s="2" t="inlineStr"/>
    </row>
    <row r="476" ht="15" customHeight="1">
      <c r="A476" t="inlineStr">
        <is>
          <t>A 35497-2025</t>
        </is>
      </c>
      <c r="B476" s="1" t="n">
        <v>45856.29752314815</v>
      </c>
      <c r="C476" s="1" t="n">
        <v>45929</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34691-2024</t>
        </is>
      </c>
      <c r="B477" s="1" t="n">
        <v>45526.54516203704</v>
      </c>
      <c r="C477" s="1" t="n">
        <v>45929</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40818-2025</t>
        </is>
      </c>
      <c r="B478" s="1" t="n">
        <v>45897.48881944444</v>
      </c>
      <c r="C478" s="1" t="n">
        <v>45929</v>
      </c>
      <c r="D478" t="inlineStr">
        <is>
          <t>VÄSTERNORRLANDS LÄN</t>
        </is>
      </c>
      <c r="E478" t="inlineStr">
        <is>
          <t>ÅNGE</t>
        </is>
      </c>
      <c r="G478" t="n">
        <v>2.9</v>
      </c>
      <c r="H478" t="n">
        <v>0</v>
      </c>
      <c r="I478" t="n">
        <v>0</v>
      </c>
      <c r="J478" t="n">
        <v>0</v>
      </c>
      <c r="K478" t="n">
        <v>0</v>
      </c>
      <c r="L478" t="n">
        <v>0</v>
      </c>
      <c r="M478" t="n">
        <v>0</v>
      </c>
      <c r="N478" t="n">
        <v>0</v>
      </c>
      <c r="O478" t="n">
        <v>0</v>
      </c>
      <c r="P478" t="n">
        <v>0</v>
      </c>
      <c r="Q478" t="n">
        <v>0</v>
      </c>
      <c r="R478" s="2" t="inlineStr"/>
    </row>
    <row r="479" ht="15" customHeight="1">
      <c r="A479" t="inlineStr">
        <is>
          <t>A 9567-2024</t>
        </is>
      </c>
      <c r="B479" s="1" t="n">
        <v>45360.03635416667</v>
      </c>
      <c r="C479" s="1" t="n">
        <v>45929</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54210-2024</t>
        </is>
      </c>
      <c r="B480" s="1" t="n">
        <v>45616.65662037037</v>
      </c>
      <c r="C480" s="1" t="n">
        <v>45929</v>
      </c>
      <c r="D480" t="inlineStr">
        <is>
          <t>VÄSTERNORRLANDS LÄN</t>
        </is>
      </c>
      <c r="E480" t="inlineStr">
        <is>
          <t>ÅNGE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46681-2023</t>
        </is>
      </c>
      <c r="B481" s="1" t="n">
        <v>45198</v>
      </c>
      <c r="C481" s="1" t="n">
        <v>45929</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51311-2022</t>
        </is>
      </c>
      <c r="B482" s="1" t="n">
        <v>44868</v>
      </c>
      <c r="C482" s="1" t="n">
        <v>45929</v>
      </c>
      <c r="D482" t="inlineStr">
        <is>
          <t>VÄSTERNORRLANDS LÄN</t>
        </is>
      </c>
      <c r="E482" t="inlineStr">
        <is>
          <t>ÅNGE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33428-2023</t>
        </is>
      </c>
      <c r="B483" s="1" t="n">
        <v>45128.94976851852</v>
      </c>
      <c r="C483" s="1" t="n">
        <v>45929</v>
      </c>
      <c r="D483" t="inlineStr">
        <is>
          <t>VÄSTERNORRLANDS LÄN</t>
        </is>
      </c>
      <c r="E483" t="inlineStr">
        <is>
          <t>ÅNGE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34815-2024</t>
        </is>
      </c>
      <c r="B484" s="1" t="n">
        <v>45526.70732638889</v>
      </c>
      <c r="C484" s="1" t="n">
        <v>45929</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35432-2025</t>
        </is>
      </c>
      <c r="B485" s="1" t="n">
        <v>45855.44831018519</v>
      </c>
      <c r="C485" s="1" t="n">
        <v>45929</v>
      </c>
      <c r="D485" t="inlineStr">
        <is>
          <t>VÄSTERNORRLANDS LÄN</t>
        </is>
      </c>
      <c r="E485" t="inlineStr">
        <is>
          <t>ÅNGE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56399-2022</t>
        </is>
      </c>
      <c r="B486" s="1" t="n">
        <v>44890</v>
      </c>
      <c r="C486" s="1" t="n">
        <v>45929</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35577-2025</t>
        </is>
      </c>
      <c r="B487" s="1" t="n">
        <v>45856.67762731481</v>
      </c>
      <c r="C487" s="1" t="n">
        <v>45929</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52805-2024</t>
        </is>
      </c>
      <c r="B488" s="1" t="n">
        <v>45610.57344907407</v>
      </c>
      <c r="C488" s="1" t="n">
        <v>45929</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41586-2024</t>
        </is>
      </c>
      <c r="B489" s="1" t="n">
        <v>45560.56089120371</v>
      </c>
      <c r="C489" s="1" t="n">
        <v>45929</v>
      </c>
      <c r="D489" t="inlineStr">
        <is>
          <t>VÄSTERNORRLANDS LÄN</t>
        </is>
      </c>
      <c r="E489" t="inlineStr">
        <is>
          <t>ÅNGE</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28506-2024</t>
        </is>
      </c>
      <c r="B490" s="1" t="n">
        <v>45477.9475</v>
      </c>
      <c r="C490" s="1" t="n">
        <v>45929</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61577-2023</t>
        </is>
      </c>
      <c r="B491" s="1" t="n">
        <v>45265.47366898148</v>
      </c>
      <c r="C491" s="1" t="n">
        <v>45929</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1735-2025</t>
        </is>
      </c>
      <c r="B492" s="1" t="n">
        <v>45671.38594907407</v>
      </c>
      <c r="C492" s="1" t="n">
        <v>45929</v>
      </c>
      <c r="D492" t="inlineStr">
        <is>
          <t>VÄSTERNORRLANDS LÄN</t>
        </is>
      </c>
      <c r="E492" t="inlineStr">
        <is>
          <t>ÅNGE</t>
        </is>
      </c>
      <c r="G492" t="n">
        <v>0.6</v>
      </c>
      <c r="H492" t="n">
        <v>0</v>
      </c>
      <c r="I492" t="n">
        <v>0</v>
      </c>
      <c r="J492" t="n">
        <v>0</v>
      </c>
      <c r="K492" t="n">
        <v>0</v>
      </c>
      <c r="L492" t="n">
        <v>0</v>
      </c>
      <c r="M492" t="n">
        <v>0</v>
      </c>
      <c r="N492" t="n">
        <v>0</v>
      </c>
      <c r="O492" t="n">
        <v>0</v>
      </c>
      <c r="P492" t="n">
        <v>0</v>
      </c>
      <c r="Q492" t="n">
        <v>0</v>
      </c>
      <c r="R492" s="2" t="inlineStr"/>
    </row>
    <row r="493" ht="15" customHeight="1">
      <c r="A493" t="inlineStr">
        <is>
          <t>A 1420-2023</t>
        </is>
      </c>
      <c r="B493" s="1" t="n">
        <v>44936.92762731481</v>
      </c>
      <c r="C493" s="1" t="n">
        <v>45929</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35690-2025</t>
        </is>
      </c>
      <c r="B494" s="1" t="n">
        <v>45860.34421296296</v>
      </c>
      <c r="C494" s="1" t="n">
        <v>45929</v>
      </c>
      <c r="D494" t="inlineStr">
        <is>
          <t>VÄSTERNORRLANDS LÄN</t>
        </is>
      </c>
      <c r="E494" t="inlineStr">
        <is>
          <t>ÅNGE</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45939-2023</t>
        </is>
      </c>
      <c r="B495" s="1" t="n">
        <v>45195.94578703704</v>
      </c>
      <c r="C495" s="1" t="n">
        <v>45929</v>
      </c>
      <c r="D495" t="inlineStr">
        <is>
          <t>VÄSTERNORRLANDS LÄN</t>
        </is>
      </c>
      <c r="E495" t="inlineStr">
        <is>
          <t>ÅNGE</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60205-2023</t>
        </is>
      </c>
      <c r="B496" s="1" t="n">
        <v>45257</v>
      </c>
      <c r="C496" s="1" t="n">
        <v>45929</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48946-2024</t>
        </is>
      </c>
      <c r="B497" s="1" t="n">
        <v>45594.42736111111</v>
      </c>
      <c r="C497" s="1" t="n">
        <v>45929</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35781-2025</t>
        </is>
      </c>
      <c r="B498" s="1" t="n">
        <v>45860.70613425926</v>
      </c>
      <c r="C498" s="1" t="n">
        <v>45929</v>
      </c>
      <c r="D498" t="inlineStr">
        <is>
          <t>VÄSTERNORRLANDS LÄN</t>
        </is>
      </c>
      <c r="E498" t="inlineStr">
        <is>
          <t>ÅNGE</t>
        </is>
      </c>
      <c r="G498" t="n">
        <v>2.2</v>
      </c>
      <c r="H498" t="n">
        <v>0</v>
      </c>
      <c r="I498" t="n">
        <v>0</v>
      </c>
      <c r="J498" t="n">
        <v>0</v>
      </c>
      <c r="K498" t="n">
        <v>0</v>
      </c>
      <c r="L498" t="n">
        <v>0</v>
      </c>
      <c r="M498" t="n">
        <v>0</v>
      </c>
      <c r="N498" t="n">
        <v>0</v>
      </c>
      <c r="O498" t="n">
        <v>0</v>
      </c>
      <c r="P498" t="n">
        <v>0</v>
      </c>
      <c r="Q498" t="n">
        <v>0</v>
      </c>
      <c r="R498" s="2" t="inlineStr"/>
    </row>
    <row r="499" ht="15" customHeight="1">
      <c r="A499" t="inlineStr">
        <is>
          <t>A 61585-2022</t>
        </is>
      </c>
      <c r="B499" s="1" t="n">
        <v>44916.63380787037</v>
      </c>
      <c r="C499" s="1" t="n">
        <v>45929</v>
      </c>
      <c r="D499" t="inlineStr">
        <is>
          <t>VÄSTERNORRLANDS LÄN</t>
        </is>
      </c>
      <c r="E499" t="inlineStr">
        <is>
          <t>ÅNGE</t>
        </is>
      </c>
      <c r="G499" t="n">
        <v>1</v>
      </c>
      <c r="H499" t="n">
        <v>0</v>
      </c>
      <c r="I499" t="n">
        <v>0</v>
      </c>
      <c r="J499" t="n">
        <v>0</v>
      </c>
      <c r="K499" t="n">
        <v>0</v>
      </c>
      <c r="L499" t="n">
        <v>0</v>
      </c>
      <c r="M499" t="n">
        <v>0</v>
      </c>
      <c r="N499" t="n">
        <v>0</v>
      </c>
      <c r="O499" t="n">
        <v>0</v>
      </c>
      <c r="P499" t="n">
        <v>0</v>
      </c>
      <c r="Q499" t="n">
        <v>0</v>
      </c>
      <c r="R499" s="2" t="inlineStr"/>
    </row>
    <row r="500" ht="15" customHeight="1">
      <c r="A500" t="inlineStr">
        <is>
          <t>A 22988-2024</t>
        </is>
      </c>
      <c r="B500" s="1" t="n">
        <v>45449.94530092592</v>
      </c>
      <c r="C500" s="1" t="n">
        <v>45929</v>
      </c>
      <c r="D500" t="inlineStr">
        <is>
          <t>VÄSTERNORRLANDS LÄN</t>
        </is>
      </c>
      <c r="E500" t="inlineStr">
        <is>
          <t>ÅNGE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3574-2025</t>
        </is>
      </c>
      <c r="B501" s="1" t="n">
        <v>45680.71916666667</v>
      </c>
      <c r="C501" s="1" t="n">
        <v>45929</v>
      </c>
      <c r="D501" t="inlineStr">
        <is>
          <t>VÄSTERNORRLANDS LÄN</t>
        </is>
      </c>
      <c r="E501" t="inlineStr">
        <is>
          <t>ÅNGE</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3023-2023</t>
        </is>
      </c>
      <c r="B502" s="1" t="n">
        <v>44945</v>
      </c>
      <c r="C502" s="1" t="n">
        <v>45929</v>
      </c>
      <c r="D502" t="inlineStr">
        <is>
          <t>VÄSTERNORRLANDS LÄN</t>
        </is>
      </c>
      <c r="E502" t="inlineStr">
        <is>
          <t>ÅNGE</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3025-2023</t>
        </is>
      </c>
      <c r="B503" s="1" t="n">
        <v>44945</v>
      </c>
      <c r="C503" s="1" t="n">
        <v>45929</v>
      </c>
      <c r="D503" t="inlineStr">
        <is>
          <t>VÄSTERNORRLANDS LÄN</t>
        </is>
      </c>
      <c r="E503" t="inlineStr">
        <is>
          <t>ÅNGE</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33631-2024</t>
        </is>
      </c>
      <c r="B504" s="1" t="n">
        <v>45520</v>
      </c>
      <c r="C504" s="1" t="n">
        <v>45929</v>
      </c>
      <c r="D504" t="inlineStr">
        <is>
          <t>VÄSTERNORRLANDS LÄN</t>
        </is>
      </c>
      <c r="E504" t="inlineStr">
        <is>
          <t>ÅNGE</t>
        </is>
      </c>
      <c r="G504" t="n">
        <v>1.7</v>
      </c>
      <c r="H504" t="n">
        <v>0</v>
      </c>
      <c r="I504" t="n">
        <v>0</v>
      </c>
      <c r="J504" t="n">
        <v>0</v>
      </c>
      <c r="K504" t="n">
        <v>0</v>
      </c>
      <c r="L504" t="n">
        <v>0</v>
      </c>
      <c r="M504" t="n">
        <v>0</v>
      </c>
      <c r="N504" t="n">
        <v>0</v>
      </c>
      <c r="O504" t="n">
        <v>0</v>
      </c>
      <c r="P504" t="n">
        <v>0</v>
      </c>
      <c r="Q504" t="n">
        <v>0</v>
      </c>
      <c r="R504" s="2" t="inlineStr"/>
    </row>
    <row r="505" ht="15" customHeight="1">
      <c r="A505" t="inlineStr">
        <is>
          <t>A 29048-2021</t>
        </is>
      </c>
      <c r="B505" s="1" t="n">
        <v>44358</v>
      </c>
      <c r="C505" s="1" t="n">
        <v>45929</v>
      </c>
      <c r="D505" t="inlineStr">
        <is>
          <t>VÄSTERNORRLANDS LÄN</t>
        </is>
      </c>
      <c r="E505" t="inlineStr">
        <is>
          <t>ÅNGE</t>
        </is>
      </c>
      <c r="G505" t="n">
        <v>2.5</v>
      </c>
      <c r="H505" t="n">
        <v>0</v>
      </c>
      <c r="I505" t="n">
        <v>0</v>
      </c>
      <c r="J505" t="n">
        <v>0</v>
      </c>
      <c r="K505" t="n">
        <v>0</v>
      </c>
      <c r="L505" t="n">
        <v>0</v>
      </c>
      <c r="M505" t="n">
        <v>0</v>
      </c>
      <c r="N505" t="n">
        <v>0</v>
      </c>
      <c r="O505" t="n">
        <v>0</v>
      </c>
      <c r="P505" t="n">
        <v>0</v>
      </c>
      <c r="Q505" t="n">
        <v>0</v>
      </c>
      <c r="R505" s="2" t="inlineStr"/>
    </row>
    <row r="506" ht="15" customHeight="1">
      <c r="A506" t="inlineStr">
        <is>
          <t>A 38002-2024</t>
        </is>
      </c>
      <c r="B506" s="1" t="n">
        <v>45544.61484953704</v>
      </c>
      <c r="C506" s="1" t="n">
        <v>45929</v>
      </c>
      <c r="D506" t="inlineStr">
        <is>
          <t>VÄSTERNORRLANDS LÄN</t>
        </is>
      </c>
      <c r="E506" t="inlineStr">
        <is>
          <t>ÅNGE</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35766-2025</t>
        </is>
      </c>
      <c r="B507" s="1" t="n">
        <v>45860.63077546296</v>
      </c>
      <c r="C507" s="1" t="n">
        <v>45929</v>
      </c>
      <c r="D507" t="inlineStr">
        <is>
          <t>VÄSTERNORRLANDS LÄN</t>
        </is>
      </c>
      <c r="E507" t="inlineStr">
        <is>
          <t>ÅNGE</t>
        </is>
      </c>
      <c r="G507" t="n">
        <v>10.7</v>
      </c>
      <c r="H507" t="n">
        <v>0</v>
      </c>
      <c r="I507" t="n">
        <v>0</v>
      </c>
      <c r="J507" t="n">
        <v>0</v>
      </c>
      <c r="K507" t="n">
        <v>0</v>
      </c>
      <c r="L507" t="n">
        <v>0</v>
      </c>
      <c r="M507" t="n">
        <v>0</v>
      </c>
      <c r="N507" t="n">
        <v>0</v>
      </c>
      <c r="O507" t="n">
        <v>0</v>
      </c>
      <c r="P507" t="n">
        <v>0</v>
      </c>
      <c r="Q507" t="n">
        <v>0</v>
      </c>
      <c r="R507" s="2" t="inlineStr"/>
    </row>
    <row r="508" ht="15" customHeight="1">
      <c r="A508" t="inlineStr">
        <is>
          <t>A 44876-2024</t>
        </is>
      </c>
      <c r="B508" s="1" t="n">
        <v>45575.34474537037</v>
      </c>
      <c r="C508" s="1" t="n">
        <v>45929</v>
      </c>
      <c r="D508" t="inlineStr">
        <is>
          <t>VÄSTERNORRLANDS LÄN</t>
        </is>
      </c>
      <c r="E508" t="inlineStr">
        <is>
          <t>ÅNGE</t>
        </is>
      </c>
      <c r="F508" t="inlineStr">
        <is>
          <t>SCA</t>
        </is>
      </c>
      <c r="G508" t="n">
        <v>12.4</v>
      </c>
      <c r="H508" t="n">
        <v>0</v>
      </c>
      <c r="I508" t="n">
        <v>0</v>
      </c>
      <c r="J508" t="n">
        <v>0</v>
      </c>
      <c r="K508" t="n">
        <v>0</v>
      </c>
      <c r="L508" t="n">
        <v>0</v>
      </c>
      <c r="M508" t="n">
        <v>0</v>
      </c>
      <c r="N508" t="n">
        <v>0</v>
      </c>
      <c r="O508" t="n">
        <v>0</v>
      </c>
      <c r="P508" t="n">
        <v>0</v>
      </c>
      <c r="Q508" t="n">
        <v>0</v>
      </c>
      <c r="R508" s="2" t="inlineStr"/>
    </row>
    <row r="509" ht="15" customHeight="1">
      <c r="A509" t="inlineStr">
        <is>
          <t>A 41355-2025</t>
        </is>
      </c>
      <c r="B509" s="1" t="n">
        <v>45900.34425925926</v>
      </c>
      <c r="C509" s="1" t="n">
        <v>45929</v>
      </c>
      <c r="D509" t="inlineStr">
        <is>
          <t>VÄSTERNORRLANDS LÄN</t>
        </is>
      </c>
      <c r="E509" t="inlineStr">
        <is>
          <t>ÅNGE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31568-2024</t>
        </is>
      </c>
      <c r="B510" s="1" t="n">
        <v>45505.96721064814</v>
      </c>
      <c r="C510" s="1" t="n">
        <v>45929</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44565-2024</t>
        </is>
      </c>
      <c r="B511" s="1" t="n">
        <v>45574.47518518518</v>
      </c>
      <c r="C511" s="1" t="n">
        <v>45929</v>
      </c>
      <c r="D511" t="inlineStr">
        <is>
          <t>VÄSTERNORRLANDS LÄN</t>
        </is>
      </c>
      <c r="E511" t="inlineStr">
        <is>
          <t>ÅNGE</t>
        </is>
      </c>
      <c r="G511" t="n">
        <v>1.8</v>
      </c>
      <c r="H511" t="n">
        <v>0</v>
      </c>
      <c r="I511" t="n">
        <v>0</v>
      </c>
      <c r="J511" t="n">
        <v>0</v>
      </c>
      <c r="K511" t="n">
        <v>0</v>
      </c>
      <c r="L511" t="n">
        <v>0</v>
      </c>
      <c r="M511" t="n">
        <v>0</v>
      </c>
      <c r="N511" t="n">
        <v>0</v>
      </c>
      <c r="O511" t="n">
        <v>0</v>
      </c>
      <c r="P511" t="n">
        <v>0</v>
      </c>
      <c r="Q511" t="n">
        <v>0</v>
      </c>
      <c r="R511" s="2" t="inlineStr"/>
    </row>
    <row r="512" ht="15" customHeight="1">
      <c r="A512" t="inlineStr">
        <is>
          <t>A 19997-2023</t>
        </is>
      </c>
      <c r="B512" s="1" t="n">
        <v>45054</v>
      </c>
      <c r="C512" s="1" t="n">
        <v>45929</v>
      </c>
      <c r="D512" t="inlineStr">
        <is>
          <t>VÄSTERNORRLANDS LÄN</t>
        </is>
      </c>
      <c r="E512" t="inlineStr">
        <is>
          <t>ÅNGE</t>
        </is>
      </c>
      <c r="G512" t="n">
        <v>0.3</v>
      </c>
      <c r="H512" t="n">
        <v>0</v>
      </c>
      <c r="I512" t="n">
        <v>0</v>
      </c>
      <c r="J512" t="n">
        <v>0</v>
      </c>
      <c r="K512" t="n">
        <v>0</v>
      </c>
      <c r="L512" t="n">
        <v>0</v>
      </c>
      <c r="M512" t="n">
        <v>0</v>
      </c>
      <c r="N512" t="n">
        <v>0</v>
      </c>
      <c r="O512" t="n">
        <v>0</v>
      </c>
      <c r="P512" t="n">
        <v>0</v>
      </c>
      <c r="Q512" t="n">
        <v>0</v>
      </c>
      <c r="R512" s="2" t="inlineStr"/>
    </row>
    <row r="513" ht="15" customHeight="1">
      <c r="A513" t="inlineStr">
        <is>
          <t>A 3022-2023</t>
        </is>
      </c>
      <c r="B513" s="1" t="n">
        <v>44945</v>
      </c>
      <c r="C513" s="1" t="n">
        <v>45929</v>
      </c>
      <c r="D513" t="inlineStr">
        <is>
          <t>VÄSTERNORRLANDS LÄN</t>
        </is>
      </c>
      <c r="E513" t="inlineStr">
        <is>
          <t>ÅNGE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11088-2024</t>
        </is>
      </c>
      <c r="B514" s="1" t="n">
        <v>45370</v>
      </c>
      <c r="C514" s="1" t="n">
        <v>45929</v>
      </c>
      <c r="D514" t="inlineStr">
        <is>
          <t>VÄSTERNORRLANDS LÄN</t>
        </is>
      </c>
      <c r="E514" t="inlineStr">
        <is>
          <t>ÅNGE</t>
        </is>
      </c>
      <c r="F514" t="inlineStr">
        <is>
          <t>SCA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45929</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34959-2023</t>
        </is>
      </c>
      <c r="B516" s="1" t="n">
        <v>45142</v>
      </c>
      <c r="C516" s="1" t="n">
        <v>45929</v>
      </c>
      <c r="D516" t="inlineStr">
        <is>
          <t>VÄSTERNORRLANDS LÄN</t>
        </is>
      </c>
      <c r="E516" t="inlineStr">
        <is>
          <t>ÅNGE</t>
        </is>
      </c>
      <c r="F516" t="inlineStr">
        <is>
          <t>Sveaskog</t>
        </is>
      </c>
      <c r="G516" t="n">
        <v>6.6</v>
      </c>
      <c r="H516" t="n">
        <v>0</v>
      </c>
      <c r="I516" t="n">
        <v>0</v>
      </c>
      <c r="J516" t="n">
        <v>0</v>
      </c>
      <c r="K516" t="n">
        <v>0</v>
      </c>
      <c r="L516" t="n">
        <v>0</v>
      </c>
      <c r="M516" t="n">
        <v>0</v>
      </c>
      <c r="N516" t="n">
        <v>0</v>
      </c>
      <c r="O516" t="n">
        <v>0</v>
      </c>
      <c r="P516" t="n">
        <v>0</v>
      </c>
      <c r="Q516" t="n">
        <v>0</v>
      </c>
      <c r="R516" s="2" t="inlineStr"/>
    </row>
    <row r="517" ht="15" customHeight="1">
      <c r="A517" t="inlineStr">
        <is>
          <t>A 26012-2024</t>
        </is>
      </c>
      <c r="B517" s="1" t="n">
        <v>45467</v>
      </c>
      <c r="C517" s="1" t="n">
        <v>45929</v>
      </c>
      <c r="D517" t="inlineStr">
        <is>
          <t>VÄSTERNORRLANDS LÄN</t>
        </is>
      </c>
      <c r="E517" t="inlineStr">
        <is>
          <t>ÅNGE</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39021-2024</t>
        </is>
      </c>
      <c r="B518" s="1" t="n">
        <v>45548</v>
      </c>
      <c r="C518" s="1" t="n">
        <v>45929</v>
      </c>
      <c r="D518" t="inlineStr">
        <is>
          <t>VÄSTERNORRLANDS LÄN</t>
        </is>
      </c>
      <c r="E518" t="inlineStr">
        <is>
          <t>ÅNGE</t>
        </is>
      </c>
      <c r="G518" t="n">
        <v>2.5</v>
      </c>
      <c r="H518" t="n">
        <v>0</v>
      </c>
      <c r="I518" t="n">
        <v>0</v>
      </c>
      <c r="J518" t="n">
        <v>0</v>
      </c>
      <c r="K518" t="n">
        <v>0</v>
      </c>
      <c r="L518" t="n">
        <v>0</v>
      </c>
      <c r="M518" t="n">
        <v>0</v>
      </c>
      <c r="N518" t="n">
        <v>0</v>
      </c>
      <c r="O518" t="n">
        <v>0</v>
      </c>
      <c r="P518" t="n">
        <v>0</v>
      </c>
      <c r="Q518" t="n">
        <v>0</v>
      </c>
      <c r="R518" s="2" t="inlineStr"/>
    </row>
    <row r="519" ht="15" customHeight="1">
      <c r="A519" t="inlineStr">
        <is>
          <t>A 54346-2023</t>
        </is>
      </c>
      <c r="B519" s="1" t="n">
        <v>45232.96087962963</v>
      </c>
      <c r="C519" s="1" t="n">
        <v>45929</v>
      </c>
      <c r="D519" t="inlineStr">
        <is>
          <t>VÄSTERNORRLANDS LÄN</t>
        </is>
      </c>
      <c r="E519" t="inlineStr">
        <is>
          <t>ÅNGE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41872-2025</t>
        </is>
      </c>
      <c r="B520" s="1" t="n">
        <v>45903.34497685185</v>
      </c>
      <c r="C520" s="1" t="n">
        <v>45929</v>
      </c>
      <c r="D520" t="inlineStr">
        <is>
          <t>VÄSTERNORRLANDS LÄN</t>
        </is>
      </c>
      <c r="E520" t="inlineStr">
        <is>
          <t>ÅNGE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13875-2022</t>
        </is>
      </c>
      <c r="B521" s="1" t="n">
        <v>44649</v>
      </c>
      <c r="C521" s="1" t="n">
        <v>45929</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52637-2020</t>
        </is>
      </c>
      <c r="B522" s="1" t="n">
        <v>44118</v>
      </c>
      <c r="C522" s="1" t="n">
        <v>45929</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30348-2024</t>
        </is>
      </c>
      <c r="B523" s="1" t="n">
        <v>45490.95524305556</v>
      </c>
      <c r="C523" s="1" t="n">
        <v>45929</v>
      </c>
      <c r="D523" t="inlineStr">
        <is>
          <t>VÄSTERNORRLANDS LÄN</t>
        </is>
      </c>
      <c r="E523" t="inlineStr">
        <is>
          <t>ÅNGE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31457-2024</t>
        </is>
      </c>
      <c r="B524" s="1" t="n">
        <v>45505</v>
      </c>
      <c r="C524" s="1" t="n">
        <v>45929</v>
      </c>
      <c r="D524" t="inlineStr">
        <is>
          <t>VÄSTERNORRLANDS LÄN</t>
        </is>
      </c>
      <c r="E524" t="inlineStr">
        <is>
          <t>ÅNGE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35392-2024</t>
        </is>
      </c>
      <c r="B525" s="1" t="n">
        <v>45531.4025462963</v>
      </c>
      <c r="C525" s="1" t="n">
        <v>45929</v>
      </c>
      <c r="D525" t="inlineStr">
        <is>
          <t>VÄSTERNORRLANDS LÄN</t>
        </is>
      </c>
      <c r="E525" t="inlineStr">
        <is>
          <t>ÅNGE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35826-2025</t>
        </is>
      </c>
      <c r="B526" s="1" t="n">
        <v>45861.48997685185</v>
      </c>
      <c r="C526" s="1" t="n">
        <v>45929</v>
      </c>
      <c r="D526" t="inlineStr">
        <is>
          <t>VÄSTERNORRLANDS LÄN</t>
        </is>
      </c>
      <c r="E526" t="inlineStr">
        <is>
          <t>ÅNGE</t>
        </is>
      </c>
      <c r="G526" t="n">
        <v>2.5</v>
      </c>
      <c r="H526" t="n">
        <v>0</v>
      </c>
      <c r="I526" t="n">
        <v>0</v>
      </c>
      <c r="J526" t="n">
        <v>0</v>
      </c>
      <c r="K526" t="n">
        <v>0</v>
      </c>
      <c r="L526" t="n">
        <v>0</v>
      </c>
      <c r="M526" t="n">
        <v>0</v>
      </c>
      <c r="N526" t="n">
        <v>0</v>
      </c>
      <c r="O526" t="n">
        <v>0</v>
      </c>
      <c r="P526" t="n">
        <v>0</v>
      </c>
      <c r="Q526" t="n">
        <v>0</v>
      </c>
      <c r="R526" s="2" t="inlineStr"/>
    </row>
    <row r="527" ht="15" customHeight="1">
      <c r="A527" t="inlineStr">
        <is>
          <t>A 35838-2025</t>
        </is>
      </c>
      <c r="B527" s="1" t="n">
        <v>45861.53829861111</v>
      </c>
      <c r="C527" s="1" t="n">
        <v>45929</v>
      </c>
      <c r="D527" t="inlineStr">
        <is>
          <t>VÄSTERNORRLANDS LÄN</t>
        </is>
      </c>
      <c r="E527" t="inlineStr">
        <is>
          <t>ÅNGE</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55328-2023</t>
        </is>
      </c>
      <c r="B528" s="1" t="n">
        <v>45237</v>
      </c>
      <c r="C528" s="1" t="n">
        <v>45929</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45929</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45929</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4876-2023</t>
        </is>
      </c>
      <c r="B531" s="1" t="n">
        <v>44957.94023148148</v>
      </c>
      <c r="C531" s="1" t="n">
        <v>45929</v>
      </c>
      <c r="D531" t="inlineStr">
        <is>
          <t>VÄSTERNORRLANDS LÄN</t>
        </is>
      </c>
      <c r="E531" t="inlineStr">
        <is>
          <t>ÅNGE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3362-2023</t>
        </is>
      </c>
      <c r="B532" s="1" t="n">
        <v>44945</v>
      </c>
      <c r="C532" s="1" t="n">
        <v>45929</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41870-2025</t>
        </is>
      </c>
      <c r="B533" s="1" t="n">
        <v>45903.3446412037</v>
      </c>
      <c r="C533" s="1" t="n">
        <v>45929</v>
      </c>
      <c r="D533" t="inlineStr">
        <is>
          <t>VÄSTERNORRLANDS LÄN</t>
        </is>
      </c>
      <c r="E533" t="inlineStr">
        <is>
          <t>ÅNGE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44415-2021</t>
        </is>
      </c>
      <c r="B534" s="1" t="n">
        <v>44435</v>
      </c>
      <c r="C534" s="1" t="n">
        <v>45929</v>
      </c>
      <c r="D534" t="inlineStr">
        <is>
          <t>VÄSTERNORRLANDS LÄN</t>
        </is>
      </c>
      <c r="E534" t="inlineStr">
        <is>
          <t>ÅNGE</t>
        </is>
      </c>
      <c r="G534" t="n">
        <v>5.2</v>
      </c>
      <c r="H534" t="n">
        <v>0</v>
      </c>
      <c r="I534" t="n">
        <v>0</v>
      </c>
      <c r="J534" t="n">
        <v>0</v>
      </c>
      <c r="K534" t="n">
        <v>0</v>
      </c>
      <c r="L534" t="n">
        <v>0</v>
      </c>
      <c r="M534" t="n">
        <v>0</v>
      </c>
      <c r="N534" t="n">
        <v>0</v>
      </c>
      <c r="O534" t="n">
        <v>0</v>
      </c>
      <c r="P534" t="n">
        <v>0</v>
      </c>
      <c r="Q534" t="n">
        <v>0</v>
      </c>
      <c r="R534" s="2" t="inlineStr"/>
    </row>
    <row r="535" ht="15" customHeight="1">
      <c r="A535" t="inlineStr">
        <is>
          <t>A 35827-2025</t>
        </is>
      </c>
      <c r="B535" s="1" t="n">
        <v>45861.49017361111</v>
      </c>
      <c r="C535" s="1" t="n">
        <v>45929</v>
      </c>
      <c r="D535" t="inlineStr">
        <is>
          <t>VÄSTERNORRLANDS LÄN</t>
        </is>
      </c>
      <c r="E535" t="inlineStr">
        <is>
          <t>ÅNGE</t>
        </is>
      </c>
      <c r="G535" t="n">
        <v>0.6</v>
      </c>
      <c r="H535" t="n">
        <v>0</v>
      </c>
      <c r="I535" t="n">
        <v>0</v>
      </c>
      <c r="J535" t="n">
        <v>0</v>
      </c>
      <c r="K535" t="n">
        <v>0</v>
      </c>
      <c r="L535" t="n">
        <v>0</v>
      </c>
      <c r="M535" t="n">
        <v>0</v>
      </c>
      <c r="N535" t="n">
        <v>0</v>
      </c>
      <c r="O535" t="n">
        <v>0</v>
      </c>
      <c r="P535" t="n">
        <v>0</v>
      </c>
      <c r="Q535" t="n">
        <v>0</v>
      </c>
      <c r="R535" s="2" t="inlineStr"/>
    </row>
    <row r="536" ht="15" customHeight="1">
      <c r="A536" t="inlineStr">
        <is>
          <t>A 11531-2023</t>
        </is>
      </c>
      <c r="B536" s="1" t="n">
        <v>44993.77038194444</v>
      </c>
      <c r="C536" s="1" t="n">
        <v>45929</v>
      </c>
      <c r="D536" t="inlineStr">
        <is>
          <t>VÄSTERNORRLANDS LÄN</t>
        </is>
      </c>
      <c r="E536" t="inlineStr">
        <is>
          <t>ÅNGE</t>
        </is>
      </c>
      <c r="G536" t="n">
        <v>0.5</v>
      </c>
      <c r="H536" t="n">
        <v>0</v>
      </c>
      <c r="I536" t="n">
        <v>0</v>
      </c>
      <c r="J536" t="n">
        <v>0</v>
      </c>
      <c r="K536" t="n">
        <v>0</v>
      </c>
      <c r="L536" t="n">
        <v>0</v>
      </c>
      <c r="M536" t="n">
        <v>0</v>
      </c>
      <c r="N536" t="n">
        <v>0</v>
      </c>
      <c r="O536" t="n">
        <v>0</v>
      </c>
      <c r="P536" t="n">
        <v>0</v>
      </c>
      <c r="Q536" t="n">
        <v>0</v>
      </c>
      <c r="R536" s="2" t="inlineStr"/>
    </row>
    <row r="537" ht="15" customHeight="1">
      <c r="A537" t="inlineStr">
        <is>
          <t>A 11532-2023</t>
        </is>
      </c>
      <c r="B537" s="1" t="n">
        <v>44993.77212962963</v>
      </c>
      <c r="C537" s="1" t="n">
        <v>45929</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41355-2024</t>
        </is>
      </c>
      <c r="B538" s="1" t="n">
        <v>45559.69833333333</v>
      </c>
      <c r="C538" s="1" t="n">
        <v>45929</v>
      </c>
      <c r="D538" t="inlineStr">
        <is>
          <t>VÄSTERNORRLANDS LÄN</t>
        </is>
      </c>
      <c r="E538" t="inlineStr">
        <is>
          <t>ÅNGE</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30683-2024</t>
        </is>
      </c>
      <c r="B539" s="1" t="n">
        <v>45495</v>
      </c>
      <c r="C539" s="1" t="n">
        <v>45929</v>
      </c>
      <c r="D539" t="inlineStr">
        <is>
          <t>VÄSTERNORRLANDS LÄN</t>
        </is>
      </c>
      <c r="E539" t="inlineStr">
        <is>
          <t>ÅNGE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42880-2025</t>
        </is>
      </c>
      <c r="B540" s="1" t="n">
        <v>45908.63599537037</v>
      </c>
      <c r="C540" s="1" t="n">
        <v>45929</v>
      </c>
      <c r="D540" t="inlineStr">
        <is>
          <t>VÄSTERNORRLANDS LÄN</t>
        </is>
      </c>
      <c r="E540" t="inlineStr">
        <is>
          <t>ÅNGE</t>
        </is>
      </c>
      <c r="G540" t="n">
        <v>4.3</v>
      </c>
      <c r="H540" t="n">
        <v>0</v>
      </c>
      <c r="I540" t="n">
        <v>0</v>
      </c>
      <c r="J540" t="n">
        <v>0</v>
      </c>
      <c r="K540" t="n">
        <v>0</v>
      </c>
      <c r="L540" t="n">
        <v>0</v>
      </c>
      <c r="M540" t="n">
        <v>0</v>
      </c>
      <c r="N540" t="n">
        <v>0</v>
      </c>
      <c r="O540" t="n">
        <v>0</v>
      </c>
      <c r="P540" t="n">
        <v>0</v>
      </c>
      <c r="Q540" t="n">
        <v>0</v>
      </c>
      <c r="R540" s="2" t="inlineStr"/>
    </row>
    <row r="541" ht="15" customHeight="1">
      <c r="A541" t="inlineStr">
        <is>
          <t>A 42889-2025</t>
        </is>
      </c>
      <c r="B541" s="1" t="n">
        <v>45908.65546296296</v>
      </c>
      <c r="C541" s="1" t="n">
        <v>45929</v>
      </c>
      <c r="D541" t="inlineStr">
        <is>
          <t>VÄSTERNORRLANDS LÄN</t>
        </is>
      </c>
      <c r="E541" t="inlineStr">
        <is>
          <t>ÅNGE</t>
        </is>
      </c>
      <c r="G541" t="n">
        <v>11.9</v>
      </c>
      <c r="H541" t="n">
        <v>0</v>
      </c>
      <c r="I541" t="n">
        <v>0</v>
      </c>
      <c r="J541" t="n">
        <v>0</v>
      </c>
      <c r="K541" t="n">
        <v>0</v>
      </c>
      <c r="L541" t="n">
        <v>0</v>
      </c>
      <c r="M541" t="n">
        <v>0</v>
      </c>
      <c r="N541" t="n">
        <v>0</v>
      </c>
      <c r="O541" t="n">
        <v>0</v>
      </c>
      <c r="P541" t="n">
        <v>0</v>
      </c>
      <c r="Q541" t="n">
        <v>0</v>
      </c>
      <c r="R541" s="2" t="inlineStr"/>
    </row>
    <row r="542" ht="15" customHeight="1">
      <c r="A542" t="inlineStr">
        <is>
          <t>A 24232-2024</t>
        </is>
      </c>
      <c r="B542" s="1" t="n">
        <v>45457.34686342593</v>
      </c>
      <c r="C542" s="1" t="n">
        <v>45929</v>
      </c>
      <c r="D542" t="inlineStr">
        <is>
          <t>VÄSTERNORRLANDS LÄN</t>
        </is>
      </c>
      <c r="E542" t="inlineStr">
        <is>
          <t>ÅNGE</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45631-2021</t>
        </is>
      </c>
      <c r="B543" s="1" t="n">
        <v>44440.98045138889</v>
      </c>
      <c r="C543" s="1" t="n">
        <v>45929</v>
      </c>
      <c r="D543" t="inlineStr">
        <is>
          <t>VÄSTERNORRLANDS LÄN</t>
        </is>
      </c>
      <c r="E543" t="inlineStr">
        <is>
          <t>ÅNGE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57592-2022</t>
        </is>
      </c>
      <c r="B544" s="1" t="n">
        <v>44896.97841435186</v>
      </c>
      <c r="C544" s="1" t="n">
        <v>45929</v>
      </c>
      <c r="D544" t="inlineStr">
        <is>
          <t>VÄSTERNORRLANDS LÄN</t>
        </is>
      </c>
      <c r="E544" t="inlineStr">
        <is>
          <t>ÅNGE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57602-2022</t>
        </is>
      </c>
      <c r="B545" s="1" t="n">
        <v>44896</v>
      </c>
      <c r="C545" s="1" t="n">
        <v>45929</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5455-2023</t>
        </is>
      </c>
      <c r="B546" s="1" t="n">
        <v>44959.93983796296</v>
      </c>
      <c r="C546" s="1" t="n">
        <v>45929</v>
      </c>
      <c r="D546" t="inlineStr">
        <is>
          <t>VÄSTERNORRLANDS LÄN</t>
        </is>
      </c>
      <c r="E546" t="inlineStr">
        <is>
          <t>ÅNGE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20231-2022</t>
        </is>
      </c>
      <c r="B547" s="1" t="n">
        <v>44698</v>
      </c>
      <c r="C547" s="1" t="n">
        <v>45929</v>
      </c>
      <c r="D547" t="inlineStr">
        <is>
          <t>VÄSTERNORRLANDS LÄN</t>
        </is>
      </c>
      <c r="E547" t="inlineStr">
        <is>
          <t>ÅNGE</t>
        </is>
      </c>
      <c r="G547" t="n">
        <v>4.2</v>
      </c>
      <c r="H547" t="n">
        <v>0</v>
      </c>
      <c r="I547" t="n">
        <v>0</v>
      </c>
      <c r="J547" t="n">
        <v>0</v>
      </c>
      <c r="K547" t="n">
        <v>0</v>
      </c>
      <c r="L547" t="n">
        <v>0</v>
      </c>
      <c r="M547" t="n">
        <v>0</v>
      </c>
      <c r="N547" t="n">
        <v>0</v>
      </c>
      <c r="O547" t="n">
        <v>0</v>
      </c>
      <c r="P547" t="n">
        <v>0</v>
      </c>
      <c r="Q547" t="n">
        <v>0</v>
      </c>
      <c r="R547" s="2" t="inlineStr"/>
    </row>
    <row r="548" ht="15" customHeight="1">
      <c r="A548" t="inlineStr">
        <is>
          <t>A 39985-2023</t>
        </is>
      </c>
      <c r="B548" s="1" t="n">
        <v>45168</v>
      </c>
      <c r="C548" s="1" t="n">
        <v>45929</v>
      </c>
      <c r="D548" t="inlineStr">
        <is>
          <t>VÄSTERNORRLANDS LÄN</t>
        </is>
      </c>
      <c r="E548" t="inlineStr">
        <is>
          <t>ÅNGE</t>
        </is>
      </c>
      <c r="G548" t="n">
        <v>0.1</v>
      </c>
      <c r="H548" t="n">
        <v>0</v>
      </c>
      <c r="I548" t="n">
        <v>0</v>
      </c>
      <c r="J548" t="n">
        <v>0</v>
      </c>
      <c r="K548" t="n">
        <v>0</v>
      </c>
      <c r="L548" t="n">
        <v>0</v>
      </c>
      <c r="M548" t="n">
        <v>0</v>
      </c>
      <c r="N548" t="n">
        <v>0</v>
      </c>
      <c r="O548" t="n">
        <v>0</v>
      </c>
      <c r="P548" t="n">
        <v>0</v>
      </c>
      <c r="Q548" t="n">
        <v>0</v>
      </c>
      <c r="R548" s="2" t="inlineStr"/>
    </row>
    <row r="549" ht="15" customHeight="1">
      <c r="A549" t="inlineStr">
        <is>
          <t>A 33783-2024</t>
        </is>
      </c>
      <c r="B549" s="1" t="n">
        <v>45520</v>
      </c>
      <c r="C549" s="1" t="n">
        <v>45929</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59986-2021</t>
        </is>
      </c>
      <c r="B550" s="1" t="n">
        <v>44494</v>
      </c>
      <c r="C550" s="1" t="n">
        <v>45929</v>
      </c>
      <c r="D550" t="inlineStr">
        <is>
          <t>VÄSTERNORRLANDS LÄN</t>
        </is>
      </c>
      <c r="E550" t="inlineStr">
        <is>
          <t>ÅNGE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58748-2023</t>
        </is>
      </c>
      <c r="B551" s="1" t="n">
        <v>45251.92936342592</v>
      </c>
      <c r="C551" s="1" t="n">
        <v>45929</v>
      </c>
      <c r="D551" t="inlineStr">
        <is>
          <t>VÄSTERNORRLANDS LÄN</t>
        </is>
      </c>
      <c r="E551" t="inlineStr">
        <is>
          <t>ÅNGE</t>
        </is>
      </c>
      <c r="G551" t="n">
        <v>2.7</v>
      </c>
      <c r="H551" t="n">
        <v>0</v>
      </c>
      <c r="I551" t="n">
        <v>0</v>
      </c>
      <c r="J551" t="n">
        <v>0</v>
      </c>
      <c r="K551" t="n">
        <v>0</v>
      </c>
      <c r="L551" t="n">
        <v>0</v>
      </c>
      <c r="M551" t="n">
        <v>0</v>
      </c>
      <c r="N551" t="n">
        <v>0</v>
      </c>
      <c r="O551" t="n">
        <v>0</v>
      </c>
      <c r="P551" t="n">
        <v>0</v>
      </c>
      <c r="Q551" t="n">
        <v>0</v>
      </c>
      <c r="R551" s="2" t="inlineStr"/>
    </row>
    <row r="552" ht="15" customHeight="1">
      <c r="A552" t="inlineStr">
        <is>
          <t>A 45128-2022</t>
        </is>
      </c>
      <c r="B552" s="1" t="n">
        <v>44844.3146412037</v>
      </c>
      <c r="C552" s="1" t="n">
        <v>45929</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42764-2025</t>
        </is>
      </c>
      <c r="B553" s="1" t="n">
        <v>45908.46943287037</v>
      </c>
      <c r="C553" s="1" t="n">
        <v>45929</v>
      </c>
      <c r="D553" t="inlineStr">
        <is>
          <t>VÄSTERNORRLANDS LÄN</t>
        </is>
      </c>
      <c r="E553" t="inlineStr">
        <is>
          <t>ÅNGE</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42786-2025</t>
        </is>
      </c>
      <c r="B554" s="1" t="n">
        <v>45908.51097222222</v>
      </c>
      <c r="C554" s="1" t="n">
        <v>45929</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26951-2024</t>
        </is>
      </c>
      <c r="B555" s="1" t="n">
        <v>45470.96991898148</v>
      </c>
      <c r="C555" s="1" t="n">
        <v>45929</v>
      </c>
      <c r="D555" t="inlineStr">
        <is>
          <t>VÄSTERNORRLANDS LÄN</t>
        </is>
      </c>
      <c r="E555" t="inlineStr">
        <is>
          <t>ÅNGE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26952-2024</t>
        </is>
      </c>
      <c r="B556" s="1" t="n">
        <v>45470</v>
      </c>
      <c r="C556" s="1" t="n">
        <v>45929</v>
      </c>
      <c r="D556" t="inlineStr">
        <is>
          <t>VÄSTERNORRLANDS LÄN</t>
        </is>
      </c>
      <c r="E556" t="inlineStr">
        <is>
          <t>ÅNGE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27321-2024</t>
        </is>
      </c>
      <c r="B557" s="1" t="n">
        <v>45471</v>
      </c>
      <c r="C557" s="1" t="n">
        <v>45929</v>
      </c>
      <c r="D557" t="inlineStr">
        <is>
          <t>VÄSTERNORRLANDS LÄN</t>
        </is>
      </c>
      <c r="E557" t="inlineStr">
        <is>
          <t>ÅNGE</t>
        </is>
      </c>
      <c r="F557" t="inlineStr">
        <is>
          <t>SCA</t>
        </is>
      </c>
      <c r="G557" t="n">
        <v>14.1</v>
      </c>
      <c r="H557" t="n">
        <v>0</v>
      </c>
      <c r="I557" t="n">
        <v>0</v>
      </c>
      <c r="J557" t="n">
        <v>0</v>
      </c>
      <c r="K557" t="n">
        <v>0</v>
      </c>
      <c r="L557" t="n">
        <v>0</v>
      </c>
      <c r="M557" t="n">
        <v>0</v>
      </c>
      <c r="N557" t="n">
        <v>0</v>
      </c>
      <c r="O557" t="n">
        <v>0</v>
      </c>
      <c r="P557" t="n">
        <v>0</v>
      </c>
      <c r="Q557" t="n">
        <v>0</v>
      </c>
      <c r="R557" s="2" t="inlineStr"/>
    </row>
    <row r="558" ht="15" customHeight="1">
      <c r="A558" t="inlineStr">
        <is>
          <t>A 37382-2021</t>
        </is>
      </c>
      <c r="B558" s="1" t="n">
        <v>44397</v>
      </c>
      <c r="C558" s="1" t="n">
        <v>45929</v>
      </c>
      <c r="D558" t="inlineStr">
        <is>
          <t>VÄSTERNORRLANDS LÄN</t>
        </is>
      </c>
      <c r="E558" t="inlineStr">
        <is>
          <t>ÅNGE</t>
        </is>
      </c>
      <c r="G558" t="n">
        <v>2.4</v>
      </c>
      <c r="H558" t="n">
        <v>0</v>
      </c>
      <c r="I558" t="n">
        <v>0</v>
      </c>
      <c r="J558" t="n">
        <v>0</v>
      </c>
      <c r="K558" t="n">
        <v>0</v>
      </c>
      <c r="L558" t="n">
        <v>0</v>
      </c>
      <c r="M558" t="n">
        <v>0</v>
      </c>
      <c r="N558" t="n">
        <v>0</v>
      </c>
      <c r="O558" t="n">
        <v>0</v>
      </c>
      <c r="P558" t="n">
        <v>0</v>
      </c>
      <c r="Q558" t="n">
        <v>0</v>
      </c>
      <c r="R558" s="2" t="inlineStr"/>
    </row>
    <row r="559" ht="15" customHeight="1">
      <c r="A559" t="inlineStr">
        <is>
          <t>A 27668-2024</t>
        </is>
      </c>
      <c r="B559" s="1" t="n">
        <v>45474.95435185185</v>
      </c>
      <c r="C559" s="1" t="n">
        <v>45929</v>
      </c>
      <c r="D559" t="inlineStr">
        <is>
          <t>VÄSTERNORRLANDS LÄN</t>
        </is>
      </c>
      <c r="E559" t="inlineStr">
        <is>
          <t>ÅNGE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1116-2023</t>
        </is>
      </c>
      <c r="B560" s="1" t="n">
        <v>44929</v>
      </c>
      <c r="C560" s="1" t="n">
        <v>45929</v>
      </c>
      <c r="D560" t="inlineStr">
        <is>
          <t>VÄSTERNORRLANDS LÄN</t>
        </is>
      </c>
      <c r="E560" t="inlineStr">
        <is>
          <t>ÅNGE</t>
        </is>
      </c>
      <c r="G560" t="n">
        <v>17.2</v>
      </c>
      <c r="H560" t="n">
        <v>0</v>
      </c>
      <c r="I560" t="n">
        <v>0</v>
      </c>
      <c r="J560" t="n">
        <v>0</v>
      </c>
      <c r="K560" t="n">
        <v>0</v>
      </c>
      <c r="L560" t="n">
        <v>0</v>
      </c>
      <c r="M560" t="n">
        <v>0</v>
      </c>
      <c r="N560" t="n">
        <v>0</v>
      </c>
      <c r="O560" t="n">
        <v>0</v>
      </c>
      <c r="P560" t="n">
        <v>0</v>
      </c>
      <c r="Q560" t="n">
        <v>0</v>
      </c>
      <c r="R560" s="2" t="inlineStr"/>
    </row>
    <row r="561" ht="15" customHeight="1">
      <c r="A561" t="inlineStr">
        <is>
          <t>A 43552-2023</t>
        </is>
      </c>
      <c r="B561" s="1" t="n">
        <v>45181</v>
      </c>
      <c r="C561" s="1" t="n">
        <v>45929</v>
      </c>
      <c r="D561" t="inlineStr">
        <is>
          <t>VÄSTERNORRLANDS LÄN</t>
        </is>
      </c>
      <c r="E561" t="inlineStr">
        <is>
          <t>ÅNGE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42589-2025</t>
        </is>
      </c>
      <c r="B562" s="1" t="n">
        <v>45905.63585648148</v>
      </c>
      <c r="C562" s="1" t="n">
        <v>45929</v>
      </c>
      <c r="D562" t="inlineStr">
        <is>
          <t>VÄSTERNORRLANDS LÄN</t>
        </is>
      </c>
      <c r="E562" t="inlineStr">
        <is>
          <t>ÅNGE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46775-2024</t>
        </is>
      </c>
      <c r="B563" s="1" t="n">
        <v>45583.49711805556</v>
      </c>
      <c r="C563" s="1" t="n">
        <v>45929</v>
      </c>
      <c r="D563" t="inlineStr">
        <is>
          <t>VÄSTERNORRLANDS LÄN</t>
        </is>
      </c>
      <c r="E563" t="inlineStr">
        <is>
          <t>ÅNGE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46780-2024</t>
        </is>
      </c>
      <c r="B564" s="1" t="n">
        <v>45583.51076388889</v>
      </c>
      <c r="C564" s="1" t="n">
        <v>45929</v>
      </c>
      <c r="D564" t="inlineStr">
        <is>
          <t>VÄSTERNORRLANDS LÄN</t>
        </is>
      </c>
      <c r="E564" t="inlineStr">
        <is>
          <t>ÅNGE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42524-2025</t>
        </is>
      </c>
      <c r="B565" s="1" t="n">
        <v>45905.55262731481</v>
      </c>
      <c r="C565" s="1" t="n">
        <v>45929</v>
      </c>
      <c r="D565" t="inlineStr">
        <is>
          <t>VÄSTERNORRLANDS LÄN</t>
        </is>
      </c>
      <c r="E565" t="inlineStr">
        <is>
          <t>ÅNGE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42730-2025</t>
        </is>
      </c>
      <c r="B566" s="1" t="n">
        <v>45908.40666666667</v>
      </c>
      <c r="C566" s="1" t="n">
        <v>45929</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18880-2024</t>
        </is>
      </c>
      <c r="B567" s="1" t="n">
        <v>45426</v>
      </c>
      <c r="C567" s="1" t="n">
        <v>45929</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42863-2025</t>
        </is>
      </c>
      <c r="B568" s="1" t="n">
        <v>45908.61527777778</v>
      </c>
      <c r="C568" s="1" t="n">
        <v>45929</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55558-2024</t>
        </is>
      </c>
      <c r="B569" s="1" t="n">
        <v>45622.52586805556</v>
      </c>
      <c r="C569" s="1" t="n">
        <v>45929</v>
      </c>
      <c r="D569" t="inlineStr">
        <is>
          <t>VÄSTERNORRLANDS LÄN</t>
        </is>
      </c>
      <c r="E569" t="inlineStr">
        <is>
          <t>ÅNGE</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50235-2021</t>
        </is>
      </c>
      <c r="B570" s="1" t="n">
        <v>44457</v>
      </c>
      <c r="C570" s="1" t="n">
        <v>45929</v>
      </c>
      <c r="D570" t="inlineStr">
        <is>
          <t>VÄSTERNORRLANDS LÄN</t>
        </is>
      </c>
      <c r="E570" t="inlineStr">
        <is>
          <t>ÅNGE</t>
        </is>
      </c>
      <c r="G570" t="n">
        <v>3.8</v>
      </c>
      <c r="H570" t="n">
        <v>0</v>
      </c>
      <c r="I570" t="n">
        <v>0</v>
      </c>
      <c r="J570" t="n">
        <v>0</v>
      </c>
      <c r="K570" t="n">
        <v>0</v>
      </c>
      <c r="L570" t="n">
        <v>0</v>
      </c>
      <c r="M570" t="n">
        <v>0</v>
      </c>
      <c r="N570" t="n">
        <v>0</v>
      </c>
      <c r="O570" t="n">
        <v>0</v>
      </c>
      <c r="P570" t="n">
        <v>0</v>
      </c>
      <c r="Q570" t="n">
        <v>0</v>
      </c>
      <c r="R570" s="2" t="inlineStr"/>
    </row>
    <row r="571" ht="15" customHeight="1">
      <c r="A571" t="inlineStr">
        <is>
          <t>A 47950-2024</t>
        </is>
      </c>
      <c r="B571" s="1" t="n">
        <v>45589.36511574074</v>
      </c>
      <c r="C571" s="1" t="n">
        <v>45929</v>
      </c>
      <c r="D571" t="inlineStr">
        <is>
          <t>VÄSTERNORRLANDS LÄN</t>
        </is>
      </c>
      <c r="E571" t="inlineStr">
        <is>
          <t>ÅNGE</t>
        </is>
      </c>
      <c r="F571" t="inlineStr">
        <is>
          <t>SCA</t>
        </is>
      </c>
      <c r="G571" t="n">
        <v>6</v>
      </c>
      <c r="H571" t="n">
        <v>0</v>
      </c>
      <c r="I571" t="n">
        <v>0</v>
      </c>
      <c r="J571" t="n">
        <v>0</v>
      </c>
      <c r="K571" t="n">
        <v>0</v>
      </c>
      <c r="L571" t="n">
        <v>0</v>
      </c>
      <c r="M571" t="n">
        <v>0</v>
      </c>
      <c r="N571" t="n">
        <v>0</v>
      </c>
      <c r="O571" t="n">
        <v>0</v>
      </c>
      <c r="P571" t="n">
        <v>0</v>
      </c>
      <c r="Q571" t="n">
        <v>0</v>
      </c>
      <c r="R571" s="2" t="inlineStr"/>
    </row>
    <row r="572" ht="15" customHeight="1">
      <c r="A572" t="inlineStr">
        <is>
          <t>A 42715-2025</t>
        </is>
      </c>
      <c r="B572" s="1" t="n">
        <v>45908.3858912037</v>
      </c>
      <c r="C572" s="1" t="n">
        <v>45929</v>
      </c>
      <c r="D572" t="inlineStr">
        <is>
          <t>VÄSTERNORRLANDS LÄN</t>
        </is>
      </c>
      <c r="E572" t="inlineStr">
        <is>
          <t>ÅNGE</t>
        </is>
      </c>
      <c r="G572" t="n">
        <v>2</v>
      </c>
      <c r="H572" t="n">
        <v>0</v>
      </c>
      <c r="I572" t="n">
        <v>0</v>
      </c>
      <c r="J572" t="n">
        <v>0</v>
      </c>
      <c r="K572" t="n">
        <v>0</v>
      </c>
      <c r="L572" t="n">
        <v>0</v>
      </c>
      <c r="M572" t="n">
        <v>0</v>
      </c>
      <c r="N572" t="n">
        <v>0</v>
      </c>
      <c r="O572" t="n">
        <v>0</v>
      </c>
      <c r="P572" t="n">
        <v>0</v>
      </c>
      <c r="Q572" t="n">
        <v>0</v>
      </c>
      <c r="R572" s="2" t="inlineStr"/>
    </row>
    <row r="573" ht="15" customHeight="1">
      <c r="A573" t="inlineStr">
        <is>
          <t>A 42785-2025</t>
        </is>
      </c>
      <c r="B573" s="1" t="n">
        <v>45908.51083333333</v>
      </c>
      <c r="C573" s="1" t="n">
        <v>45929</v>
      </c>
      <c r="D573" t="inlineStr">
        <is>
          <t>VÄSTERNORRLANDS LÄN</t>
        </is>
      </c>
      <c r="E573" t="inlineStr">
        <is>
          <t>ÅNGE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20229-2022</t>
        </is>
      </c>
      <c r="B574" s="1" t="n">
        <v>44698.61150462963</v>
      </c>
      <c r="C574" s="1" t="n">
        <v>45929</v>
      </c>
      <c r="D574" t="inlineStr">
        <is>
          <t>VÄSTERNORRLANDS LÄN</t>
        </is>
      </c>
      <c r="E574" t="inlineStr">
        <is>
          <t>ÅNGE</t>
        </is>
      </c>
      <c r="G574" t="n">
        <v>1.1</v>
      </c>
      <c r="H574" t="n">
        <v>0</v>
      </c>
      <c r="I574" t="n">
        <v>0</v>
      </c>
      <c r="J574" t="n">
        <v>0</v>
      </c>
      <c r="K574" t="n">
        <v>0</v>
      </c>
      <c r="L574" t="n">
        <v>0</v>
      </c>
      <c r="M574" t="n">
        <v>0</v>
      </c>
      <c r="N574" t="n">
        <v>0</v>
      </c>
      <c r="O574" t="n">
        <v>0</v>
      </c>
      <c r="P574" t="n">
        <v>0</v>
      </c>
      <c r="Q574" t="n">
        <v>0</v>
      </c>
      <c r="R574" s="2" t="inlineStr"/>
    </row>
    <row r="575" ht="15" customHeight="1">
      <c r="A575" t="inlineStr">
        <is>
          <t>A 11299-2023</t>
        </is>
      </c>
      <c r="B575" s="1" t="n">
        <v>44993.01074074074</v>
      </c>
      <c r="C575" s="1" t="n">
        <v>45929</v>
      </c>
      <c r="D575" t="inlineStr">
        <is>
          <t>VÄSTERNORRLANDS LÄN</t>
        </is>
      </c>
      <c r="E575" t="inlineStr">
        <is>
          <t>ÅNGE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11309-2023</t>
        </is>
      </c>
      <c r="B576" s="1" t="n">
        <v>44993.0118287037</v>
      </c>
      <c r="C576" s="1" t="n">
        <v>45929</v>
      </c>
      <c r="D576" t="inlineStr">
        <is>
          <t>VÄSTERNORRLANDS LÄN</t>
        </is>
      </c>
      <c r="E576" t="inlineStr">
        <is>
          <t>ÅNGE</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42731-2025</t>
        </is>
      </c>
      <c r="B577" s="1" t="n">
        <v>45908.40686342592</v>
      </c>
      <c r="C577" s="1" t="n">
        <v>45929</v>
      </c>
      <c r="D577" t="inlineStr">
        <is>
          <t>VÄSTERNORRLANDS LÄN</t>
        </is>
      </c>
      <c r="E577" t="inlineStr">
        <is>
          <t>ÅNGE</t>
        </is>
      </c>
      <c r="G577" t="n">
        <v>14.1</v>
      </c>
      <c r="H577" t="n">
        <v>0</v>
      </c>
      <c r="I577" t="n">
        <v>0</v>
      </c>
      <c r="J577" t="n">
        <v>0</v>
      </c>
      <c r="K577" t="n">
        <v>0</v>
      </c>
      <c r="L577" t="n">
        <v>0</v>
      </c>
      <c r="M577" t="n">
        <v>0</v>
      </c>
      <c r="N577" t="n">
        <v>0</v>
      </c>
      <c r="O577" t="n">
        <v>0</v>
      </c>
      <c r="P577" t="n">
        <v>0</v>
      </c>
      <c r="Q577" t="n">
        <v>0</v>
      </c>
      <c r="R577" s="2" t="inlineStr"/>
    </row>
    <row r="578" ht="15" customHeight="1">
      <c r="A578" t="inlineStr">
        <is>
          <t>A 62834-2021</t>
        </is>
      </c>
      <c r="B578" s="1" t="n">
        <v>44503</v>
      </c>
      <c r="C578" s="1" t="n">
        <v>45929</v>
      </c>
      <c r="D578" t="inlineStr">
        <is>
          <t>VÄSTERNORRLANDS LÄN</t>
        </is>
      </c>
      <c r="E578" t="inlineStr">
        <is>
          <t>ÅNGE</t>
        </is>
      </c>
      <c r="F578" t="inlineStr">
        <is>
          <t>Övriga statliga verk och myndigheter</t>
        </is>
      </c>
      <c r="G578" t="n">
        <v>2.6</v>
      </c>
      <c r="H578" t="n">
        <v>0</v>
      </c>
      <c r="I578" t="n">
        <v>0</v>
      </c>
      <c r="J578" t="n">
        <v>0</v>
      </c>
      <c r="K578" t="n">
        <v>0</v>
      </c>
      <c r="L578" t="n">
        <v>0</v>
      </c>
      <c r="M578" t="n">
        <v>0</v>
      </c>
      <c r="N578" t="n">
        <v>0</v>
      </c>
      <c r="O578" t="n">
        <v>0</v>
      </c>
      <c r="P578" t="n">
        <v>0</v>
      </c>
      <c r="Q578" t="n">
        <v>0</v>
      </c>
      <c r="R578" s="2" t="inlineStr"/>
    </row>
    <row r="579" ht="15" customHeight="1">
      <c r="A579" t="inlineStr">
        <is>
          <t>A 10557-2023</t>
        </is>
      </c>
      <c r="B579" s="1" t="n">
        <v>44987</v>
      </c>
      <c r="C579" s="1" t="n">
        <v>45929</v>
      </c>
      <c r="D579" t="inlineStr">
        <is>
          <t>VÄSTERNORRLANDS LÄN</t>
        </is>
      </c>
      <c r="E579" t="inlineStr">
        <is>
          <t>ÅNGE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36205-2025</t>
        </is>
      </c>
      <c r="B580" s="1" t="n">
        <v>45867.44855324074</v>
      </c>
      <c r="C580" s="1" t="n">
        <v>45929</v>
      </c>
      <c r="D580" t="inlineStr">
        <is>
          <t>VÄSTERNORRLANDS LÄN</t>
        </is>
      </c>
      <c r="E580" t="inlineStr">
        <is>
          <t>ÅNGE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43221-2025</t>
        </is>
      </c>
      <c r="B581" s="1" t="n">
        <v>45910.47981481482</v>
      </c>
      <c r="C581" s="1" t="n">
        <v>45929</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8418-2023</t>
        </is>
      </c>
      <c r="B582" s="1" t="n">
        <v>44971</v>
      </c>
      <c r="C582" s="1" t="n">
        <v>45929</v>
      </c>
      <c r="D582" t="inlineStr">
        <is>
          <t>VÄSTERNORRLANDS LÄN</t>
        </is>
      </c>
      <c r="E582" t="inlineStr">
        <is>
          <t>ÅNGE</t>
        </is>
      </c>
      <c r="G582" t="n">
        <v>8.6</v>
      </c>
      <c r="H582" t="n">
        <v>0</v>
      </c>
      <c r="I582" t="n">
        <v>0</v>
      </c>
      <c r="J582" t="n">
        <v>0</v>
      </c>
      <c r="K582" t="n">
        <v>0</v>
      </c>
      <c r="L582" t="n">
        <v>0</v>
      </c>
      <c r="M582" t="n">
        <v>0</v>
      </c>
      <c r="N582" t="n">
        <v>0</v>
      </c>
      <c r="O582" t="n">
        <v>0</v>
      </c>
      <c r="P582" t="n">
        <v>0</v>
      </c>
      <c r="Q582" t="n">
        <v>0</v>
      </c>
      <c r="R582" s="2" t="inlineStr"/>
    </row>
    <row r="583" ht="15" customHeight="1">
      <c r="A583" t="inlineStr">
        <is>
          <t>A 43237-2025</t>
        </is>
      </c>
      <c r="B583" s="1" t="n">
        <v>45910.51670138889</v>
      </c>
      <c r="C583" s="1" t="n">
        <v>45929</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4006-2022</t>
        </is>
      </c>
      <c r="B584" s="1" t="n">
        <v>44587.92019675926</v>
      </c>
      <c r="C584" s="1" t="n">
        <v>45929</v>
      </c>
      <c r="D584" t="inlineStr">
        <is>
          <t>VÄSTERNORRLANDS LÄN</t>
        </is>
      </c>
      <c r="E584" t="inlineStr">
        <is>
          <t>ÅNGE</t>
        </is>
      </c>
      <c r="G584" t="n">
        <v>5</v>
      </c>
      <c r="H584" t="n">
        <v>0</v>
      </c>
      <c r="I584" t="n">
        <v>0</v>
      </c>
      <c r="J584" t="n">
        <v>0</v>
      </c>
      <c r="K584" t="n">
        <v>0</v>
      </c>
      <c r="L584" t="n">
        <v>0</v>
      </c>
      <c r="M584" t="n">
        <v>0</v>
      </c>
      <c r="N584" t="n">
        <v>0</v>
      </c>
      <c r="O584" t="n">
        <v>0</v>
      </c>
      <c r="P584" t="n">
        <v>0</v>
      </c>
      <c r="Q584" t="n">
        <v>0</v>
      </c>
      <c r="R584" s="2" t="inlineStr"/>
    </row>
    <row r="585" ht="15" customHeight="1">
      <c r="A585" t="inlineStr">
        <is>
          <t>A 36240-2025</t>
        </is>
      </c>
      <c r="B585" s="1" t="n">
        <v>45867.55298611111</v>
      </c>
      <c r="C585" s="1" t="n">
        <v>45929</v>
      </c>
      <c r="D585" t="inlineStr">
        <is>
          <t>VÄSTERNORRLANDS LÄN</t>
        </is>
      </c>
      <c r="E585" t="inlineStr">
        <is>
          <t>ÅNGE</t>
        </is>
      </c>
      <c r="G585" t="n">
        <v>0.5</v>
      </c>
      <c r="H585" t="n">
        <v>0</v>
      </c>
      <c r="I585" t="n">
        <v>0</v>
      </c>
      <c r="J585" t="n">
        <v>0</v>
      </c>
      <c r="K585" t="n">
        <v>0</v>
      </c>
      <c r="L585" t="n">
        <v>0</v>
      </c>
      <c r="M585" t="n">
        <v>0</v>
      </c>
      <c r="N585" t="n">
        <v>0</v>
      </c>
      <c r="O585" t="n">
        <v>0</v>
      </c>
      <c r="P585" t="n">
        <v>0</v>
      </c>
      <c r="Q585" t="n">
        <v>0</v>
      </c>
      <c r="R585" s="2" t="inlineStr"/>
    </row>
    <row r="586" ht="15" customHeight="1">
      <c r="A586" t="inlineStr">
        <is>
          <t>A 36210-2025</t>
        </is>
      </c>
      <c r="B586" s="1" t="n">
        <v>45867.46930555555</v>
      </c>
      <c r="C586" s="1" t="n">
        <v>45929</v>
      </c>
      <c r="D586" t="inlineStr">
        <is>
          <t>VÄSTERNORRLANDS LÄN</t>
        </is>
      </c>
      <c r="E586" t="inlineStr">
        <is>
          <t>ÅNGE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36236-2025</t>
        </is>
      </c>
      <c r="B587" s="1" t="n">
        <v>45867.55245370371</v>
      </c>
      <c r="C587" s="1" t="n">
        <v>45929</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43252-2025</t>
        </is>
      </c>
      <c r="B588" s="1" t="n">
        <v>45910.55292824074</v>
      </c>
      <c r="C588" s="1" t="n">
        <v>45929</v>
      </c>
      <c r="D588" t="inlineStr">
        <is>
          <t>VÄSTERNORRLANDS LÄN</t>
        </is>
      </c>
      <c r="E588" t="inlineStr">
        <is>
          <t>ÅNGE</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36248-2025</t>
        </is>
      </c>
      <c r="B589" s="1" t="n">
        <v>45867.57326388889</v>
      </c>
      <c r="C589" s="1" t="n">
        <v>45929</v>
      </c>
      <c r="D589" t="inlineStr">
        <is>
          <t>VÄSTERNORRLANDS LÄN</t>
        </is>
      </c>
      <c r="E589" t="inlineStr">
        <is>
          <t>ÅNGE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63216-2023</t>
        </is>
      </c>
      <c r="B590" s="1" t="n">
        <v>45273.62721064815</v>
      </c>
      <c r="C590" s="1" t="n">
        <v>45929</v>
      </c>
      <c r="D590" t="inlineStr">
        <is>
          <t>VÄSTERNORRLANDS LÄN</t>
        </is>
      </c>
      <c r="E590" t="inlineStr">
        <is>
          <t>ÅNGE</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58639-2023</t>
        </is>
      </c>
      <c r="B591" s="1" t="n">
        <v>45251</v>
      </c>
      <c r="C591" s="1" t="n">
        <v>45929</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36237-2025</t>
        </is>
      </c>
      <c r="B592" s="1" t="n">
        <v>45867.55263888889</v>
      </c>
      <c r="C592" s="1" t="n">
        <v>45929</v>
      </c>
      <c r="D592" t="inlineStr">
        <is>
          <t>VÄSTERNORRLANDS LÄN</t>
        </is>
      </c>
      <c r="E592" t="inlineStr">
        <is>
          <t>ÅNGE</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43265-2025</t>
        </is>
      </c>
      <c r="B593" s="1" t="n">
        <v>45910.57377314815</v>
      </c>
      <c r="C593" s="1" t="n">
        <v>45929</v>
      </c>
      <c r="D593" t="inlineStr">
        <is>
          <t>VÄSTERNORRLANDS LÄN</t>
        </is>
      </c>
      <c r="E593" t="inlineStr">
        <is>
          <t>ÅNGE</t>
        </is>
      </c>
      <c r="F593" t="inlineStr">
        <is>
          <t>SCA</t>
        </is>
      </c>
      <c r="G593" t="n">
        <v>7</v>
      </c>
      <c r="H593" t="n">
        <v>0</v>
      </c>
      <c r="I593" t="n">
        <v>0</v>
      </c>
      <c r="J593" t="n">
        <v>0</v>
      </c>
      <c r="K593" t="n">
        <v>0</v>
      </c>
      <c r="L593" t="n">
        <v>0</v>
      </c>
      <c r="M593" t="n">
        <v>0</v>
      </c>
      <c r="N593" t="n">
        <v>0</v>
      </c>
      <c r="O593" t="n">
        <v>0</v>
      </c>
      <c r="P593" t="n">
        <v>0</v>
      </c>
      <c r="Q593" t="n">
        <v>0</v>
      </c>
      <c r="R593" s="2" t="inlineStr"/>
    </row>
    <row r="594" ht="15" customHeight="1">
      <c r="A594" t="inlineStr">
        <is>
          <t>A 55197-2022</t>
        </is>
      </c>
      <c r="B594" s="1" t="n">
        <v>44886.93714120371</v>
      </c>
      <c r="C594" s="1" t="n">
        <v>45929</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36193-2025</t>
        </is>
      </c>
      <c r="B595" s="1" t="n">
        <v>45867.42741898148</v>
      </c>
      <c r="C595" s="1" t="n">
        <v>45929</v>
      </c>
      <c r="D595" t="inlineStr">
        <is>
          <t>VÄSTERNORRLANDS LÄN</t>
        </is>
      </c>
      <c r="E595" t="inlineStr">
        <is>
          <t>ÅNGE</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50186-2021</t>
        </is>
      </c>
      <c r="B596" s="1" t="n">
        <v>44456</v>
      </c>
      <c r="C596" s="1" t="n">
        <v>45929</v>
      </c>
      <c r="D596" t="inlineStr">
        <is>
          <t>VÄSTERNORRLANDS LÄN</t>
        </is>
      </c>
      <c r="E596" t="inlineStr">
        <is>
          <t>ÅNGE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35498-2022</t>
        </is>
      </c>
      <c r="B597" s="1" t="n">
        <v>44798.94810185185</v>
      </c>
      <c r="C597" s="1" t="n">
        <v>45929</v>
      </c>
      <c r="D597" t="inlineStr">
        <is>
          <t>VÄSTERNORRLANDS LÄN</t>
        </is>
      </c>
      <c r="E597" t="inlineStr">
        <is>
          <t>ÅNGE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43091-2025</t>
        </is>
      </c>
      <c r="B598" s="1" t="n">
        <v>45909.62511574074</v>
      </c>
      <c r="C598" s="1" t="n">
        <v>45929</v>
      </c>
      <c r="D598" t="inlineStr">
        <is>
          <t>VÄSTERNORRLANDS LÄN</t>
        </is>
      </c>
      <c r="E598" t="inlineStr">
        <is>
          <t>ÅNGE</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36336-2025</t>
        </is>
      </c>
      <c r="B599" s="1" t="n">
        <v>45868.44751157407</v>
      </c>
      <c r="C599" s="1" t="n">
        <v>45929</v>
      </c>
      <c r="D599" t="inlineStr">
        <is>
          <t>VÄSTERNORRLANDS LÄN</t>
        </is>
      </c>
      <c r="E599" t="inlineStr">
        <is>
          <t>ÅNGE</t>
        </is>
      </c>
      <c r="G599" t="n">
        <v>7.3</v>
      </c>
      <c r="H599" t="n">
        <v>0</v>
      </c>
      <c r="I599" t="n">
        <v>0</v>
      </c>
      <c r="J599" t="n">
        <v>0</v>
      </c>
      <c r="K599" t="n">
        <v>0</v>
      </c>
      <c r="L599" t="n">
        <v>0</v>
      </c>
      <c r="M599" t="n">
        <v>0</v>
      </c>
      <c r="N599" t="n">
        <v>0</v>
      </c>
      <c r="O599" t="n">
        <v>0</v>
      </c>
      <c r="P599" t="n">
        <v>0</v>
      </c>
      <c r="Q599" t="n">
        <v>0</v>
      </c>
      <c r="R599" s="2" t="inlineStr"/>
    </row>
    <row r="600" ht="15" customHeight="1">
      <c r="A600" t="inlineStr">
        <is>
          <t>A 43250-2025</t>
        </is>
      </c>
      <c r="B600" s="1" t="n">
        <v>45910.5525462963</v>
      </c>
      <c r="C600" s="1" t="n">
        <v>45929</v>
      </c>
      <c r="D600" t="inlineStr">
        <is>
          <t>VÄSTERNORRLANDS LÄN</t>
        </is>
      </c>
      <c r="E600" t="inlineStr">
        <is>
          <t>ÅNGE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48725-2024</t>
        </is>
      </c>
      <c r="B601" s="1" t="n">
        <v>45593.55793981482</v>
      </c>
      <c r="C601" s="1" t="n">
        <v>45929</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43077-2025</t>
        </is>
      </c>
      <c r="B602" s="1" t="n">
        <v>45909.6046412037</v>
      </c>
      <c r="C602" s="1" t="n">
        <v>45929</v>
      </c>
      <c r="D602" t="inlineStr">
        <is>
          <t>VÄSTERNORRLANDS LÄN</t>
        </is>
      </c>
      <c r="E602" t="inlineStr">
        <is>
          <t>ÅNGE</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43707-2025</t>
        </is>
      </c>
      <c r="B603" s="1" t="n">
        <v>45912.40668981482</v>
      </c>
      <c r="C603" s="1" t="n">
        <v>45929</v>
      </c>
      <c r="D603" t="inlineStr">
        <is>
          <t>VÄSTERNORRLANDS LÄN</t>
        </is>
      </c>
      <c r="E603" t="inlineStr">
        <is>
          <t>ÅNGE</t>
        </is>
      </c>
      <c r="F603" t="inlineStr">
        <is>
          <t>SCA</t>
        </is>
      </c>
      <c r="G603" t="n">
        <v>12.5</v>
      </c>
      <c r="H603" t="n">
        <v>0</v>
      </c>
      <c r="I603" t="n">
        <v>0</v>
      </c>
      <c r="J603" t="n">
        <v>0</v>
      </c>
      <c r="K603" t="n">
        <v>0</v>
      </c>
      <c r="L603" t="n">
        <v>0</v>
      </c>
      <c r="M603" t="n">
        <v>0</v>
      </c>
      <c r="N603" t="n">
        <v>0</v>
      </c>
      <c r="O603" t="n">
        <v>0</v>
      </c>
      <c r="P603" t="n">
        <v>0</v>
      </c>
      <c r="Q603" t="n">
        <v>0</v>
      </c>
      <c r="R603" s="2" t="inlineStr"/>
      <c r="U603">
        <f>HYPERLINK("https://klasma.github.io/Logging_2260/knärot/A 43707-2025 karta knärot.png", "A 43707-2025")</f>
        <v/>
      </c>
      <c r="V603">
        <f>HYPERLINK("https://klasma.github.io/Logging_2260/klagomål/A 43707-2025 FSC-klagomål.docx", "A 43707-2025")</f>
        <v/>
      </c>
      <c r="W603">
        <f>HYPERLINK("https://klasma.github.io/Logging_2260/klagomålsmail/A 43707-2025 FSC-klagomål mail.docx", "A 43707-2025")</f>
        <v/>
      </c>
      <c r="X603">
        <f>HYPERLINK("https://klasma.github.io/Logging_2260/tillsyn/A 43707-2025 tillsynsbegäran.docx", "A 43707-2025")</f>
        <v/>
      </c>
      <c r="Y603">
        <f>HYPERLINK("https://klasma.github.io/Logging_2260/tillsynsmail/A 43707-2025 tillsynsbegäran mail.docx", "A 43707-2025")</f>
        <v/>
      </c>
    </row>
    <row r="604" ht="15" customHeight="1">
      <c r="A604" t="inlineStr">
        <is>
          <t>A 48988-2021</t>
        </is>
      </c>
      <c r="B604" s="1" t="n">
        <v>44453.43</v>
      </c>
      <c r="C604" s="1" t="n">
        <v>45929</v>
      </c>
      <c r="D604" t="inlineStr">
        <is>
          <t>VÄSTERNORRLANDS LÄN</t>
        </is>
      </c>
      <c r="E604" t="inlineStr">
        <is>
          <t>ÅNGE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1886-2024</t>
        </is>
      </c>
      <c r="B605" s="1" t="n">
        <v>45307.96335648148</v>
      </c>
      <c r="C605" s="1" t="n">
        <v>45929</v>
      </c>
      <c r="D605" t="inlineStr">
        <is>
          <t>VÄSTERNORRLANDS LÄN</t>
        </is>
      </c>
      <c r="E605" t="inlineStr">
        <is>
          <t>ÅNGE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44979-2023</t>
        </is>
      </c>
      <c r="B606" s="1" t="n">
        <v>45190.95752314815</v>
      </c>
      <c r="C606" s="1" t="n">
        <v>45929</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31864-2024</t>
        </is>
      </c>
      <c r="B607" s="1" t="n">
        <v>45509.74791666667</v>
      </c>
      <c r="C607" s="1" t="n">
        <v>45929</v>
      </c>
      <c r="D607" t="inlineStr">
        <is>
          <t>VÄSTERNORRLANDS LÄN</t>
        </is>
      </c>
      <c r="E607" t="inlineStr">
        <is>
          <t>ÅNGE</t>
        </is>
      </c>
      <c r="G607" t="n">
        <v>0.9</v>
      </c>
      <c r="H607" t="n">
        <v>0</v>
      </c>
      <c r="I607" t="n">
        <v>0</v>
      </c>
      <c r="J607" t="n">
        <v>0</v>
      </c>
      <c r="K607" t="n">
        <v>0</v>
      </c>
      <c r="L607" t="n">
        <v>0</v>
      </c>
      <c r="M607" t="n">
        <v>0</v>
      </c>
      <c r="N607" t="n">
        <v>0</v>
      </c>
      <c r="O607" t="n">
        <v>0</v>
      </c>
      <c r="P607" t="n">
        <v>0</v>
      </c>
      <c r="Q607" t="n">
        <v>0</v>
      </c>
      <c r="R607" s="2" t="inlineStr"/>
    </row>
    <row r="608" ht="15" customHeight="1">
      <c r="A608" t="inlineStr">
        <is>
          <t>A 49532-2024</t>
        </is>
      </c>
      <c r="B608" s="1" t="n">
        <v>45596.41797453703</v>
      </c>
      <c r="C608" s="1" t="n">
        <v>45929</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40790-2023</t>
        </is>
      </c>
      <c r="B609" s="1" t="n">
        <v>45170.95814814815</v>
      </c>
      <c r="C609" s="1" t="n">
        <v>45929</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36457-2025</t>
        </is>
      </c>
      <c r="B610" s="1" t="n">
        <v>45869.44842592593</v>
      </c>
      <c r="C610" s="1" t="n">
        <v>45929</v>
      </c>
      <c r="D610" t="inlineStr">
        <is>
          <t>VÄSTERNORRLANDS LÄN</t>
        </is>
      </c>
      <c r="E610" t="inlineStr">
        <is>
          <t>ÅNGE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11310-2023</t>
        </is>
      </c>
      <c r="B611" s="1" t="n">
        <v>44993.01190972222</v>
      </c>
      <c r="C611" s="1" t="n">
        <v>45929</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3347-2024</t>
        </is>
      </c>
      <c r="B612" s="1" t="n">
        <v>45317</v>
      </c>
      <c r="C612" s="1" t="n">
        <v>45929</v>
      </c>
      <c r="D612" t="inlineStr">
        <is>
          <t>VÄSTERNORRLANDS LÄN</t>
        </is>
      </c>
      <c r="E612" t="inlineStr">
        <is>
          <t>ÅNGE</t>
        </is>
      </c>
      <c r="G612" t="n">
        <v>0.5</v>
      </c>
      <c r="H612" t="n">
        <v>0</v>
      </c>
      <c r="I612" t="n">
        <v>0</v>
      </c>
      <c r="J612" t="n">
        <v>0</v>
      </c>
      <c r="K612" t="n">
        <v>0</v>
      </c>
      <c r="L612" t="n">
        <v>0</v>
      </c>
      <c r="M612" t="n">
        <v>0</v>
      </c>
      <c r="N612" t="n">
        <v>0</v>
      </c>
      <c r="O612" t="n">
        <v>0</v>
      </c>
      <c r="P612" t="n">
        <v>0</v>
      </c>
      <c r="Q612" t="n">
        <v>0</v>
      </c>
      <c r="R612" s="2" t="inlineStr"/>
    </row>
    <row r="613" ht="15" customHeight="1">
      <c r="A613" t="inlineStr">
        <is>
          <t>A 1090-2023</t>
        </is>
      </c>
      <c r="B613" s="1" t="n">
        <v>44929</v>
      </c>
      <c r="C613" s="1" t="n">
        <v>45929</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17923-2025</t>
        </is>
      </c>
      <c r="B614" s="1" t="n">
        <v>45759.34415509259</v>
      </c>
      <c r="C614" s="1" t="n">
        <v>45929</v>
      </c>
      <c r="D614" t="inlineStr">
        <is>
          <t>VÄSTERNORRLANDS LÄN</t>
        </is>
      </c>
      <c r="E614" t="inlineStr">
        <is>
          <t>ÅNGE</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43385-2025</t>
        </is>
      </c>
      <c r="B615" s="1" t="n">
        <v>45911.36508101852</v>
      </c>
      <c r="C615" s="1" t="n">
        <v>45929</v>
      </c>
      <c r="D615" t="inlineStr">
        <is>
          <t>VÄSTERNORRLANDS LÄN</t>
        </is>
      </c>
      <c r="E615" t="inlineStr">
        <is>
          <t>ÅNGE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43386-2025</t>
        </is>
      </c>
      <c r="B616" s="1" t="n">
        <v>45911.36520833334</v>
      </c>
      <c r="C616" s="1" t="n">
        <v>45929</v>
      </c>
      <c r="D616" t="inlineStr">
        <is>
          <t>VÄSTERNORRLANDS LÄN</t>
        </is>
      </c>
      <c r="E616" t="inlineStr">
        <is>
          <t>ÅNGE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9382-2025</t>
        </is>
      </c>
      <c r="B617" s="1" t="n">
        <v>45715.34425925926</v>
      </c>
      <c r="C617" s="1" t="n">
        <v>45929</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43389-2025</t>
        </is>
      </c>
      <c r="B618" s="1" t="n">
        <v>45911.36560185185</v>
      </c>
      <c r="C618" s="1" t="n">
        <v>45929</v>
      </c>
      <c r="D618" t="inlineStr">
        <is>
          <t>VÄSTERNORRLANDS LÄN</t>
        </is>
      </c>
      <c r="E618" t="inlineStr">
        <is>
          <t>ÅNGE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43415-2025</t>
        </is>
      </c>
      <c r="B619" s="1" t="n">
        <v>45911.40662037037</v>
      </c>
      <c r="C619" s="1" t="n">
        <v>45929</v>
      </c>
      <c r="D619" t="inlineStr">
        <is>
          <t>VÄSTERNORRLANDS LÄN</t>
        </is>
      </c>
      <c r="E619" t="inlineStr">
        <is>
          <t>ÅNGE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1711-2025</t>
        </is>
      </c>
      <c r="B620" s="1" t="n">
        <v>45671.31184027778</v>
      </c>
      <c r="C620" s="1" t="n">
        <v>45929</v>
      </c>
      <c r="D620" t="inlineStr">
        <is>
          <t>VÄSTERNORRLANDS LÄN</t>
        </is>
      </c>
      <c r="E620" t="inlineStr">
        <is>
          <t>ÅNGE</t>
        </is>
      </c>
      <c r="G620" t="n">
        <v>2.8</v>
      </c>
      <c r="H620" t="n">
        <v>0</v>
      </c>
      <c r="I620" t="n">
        <v>0</v>
      </c>
      <c r="J620" t="n">
        <v>0</v>
      </c>
      <c r="K620" t="n">
        <v>0</v>
      </c>
      <c r="L620" t="n">
        <v>0</v>
      </c>
      <c r="M620" t="n">
        <v>0</v>
      </c>
      <c r="N620" t="n">
        <v>0</v>
      </c>
      <c r="O620" t="n">
        <v>0</v>
      </c>
      <c r="P620" t="n">
        <v>0</v>
      </c>
      <c r="Q620" t="n">
        <v>0</v>
      </c>
      <c r="R620" s="2" t="inlineStr"/>
    </row>
    <row r="621" ht="15" customHeight="1">
      <c r="A621" t="inlineStr">
        <is>
          <t>A 1582-2025</t>
        </is>
      </c>
      <c r="B621" s="1" t="n">
        <v>45670</v>
      </c>
      <c r="C621" s="1" t="n">
        <v>45929</v>
      </c>
      <c r="D621" t="inlineStr">
        <is>
          <t>VÄSTERNORRLANDS LÄN</t>
        </is>
      </c>
      <c r="E621" t="inlineStr">
        <is>
          <t>ÅNGE</t>
        </is>
      </c>
      <c r="G621" t="n">
        <v>7.3</v>
      </c>
      <c r="H621" t="n">
        <v>0</v>
      </c>
      <c r="I621" t="n">
        <v>0</v>
      </c>
      <c r="J621" t="n">
        <v>0</v>
      </c>
      <c r="K621" t="n">
        <v>0</v>
      </c>
      <c r="L621" t="n">
        <v>0</v>
      </c>
      <c r="M621" t="n">
        <v>0</v>
      </c>
      <c r="N621" t="n">
        <v>0</v>
      </c>
      <c r="O621" t="n">
        <v>0</v>
      </c>
      <c r="P621" t="n">
        <v>0</v>
      </c>
      <c r="Q621" t="n">
        <v>0</v>
      </c>
      <c r="R621" s="2" t="inlineStr"/>
      <c r="U621">
        <f>HYPERLINK("https://klasma.github.io/Logging_2260/knärot/A 1582-2025 karta knärot.png", "A 1582-2025")</f>
        <v/>
      </c>
      <c r="V621">
        <f>HYPERLINK("https://klasma.github.io/Logging_2260/klagomål/A 1582-2025 FSC-klagomål.docx", "A 1582-2025")</f>
        <v/>
      </c>
      <c r="W621">
        <f>HYPERLINK("https://klasma.github.io/Logging_2260/klagomålsmail/A 1582-2025 FSC-klagomål mail.docx", "A 1582-2025")</f>
        <v/>
      </c>
      <c r="X621">
        <f>HYPERLINK("https://klasma.github.io/Logging_2260/tillsyn/A 1582-2025 tillsynsbegäran.docx", "A 1582-2025")</f>
        <v/>
      </c>
      <c r="Y621">
        <f>HYPERLINK("https://klasma.github.io/Logging_2260/tillsynsmail/A 1582-2025 tillsynsbegäran mail.docx", "A 1582-2025")</f>
        <v/>
      </c>
    </row>
    <row r="622" ht="15" customHeight="1">
      <c r="A622" t="inlineStr">
        <is>
          <t>A 42043-2024</t>
        </is>
      </c>
      <c r="B622" s="1" t="n">
        <v>45561</v>
      </c>
      <c r="C622" s="1" t="n">
        <v>45929</v>
      </c>
      <c r="D622" t="inlineStr">
        <is>
          <t>VÄSTERNORRLANDS LÄN</t>
        </is>
      </c>
      <c r="E622" t="inlineStr">
        <is>
          <t>ÅNGE</t>
        </is>
      </c>
      <c r="G622" t="n">
        <v>3.1</v>
      </c>
      <c r="H622" t="n">
        <v>0</v>
      </c>
      <c r="I622" t="n">
        <v>0</v>
      </c>
      <c r="J622" t="n">
        <v>0</v>
      </c>
      <c r="K622" t="n">
        <v>0</v>
      </c>
      <c r="L622" t="n">
        <v>0</v>
      </c>
      <c r="M622" t="n">
        <v>0</v>
      </c>
      <c r="N622" t="n">
        <v>0</v>
      </c>
      <c r="O622" t="n">
        <v>0</v>
      </c>
      <c r="P622" t="n">
        <v>0</v>
      </c>
      <c r="Q622" t="n">
        <v>0</v>
      </c>
      <c r="R622" s="2" t="inlineStr"/>
    </row>
    <row r="623" ht="15" customHeight="1">
      <c r="A623" t="inlineStr">
        <is>
          <t>A 42046-2024</t>
        </is>
      </c>
      <c r="B623" s="1" t="n">
        <v>45561.83422453704</v>
      </c>
      <c r="C623" s="1" t="n">
        <v>45929</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43546-2025</t>
        </is>
      </c>
      <c r="B624" s="1" t="n">
        <v>45911.6153125</v>
      </c>
      <c r="C624" s="1" t="n">
        <v>45929</v>
      </c>
      <c r="D624" t="inlineStr">
        <is>
          <t>VÄSTERNORRLANDS LÄN</t>
        </is>
      </c>
      <c r="E624" t="inlineStr">
        <is>
          <t>ÅNGE</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35426-2024</t>
        </is>
      </c>
      <c r="B625" s="1" t="n">
        <v>45531</v>
      </c>
      <c r="C625" s="1" t="n">
        <v>45929</v>
      </c>
      <c r="D625" t="inlineStr">
        <is>
          <t>VÄSTERNORRLANDS LÄN</t>
        </is>
      </c>
      <c r="E625" t="inlineStr">
        <is>
          <t>ÅNGE</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31545-2024</t>
        </is>
      </c>
      <c r="B626" s="1" t="n">
        <v>45505</v>
      </c>
      <c r="C626" s="1" t="n">
        <v>45929</v>
      </c>
      <c r="D626" t="inlineStr">
        <is>
          <t>VÄSTERNORRLANDS LÄN</t>
        </is>
      </c>
      <c r="E626" t="inlineStr">
        <is>
          <t>ÅNGE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53171-2020</t>
        </is>
      </c>
      <c r="B627" s="1" t="n">
        <v>44120</v>
      </c>
      <c r="C627" s="1" t="n">
        <v>45929</v>
      </c>
      <c r="D627" t="inlineStr">
        <is>
          <t>VÄSTERNORRLANDS LÄN</t>
        </is>
      </c>
      <c r="E627" t="inlineStr">
        <is>
          <t>ÅNGE</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27915-2024</t>
        </is>
      </c>
      <c r="B628" s="1" t="n">
        <v>45475</v>
      </c>
      <c r="C628" s="1" t="n">
        <v>45929</v>
      </c>
      <c r="D628" t="inlineStr">
        <is>
          <t>VÄSTERNORRLANDS LÄN</t>
        </is>
      </c>
      <c r="E628" t="inlineStr">
        <is>
          <t>ÅNGE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1964-2022</t>
        </is>
      </c>
      <c r="B629" s="1" t="n">
        <v>44575.5050462963</v>
      </c>
      <c r="C629" s="1" t="n">
        <v>45929</v>
      </c>
      <c r="D629" t="inlineStr">
        <is>
          <t>VÄSTERNORRLANDS LÄN</t>
        </is>
      </c>
      <c r="E629" t="inlineStr">
        <is>
          <t>ÅNGE</t>
        </is>
      </c>
      <c r="G629" t="n">
        <v>1.1</v>
      </c>
      <c r="H629" t="n">
        <v>0</v>
      </c>
      <c r="I629" t="n">
        <v>0</v>
      </c>
      <c r="J629" t="n">
        <v>0</v>
      </c>
      <c r="K629" t="n">
        <v>0</v>
      </c>
      <c r="L629" t="n">
        <v>0</v>
      </c>
      <c r="M629" t="n">
        <v>0</v>
      </c>
      <c r="N629" t="n">
        <v>0</v>
      </c>
      <c r="O629" t="n">
        <v>0</v>
      </c>
      <c r="P629" t="n">
        <v>0</v>
      </c>
      <c r="Q629" t="n">
        <v>0</v>
      </c>
      <c r="R629" s="2" t="inlineStr"/>
    </row>
    <row r="630" ht="15" customHeight="1">
      <c r="A630" t="inlineStr">
        <is>
          <t>A 63522-2021</t>
        </is>
      </c>
      <c r="B630" s="1" t="n">
        <v>44508</v>
      </c>
      <c r="C630" s="1" t="n">
        <v>45929</v>
      </c>
      <c r="D630" t="inlineStr">
        <is>
          <t>VÄSTERNORRLANDS LÄN</t>
        </is>
      </c>
      <c r="E630" t="inlineStr">
        <is>
          <t>ÅNGE</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57287-2022</t>
        </is>
      </c>
      <c r="B631" s="1" t="n">
        <v>44895.95</v>
      </c>
      <c r="C631" s="1" t="n">
        <v>45929</v>
      </c>
      <c r="D631" t="inlineStr">
        <is>
          <t>VÄSTERNORRLANDS LÄN</t>
        </is>
      </c>
      <c r="E631" t="inlineStr">
        <is>
          <t>ÅNGE</t>
        </is>
      </c>
      <c r="F631" t="inlineStr">
        <is>
          <t>SCA</t>
        </is>
      </c>
      <c r="G631" t="n">
        <v>4.8</v>
      </c>
      <c r="H631" t="n">
        <v>0</v>
      </c>
      <c r="I631" t="n">
        <v>0</v>
      </c>
      <c r="J631" t="n">
        <v>0</v>
      </c>
      <c r="K631" t="n">
        <v>0</v>
      </c>
      <c r="L631" t="n">
        <v>0</v>
      </c>
      <c r="M631" t="n">
        <v>0</v>
      </c>
      <c r="N631" t="n">
        <v>0</v>
      </c>
      <c r="O631" t="n">
        <v>0</v>
      </c>
      <c r="P631" t="n">
        <v>0</v>
      </c>
      <c r="Q631" t="n">
        <v>0</v>
      </c>
      <c r="R631" s="2" t="inlineStr"/>
    </row>
    <row r="632" ht="15" customHeight="1">
      <c r="A632" t="inlineStr">
        <is>
          <t>A 57291-2022</t>
        </is>
      </c>
      <c r="B632" s="1" t="n">
        <v>44895</v>
      </c>
      <c r="C632" s="1" t="n">
        <v>45929</v>
      </c>
      <c r="D632" t="inlineStr">
        <is>
          <t>VÄSTERNORRLANDS LÄN</t>
        </is>
      </c>
      <c r="E632" t="inlineStr">
        <is>
          <t>ÅNGE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6680-2024</t>
        </is>
      </c>
      <c r="B633" s="1" t="n">
        <v>45341</v>
      </c>
      <c r="C633" s="1" t="n">
        <v>45929</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6685-2024</t>
        </is>
      </c>
      <c r="B634" s="1" t="n">
        <v>45341</v>
      </c>
      <c r="C634" s="1" t="n">
        <v>45929</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6689-2024</t>
        </is>
      </c>
      <c r="B635" s="1" t="n">
        <v>45341.9259375</v>
      </c>
      <c r="C635" s="1" t="n">
        <v>45929</v>
      </c>
      <c r="D635" t="inlineStr">
        <is>
          <t>VÄSTERNORRLANDS LÄN</t>
        </is>
      </c>
      <c r="E635" t="inlineStr">
        <is>
          <t>ÅNGE</t>
        </is>
      </c>
      <c r="G635" t="n">
        <v>1</v>
      </c>
      <c r="H635" t="n">
        <v>0</v>
      </c>
      <c r="I635" t="n">
        <v>0</v>
      </c>
      <c r="J635" t="n">
        <v>0</v>
      </c>
      <c r="K635" t="n">
        <v>0</v>
      </c>
      <c r="L635" t="n">
        <v>0</v>
      </c>
      <c r="M635" t="n">
        <v>0</v>
      </c>
      <c r="N635" t="n">
        <v>0</v>
      </c>
      <c r="O635" t="n">
        <v>0</v>
      </c>
      <c r="P635" t="n">
        <v>0</v>
      </c>
      <c r="Q635" t="n">
        <v>0</v>
      </c>
      <c r="R635" s="2" t="inlineStr"/>
    </row>
    <row r="636" ht="15" customHeight="1">
      <c r="A636" t="inlineStr">
        <is>
          <t>A 55751-2024</t>
        </is>
      </c>
      <c r="B636" s="1" t="n">
        <v>45623.34409722222</v>
      </c>
      <c r="C636" s="1" t="n">
        <v>45929</v>
      </c>
      <c r="D636" t="inlineStr">
        <is>
          <t>VÄSTERNORRLANDS LÄN</t>
        </is>
      </c>
      <c r="E636" t="inlineStr">
        <is>
          <t>ÅNGE</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35488-2024</t>
        </is>
      </c>
      <c r="B637" s="1" t="n">
        <v>45531</v>
      </c>
      <c r="C637" s="1" t="n">
        <v>45929</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35593-2024</t>
        </is>
      </c>
      <c r="B638" s="1" t="n">
        <v>45531</v>
      </c>
      <c r="C638" s="1" t="n">
        <v>45929</v>
      </c>
      <c r="D638" t="inlineStr">
        <is>
          <t>VÄSTERNORRLANDS LÄN</t>
        </is>
      </c>
      <c r="E638" t="inlineStr">
        <is>
          <t>ÅNGE</t>
        </is>
      </c>
      <c r="G638" t="n">
        <v>17.6</v>
      </c>
      <c r="H638" t="n">
        <v>0</v>
      </c>
      <c r="I638" t="n">
        <v>0</v>
      </c>
      <c r="J638" t="n">
        <v>0</v>
      </c>
      <c r="K638" t="n">
        <v>0</v>
      </c>
      <c r="L638" t="n">
        <v>0</v>
      </c>
      <c r="M638" t="n">
        <v>0</v>
      </c>
      <c r="N638" t="n">
        <v>0</v>
      </c>
      <c r="O638" t="n">
        <v>0</v>
      </c>
      <c r="P638" t="n">
        <v>0</v>
      </c>
      <c r="Q638" t="n">
        <v>0</v>
      </c>
      <c r="R638" s="2" t="inlineStr"/>
    </row>
    <row r="639" ht="15" customHeight="1">
      <c r="A639" t="inlineStr">
        <is>
          <t>A 27468-2024</t>
        </is>
      </c>
      <c r="B639" s="1" t="n">
        <v>45474</v>
      </c>
      <c r="C639" s="1" t="n">
        <v>45929</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54908-2021</t>
        </is>
      </c>
      <c r="B640" s="1" t="n">
        <v>44474.39769675926</v>
      </c>
      <c r="C640" s="1" t="n">
        <v>45929</v>
      </c>
      <c r="D640" t="inlineStr">
        <is>
          <t>VÄSTERNORRLANDS LÄN</t>
        </is>
      </c>
      <c r="E640" t="inlineStr">
        <is>
          <t>ÅNGE</t>
        </is>
      </c>
      <c r="G640" t="n">
        <v>7.8</v>
      </c>
      <c r="H640" t="n">
        <v>0</v>
      </c>
      <c r="I640" t="n">
        <v>0</v>
      </c>
      <c r="J640" t="n">
        <v>0</v>
      </c>
      <c r="K640" t="n">
        <v>0</v>
      </c>
      <c r="L640" t="n">
        <v>0</v>
      </c>
      <c r="M640" t="n">
        <v>0</v>
      </c>
      <c r="N640" t="n">
        <v>0</v>
      </c>
      <c r="O640" t="n">
        <v>0</v>
      </c>
      <c r="P640" t="n">
        <v>0</v>
      </c>
      <c r="Q640" t="n">
        <v>0</v>
      </c>
      <c r="R640" s="2" t="inlineStr"/>
    </row>
    <row r="641" ht="15" customHeight="1">
      <c r="A641" t="inlineStr">
        <is>
          <t>A 27951-2021</t>
        </is>
      </c>
      <c r="B641" s="1" t="n">
        <v>44354</v>
      </c>
      <c r="C641" s="1" t="n">
        <v>45929</v>
      </c>
      <c r="D641" t="inlineStr">
        <is>
          <t>VÄSTERNORRLANDS LÄN</t>
        </is>
      </c>
      <c r="E641" t="inlineStr">
        <is>
          <t>ÅNGE</t>
        </is>
      </c>
      <c r="G641" t="n">
        <v>3</v>
      </c>
      <c r="H641" t="n">
        <v>0</v>
      </c>
      <c r="I641" t="n">
        <v>0</v>
      </c>
      <c r="J641" t="n">
        <v>0</v>
      </c>
      <c r="K641" t="n">
        <v>0</v>
      </c>
      <c r="L641" t="n">
        <v>0</v>
      </c>
      <c r="M641" t="n">
        <v>0</v>
      </c>
      <c r="N641" t="n">
        <v>0</v>
      </c>
      <c r="O641" t="n">
        <v>0</v>
      </c>
      <c r="P641" t="n">
        <v>0</v>
      </c>
      <c r="Q641" t="n">
        <v>0</v>
      </c>
      <c r="R641" s="2" t="inlineStr"/>
    </row>
    <row r="642" ht="15" customHeight="1">
      <c r="A642" t="inlineStr">
        <is>
          <t>A 30055-2024</t>
        </is>
      </c>
      <c r="B642" s="1" t="n">
        <v>45488.94767361111</v>
      </c>
      <c r="C642" s="1" t="n">
        <v>45929</v>
      </c>
      <c r="D642" t="inlineStr">
        <is>
          <t>VÄSTERNORRLANDS LÄN</t>
        </is>
      </c>
      <c r="E642" t="inlineStr">
        <is>
          <t>ÅNGE</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22990-2024</t>
        </is>
      </c>
      <c r="B643" s="1" t="n">
        <v>45449.94548611111</v>
      </c>
      <c r="C643" s="1" t="n">
        <v>45929</v>
      </c>
      <c r="D643" t="inlineStr">
        <is>
          <t>VÄSTERNORRLANDS LÄN</t>
        </is>
      </c>
      <c r="E643" t="inlineStr">
        <is>
          <t>ÅNGE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26011-2024</t>
        </is>
      </c>
      <c r="B644" s="1" t="n">
        <v>45467.95828703704</v>
      </c>
      <c r="C644" s="1" t="n">
        <v>45929</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26014-2024</t>
        </is>
      </c>
      <c r="B645" s="1" t="n">
        <v>45467.95862268518</v>
      </c>
      <c r="C645" s="1" t="n">
        <v>45929</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26019-2024</t>
        </is>
      </c>
      <c r="B646" s="1" t="n">
        <v>45467.96015046296</v>
      </c>
      <c r="C646" s="1" t="n">
        <v>45929</v>
      </c>
      <c r="D646" t="inlineStr">
        <is>
          <t>VÄSTERNORRLANDS LÄN</t>
        </is>
      </c>
      <c r="E646" t="inlineStr">
        <is>
          <t>ÅNGE</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3-2025</t>
        </is>
      </c>
      <c r="B647" s="1" t="n">
        <v>45658.49819444444</v>
      </c>
      <c r="C647" s="1" t="n">
        <v>45929</v>
      </c>
      <c r="D647" t="inlineStr">
        <is>
          <t>VÄSTERNORRLANDS LÄN</t>
        </is>
      </c>
      <c r="E647" t="inlineStr">
        <is>
          <t>ÅNGE</t>
        </is>
      </c>
      <c r="G647" t="n">
        <v>2</v>
      </c>
      <c r="H647" t="n">
        <v>0</v>
      </c>
      <c r="I647" t="n">
        <v>0</v>
      </c>
      <c r="J647" t="n">
        <v>0</v>
      </c>
      <c r="K647" t="n">
        <v>0</v>
      </c>
      <c r="L647" t="n">
        <v>0</v>
      </c>
      <c r="M647" t="n">
        <v>0</v>
      </c>
      <c r="N647" t="n">
        <v>0</v>
      </c>
      <c r="O647" t="n">
        <v>0</v>
      </c>
      <c r="P647" t="n">
        <v>0</v>
      </c>
      <c r="Q647" t="n">
        <v>0</v>
      </c>
      <c r="R647" s="2" t="inlineStr"/>
    </row>
    <row r="648" ht="15" customHeight="1">
      <c r="A648" t="inlineStr">
        <is>
          <t>A 36456-2025</t>
        </is>
      </c>
      <c r="B648" s="1" t="n">
        <v>45869.44827546296</v>
      </c>
      <c r="C648" s="1" t="n">
        <v>45929</v>
      </c>
      <c r="D648" t="inlineStr">
        <is>
          <t>VÄSTERNORRLANDS LÄN</t>
        </is>
      </c>
      <c r="E648" t="inlineStr">
        <is>
          <t>ÅNGE</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36491-2025</t>
        </is>
      </c>
      <c r="B649" s="1" t="n">
        <v>45869.53173611111</v>
      </c>
      <c r="C649" s="1" t="n">
        <v>45929</v>
      </c>
      <c r="D649" t="inlineStr">
        <is>
          <t>VÄSTERNORRLANDS LÄN</t>
        </is>
      </c>
      <c r="E649" t="inlineStr">
        <is>
          <t>ÅNGE</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56232-2024</t>
        </is>
      </c>
      <c r="B650" s="1" t="n">
        <v>45624</v>
      </c>
      <c r="C650" s="1" t="n">
        <v>45929</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44635-2024</t>
        </is>
      </c>
      <c r="B651" s="1" t="n">
        <v>45574.51488425926</v>
      </c>
      <c r="C651" s="1" t="n">
        <v>45929</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39589-2022</t>
        </is>
      </c>
      <c r="B652" s="1" t="n">
        <v>44818</v>
      </c>
      <c r="C652" s="1" t="n">
        <v>45929</v>
      </c>
      <c r="D652" t="inlineStr">
        <is>
          <t>VÄSTERNORRLANDS LÄN</t>
        </is>
      </c>
      <c r="E652" t="inlineStr">
        <is>
          <t>ÅNGE</t>
        </is>
      </c>
      <c r="G652" t="n">
        <v>4.8</v>
      </c>
      <c r="H652" t="n">
        <v>0</v>
      </c>
      <c r="I652" t="n">
        <v>0</v>
      </c>
      <c r="J652" t="n">
        <v>0</v>
      </c>
      <c r="K652" t="n">
        <v>0</v>
      </c>
      <c r="L652" t="n">
        <v>0</v>
      </c>
      <c r="M652" t="n">
        <v>0</v>
      </c>
      <c r="N652" t="n">
        <v>0</v>
      </c>
      <c r="O652" t="n">
        <v>0</v>
      </c>
      <c r="P652" t="n">
        <v>0</v>
      </c>
      <c r="Q652" t="n">
        <v>0</v>
      </c>
      <c r="R652" s="2" t="inlineStr"/>
    </row>
    <row r="653" ht="15" customHeight="1">
      <c r="A653" t="inlineStr">
        <is>
          <t>A 14889-2022</t>
        </is>
      </c>
      <c r="B653" s="1" t="n">
        <v>44656</v>
      </c>
      <c r="C653" s="1" t="n">
        <v>45929</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36873-2025</t>
        </is>
      </c>
      <c r="B654" s="1" t="n">
        <v>45874.42935185185</v>
      </c>
      <c r="C654" s="1" t="n">
        <v>45929</v>
      </c>
      <c r="D654" t="inlineStr">
        <is>
          <t>VÄSTERNORRLANDS LÄN</t>
        </is>
      </c>
      <c r="E654" t="inlineStr">
        <is>
          <t>ÅNGE</t>
        </is>
      </c>
      <c r="F654" t="inlineStr">
        <is>
          <t>SCA</t>
        </is>
      </c>
      <c r="G654" t="n">
        <v>16.9</v>
      </c>
      <c r="H654" t="n">
        <v>0</v>
      </c>
      <c r="I654" t="n">
        <v>0</v>
      </c>
      <c r="J654" t="n">
        <v>0</v>
      </c>
      <c r="K654" t="n">
        <v>0</v>
      </c>
      <c r="L654" t="n">
        <v>0</v>
      </c>
      <c r="M654" t="n">
        <v>0</v>
      </c>
      <c r="N654" t="n">
        <v>0</v>
      </c>
      <c r="O654" t="n">
        <v>0</v>
      </c>
      <c r="P654" t="n">
        <v>0</v>
      </c>
      <c r="Q654" t="n">
        <v>0</v>
      </c>
      <c r="R654" s="2" t="inlineStr"/>
    </row>
    <row r="655" ht="15" customHeight="1">
      <c r="A655" t="inlineStr">
        <is>
          <t>A 16191-2023</t>
        </is>
      </c>
      <c r="B655" s="1" t="n">
        <v>45027.94111111111</v>
      </c>
      <c r="C655" s="1" t="n">
        <v>45929</v>
      </c>
      <c r="D655" t="inlineStr">
        <is>
          <t>VÄSTERNORRLANDS LÄN</t>
        </is>
      </c>
      <c r="E655" t="inlineStr">
        <is>
          <t>ÅNGE</t>
        </is>
      </c>
      <c r="F655" t="inlineStr">
        <is>
          <t>SCA</t>
        </is>
      </c>
      <c r="G655" t="n">
        <v>6.8</v>
      </c>
      <c r="H655" t="n">
        <v>0</v>
      </c>
      <c r="I655" t="n">
        <v>0</v>
      </c>
      <c r="J655" t="n">
        <v>0</v>
      </c>
      <c r="K655" t="n">
        <v>0</v>
      </c>
      <c r="L655" t="n">
        <v>0</v>
      </c>
      <c r="M655" t="n">
        <v>0</v>
      </c>
      <c r="N655" t="n">
        <v>0</v>
      </c>
      <c r="O655" t="n">
        <v>0</v>
      </c>
      <c r="P655" t="n">
        <v>0</v>
      </c>
      <c r="Q655" t="n">
        <v>0</v>
      </c>
      <c r="R655" s="2" t="inlineStr"/>
    </row>
    <row r="656" ht="15" customHeight="1">
      <c r="A656" t="inlineStr">
        <is>
          <t>A 17670-2023</t>
        </is>
      </c>
      <c r="B656" s="1" t="n">
        <v>45036</v>
      </c>
      <c r="C656" s="1" t="n">
        <v>45929</v>
      </c>
      <c r="D656" t="inlineStr">
        <is>
          <t>VÄSTERNORRLANDS LÄN</t>
        </is>
      </c>
      <c r="E656" t="inlineStr">
        <is>
          <t>ÅNGE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51059-2024</t>
        </is>
      </c>
      <c r="B657" s="1" t="n">
        <v>45603</v>
      </c>
      <c r="C657" s="1" t="n">
        <v>45929</v>
      </c>
      <c r="D657" t="inlineStr">
        <is>
          <t>VÄSTERNORRLANDS LÄN</t>
        </is>
      </c>
      <c r="E657" t="inlineStr">
        <is>
          <t>ÅNGE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59412-2024</t>
        </is>
      </c>
      <c r="B658" s="1" t="n">
        <v>45638</v>
      </c>
      <c r="C658" s="1" t="n">
        <v>45929</v>
      </c>
      <c r="D658" t="inlineStr">
        <is>
          <t>VÄSTERNORRLANDS LÄN</t>
        </is>
      </c>
      <c r="E658" t="inlineStr">
        <is>
          <t>ÅNGE</t>
        </is>
      </c>
      <c r="G658" t="n">
        <v>0.6</v>
      </c>
      <c r="H658" t="n">
        <v>0</v>
      </c>
      <c r="I658" t="n">
        <v>0</v>
      </c>
      <c r="J658" t="n">
        <v>0</v>
      </c>
      <c r="K658" t="n">
        <v>0</v>
      </c>
      <c r="L658" t="n">
        <v>0</v>
      </c>
      <c r="M658" t="n">
        <v>0</v>
      </c>
      <c r="N658" t="n">
        <v>0</v>
      </c>
      <c r="O658" t="n">
        <v>0</v>
      </c>
      <c r="P658" t="n">
        <v>0</v>
      </c>
      <c r="Q658" t="n">
        <v>0</v>
      </c>
      <c r="R658" s="2" t="inlineStr"/>
    </row>
    <row r="659" ht="15" customHeight="1">
      <c r="A659" t="inlineStr">
        <is>
          <t>A 44518-2024</t>
        </is>
      </c>
      <c r="B659" s="1" t="n">
        <v>45574.43376157407</v>
      </c>
      <c r="C659" s="1" t="n">
        <v>45929</v>
      </c>
      <c r="D659" t="inlineStr">
        <is>
          <t>VÄSTERNORRLANDS LÄN</t>
        </is>
      </c>
      <c r="E659" t="inlineStr">
        <is>
          <t>ÅNGE</t>
        </is>
      </c>
      <c r="G659" t="n">
        <v>2.6</v>
      </c>
      <c r="H659" t="n">
        <v>0</v>
      </c>
      <c r="I659" t="n">
        <v>0</v>
      </c>
      <c r="J659" t="n">
        <v>0</v>
      </c>
      <c r="K659" t="n">
        <v>0</v>
      </c>
      <c r="L659" t="n">
        <v>0</v>
      </c>
      <c r="M659" t="n">
        <v>0</v>
      </c>
      <c r="N659" t="n">
        <v>0</v>
      </c>
      <c r="O659" t="n">
        <v>0</v>
      </c>
      <c r="P659" t="n">
        <v>0</v>
      </c>
      <c r="Q659" t="n">
        <v>0</v>
      </c>
      <c r="R659" s="2" t="inlineStr"/>
    </row>
    <row r="660" ht="15" customHeight="1">
      <c r="A660" t="inlineStr">
        <is>
          <t>A 60817-2024</t>
        </is>
      </c>
      <c r="B660" s="1" t="n">
        <v>45644</v>
      </c>
      <c r="C660" s="1" t="n">
        <v>45929</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23225-2024</t>
        </is>
      </c>
      <c r="B661" s="1" t="n">
        <v>45452.9490162037</v>
      </c>
      <c r="C661" s="1" t="n">
        <v>45929</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25320-2023</t>
        </is>
      </c>
      <c r="B662" s="1" t="n">
        <v>45086.93929398148</v>
      </c>
      <c r="C662" s="1" t="n">
        <v>45929</v>
      </c>
      <c r="D662" t="inlineStr">
        <is>
          <t>VÄSTERNORRLANDS LÄN</t>
        </is>
      </c>
      <c r="E662" t="inlineStr">
        <is>
          <t>ÅNGE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24541-2023</t>
        </is>
      </c>
      <c r="B663" s="1" t="n">
        <v>45082.94135416667</v>
      </c>
      <c r="C663" s="1" t="n">
        <v>45929</v>
      </c>
      <c r="D663" t="inlineStr">
        <is>
          <t>VÄSTERNORRLANDS LÄN</t>
        </is>
      </c>
      <c r="E663" t="inlineStr">
        <is>
          <t>ÅNGE</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24552-2023</t>
        </is>
      </c>
      <c r="B664" s="1" t="n">
        <v>45082.94226851852</v>
      </c>
      <c r="C664" s="1" t="n">
        <v>45929</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18542-2022</t>
        </is>
      </c>
      <c r="B665" s="1" t="n">
        <v>44686</v>
      </c>
      <c r="C665" s="1" t="n">
        <v>45929</v>
      </c>
      <c r="D665" t="inlineStr">
        <is>
          <t>VÄSTERNORRLANDS LÄN</t>
        </is>
      </c>
      <c r="E665" t="inlineStr">
        <is>
          <t>ÅNGE</t>
        </is>
      </c>
      <c r="G665" t="n">
        <v>0.2</v>
      </c>
      <c r="H665" t="n">
        <v>0</v>
      </c>
      <c r="I665" t="n">
        <v>0</v>
      </c>
      <c r="J665" t="n">
        <v>0</v>
      </c>
      <c r="K665" t="n">
        <v>0</v>
      </c>
      <c r="L665" t="n">
        <v>0</v>
      </c>
      <c r="M665" t="n">
        <v>0</v>
      </c>
      <c r="N665" t="n">
        <v>0</v>
      </c>
      <c r="O665" t="n">
        <v>0</v>
      </c>
      <c r="P665" t="n">
        <v>0</v>
      </c>
      <c r="Q665" t="n">
        <v>0</v>
      </c>
      <c r="R665" s="2" t="inlineStr"/>
    </row>
    <row r="666" ht="15" customHeight="1">
      <c r="A666" t="inlineStr">
        <is>
          <t>A 44600-2024</t>
        </is>
      </c>
      <c r="B666" s="1" t="n">
        <v>45574.51113425926</v>
      </c>
      <c r="C666" s="1" t="n">
        <v>45929</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36740-2025</t>
        </is>
      </c>
      <c r="B667" s="1" t="n">
        <v>45873.53237268519</v>
      </c>
      <c r="C667" s="1" t="n">
        <v>45929</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33305-2024</t>
        </is>
      </c>
      <c r="B668" s="1" t="n">
        <v>45518</v>
      </c>
      <c r="C668" s="1" t="n">
        <v>45929</v>
      </c>
      <c r="D668" t="inlineStr">
        <is>
          <t>VÄSTERNORRLANDS LÄN</t>
        </is>
      </c>
      <c r="E668" t="inlineStr">
        <is>
          <t>ÅNGE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33306-2024</t>
        </is>
      </c>
      <c r="B669" s="1" t="n">
        <v>45518</v>
      </c>
      <c r="C669" s="1" t="n">
        <v>45929</v>
      </c>
      <c r="D669" t="inlineStr">
        <is>
          <t>VÄSTERNORRLANDS LÄN</t>
        </is>
      </c>
      <c r="E669" t="inlineStr">
        <is>
          <t>ÅNGE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26013-2024</t>
        </is>
      </c>
      <c r="B670" s="1" t="n">
        <v>45467</v>
      </c>
      <c r="C670" s="1" t="n">
        <v>45929</v>
      </c>
      <c r="D670" t="inlineStr">
        <is>
          <t>VÄSTERNORRLANDS LÄN</t>
        </is>
      </c>
      <c r="E670" t="inlineStr">
        <is>
          <t>ÅNGE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25377-2024</t>
        </is>
      </c>
      <c r="B671" s="1" t="n">
        <v>45462.96211805556</v>
      </c>
      <c r="C671" s="1" t="n">
        <v>45929</v>
      </c>
      <c r="D671" t="inlineStr">
        <is>
          <t>VÄSTERNORRLANDS LÄN</t>
        </is>
      </c>
      <c r="E671" t="inlineStr">
        <is>
          <t>ÅNGE</t>
        </is>
      </c>
      <c r="F671" t="inlineStr">
        <is>
          <t>SCA</t>
        </is>
      </c>
      <c r="G671" t="n">
        <v>20.7</v>
      </c>
      <c r="H671" t="n">
        <v>0</v>
      </c>
      <c r="I671" t="n">
        <v>0</v>
      </c>
      <c r="J671" t="n">
        <v>0</v>
      </c>
      <c r="K671" t="n">
        <v>0</v>
      </c>
      <c r="L671" t="n">
        <v>0</v>
      </c>
      <c r="M671" t="n">
        <v>0</v>
      </c>
      <c r="N671" t="n">
        <v>0</v>
      </c>
      <c r="O671" t="n">
        <v>0</v>
      </c>
      <c r="P671" t="n">
        <v>0</v>
      </c>
      <c r="Q671" t="n">
        <v>0</v>
      </c>
      <c r="R671" s="2" t="inlineStr"/>
    </row>
    <row r="672" ht="15" customHeight="1">
      <c r="A672" t="inlineStr">
        <is>
          <t>A 36249-2025</t>
        </is>
      </c>
      <c r="B672" s="1" t="n">
        <v>45867</v>
      </c>
      <c r="C672" s="1" t="n">
        <v>45929</v>
      </c>
      <c r="D672" t="inlineStr">
        <is>
          <t>VÄSTERNORRLANDS LÄN</t>
        </is>
      </c>
      <c r="E672" t="inlineStr">
        <is>
          <t>ÅNGE</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7535-2023</t>
        </is>
      </c>
      <c r="B673" s="1" t="n">
        <v>44971</v>
      </c>
      <c r="C673" s="1" t="n">
        <v>45929</v>
      </c>
      <c r="D673" t="inlineStr">
        <is>
          <t>VÄSTERNORRLANDS LÄN</t>
        </is>
      </c>
      <c r="E673" t="inlineStr">
        <is>
          <t>ÅNGE</t>
        </is>
      </c>
      <c r="F673" t="inlineStr">
        <is>
          <t>SCA</t>
        </is>
      </c>
      <c r="G673" t="n">
        <v>14.6</v>
      </c>
      <c r="H673" t="n">
        <v>0</v>
      </c>
      <c r="I673" t="n">
        <v>0</v>
      </c>
      <c r="J673" t="n">
        <v>0</v>
      </c>
      <c r="K673" t="n">
        <v>0</v>
      </c>
      <c r="L673" t="n">
        <v>0</v>
      </c>
      <c r="M673" t="n">
        <v>0</v>
      </c>
      <c r="N673" t="n">
        <v>0</v>
      </c>
      <c r="O673" t="n">
        <v>0</v>
      </c>
      <c r="P673" t="n">
        <v>0</v>
      </c>
      <c r="Q673" t="n">
        <v>0</v>
      </c>
      <c r="R673" s="2" t="inlineStr"/>
    </row>
    <row r="674" ht="15" customHeight="1">
      <c r="A674" t="inlineStr">
        <is>
          <t>A 56956-2022</t>
        </is>
      </c>
      <c r="B674" s="1" t="n">
        <v>44894</v>
      </c>
      <c r="C674" s="1" t="n">
        <v>45929</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37038-2024</t>
        </is>
      </c>
      <c r="B675" s="1" t="n">
        <v>45539.40881944444</v>
      </c>
      <c r="C675" s="1" t="n">
        <v>45929</v>
      </c>
      <c r="D675" t="inlineStr">
        <is>
          <t>VÄSTERNORRLANDS LÄN</t>
        </is>
      </c>
      <c r="E675" t="inlineStr">
        <is>
          <t>ÅNGE</t>
        </is>
      </c>
      <c r="G675" t="n">
        <v>1.4</v>
      </c>
      <c r="H675" t="n">
        <v>0</v>
      </c>
      <c r="I675" t="n">
        <v>0</v>
      </c>
      <c r="J675" t="n">
        <v>0</v>
      </c>
      <c r="K675" t="n">
        <v>0</v>
      </c>
      <c r="L675" t="n">
        <v>0</v>
      </c>
      <c r="M675" t="n">
        <v>0</v>
      </c>
      <c r="N675" t="n">
        <v>0</v>
      </c>
      <c r="O675" t="n">
        <v>0</v>
      </c>
      <c r="P675" t="n">
        <v>0</v>
      </c>
      <c r="Q675" t="n">
        <v>0</v>
      </c>
      <c r="R675" s="2" t="inlineStr"/>
    </row>
    <row r="676" ht="15" customHeight="1">
      <c r="A676" t="inlineStr">
        <is>
          <t>A 5035-2025</t>
        </is>
      </c>
      <c r="B676" s="1" t="n">
        <v>45691</v>
      </c>
      <c r="C676" s="1" t="n">
        <v>45929</v>
      </c>
      <c r="D676" t="inlineStr">
        <is>
          <t>VÄSTERNORRLANDS LÄN</t>
        </is>
      </c>
      <c r="E676" t="inlineStr">
        <is>
          <t>ÅNGE</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51124-2024</t>
        </is>
      </c>
      <c r="B677" s="1" t="n">
        <v>45603.50716435185</v>
      </c>
      <c r="C677" s="1" t="n">
        <v>45929</v>
      </c>
      <c r="D677" t="inlineStr">
        <is>
          <t>VÄSTERNORRLANDS LÄN</t>
        </is>
      </c>
      <c r="E677" t="inlineStr">
        <is>
          <t>ÅNGE</t>
        </is>
      </c>
      <c r="G677" t="n">
        <v>0.6</v>
      </c>
      <c r="H677" t="n">
        <v>0</v>
      </c>
      <c r="I677" t="n">
        <v>0</v>
      </c>
      <c r="J677" t="n">
        <v>0</v>
      </c>
      <c r="K677" t="n">
        <v>0</v>
      </c>
      <c r="L677" t="n">
        <v>0</v>
      </c>
      <c r="M677" t="n">
        <v>0</v>
      </c>
      <c r="N677" t="n">
        <v>0</v>
      </c>
      <c r="O677" t="n">
        <v>0</v>
      </c>
      <c r="P677" t="n">
        <v>0</v>
      </c>
      <c r="Q677" t="n">
        <v>0</v>
      </c>
      <c r="R677" s="2" t="inlineStr"/>
    </row>
    <row r="678" ht="15" customHeight="1">
      <c r="A678" t="inlineStr">
        <is>
          <t>A 50674-2024</t>
        </is>
      </c>
      <c r="B678" s="1" t="n">
        <v>45601.85402777778</v>
      </c>
      <c r="C678" s="1" t="n">
        <v>45929</v>
      </c>
      <c r="D678" t="inlineStr">
        <is>
          <t>VÄSTERNORRLANDS LÄN</t>
        </is>
      </c>
      <c r="E678" t="inlineStr">
        <is>
          <t>ÅNGE</t>
        </is>
      </c>
      <c r="G678" t="n">
        <v>1.2</v>
      </c>
      <c r="H678" t="n">
        <v>0</v>
      </c>
      <c r="I678" t="n">
        <v>0</v>
      </c>
      <c r="J678" t="n">
        <v>0</v>
      </c>
      <c r="K678" t="n">
        <v>0</v>
      </c>
      <c r="L678" t="n">
        <v>0</v>
      </c>
      <c r="M678" t="n">
        <v>0</v>
      </c>
      <c r="N678" t="n">
        <v>0</v>
      </c>
      <c r="O678" t="n">
        <v>0</v>
      </c>
      <c r="P678" t="n">
        <v>0</v>
      </c>
      <c r="Q678" t="n">
        <v>0</v>
      </c>
      <c r="R678" s="2" t="inlineStr"/>
    </row>
    <row r="679" ht="15" customHeight="1">
      <c r="A679" t="inlineStr">
        <is>
          <t>A 54720-2024</t>
        </is>
      </c>
      <c r="B679" s="1" t="n">
        <v>45618.43715277778</v>
      </c>
      <c r="C679" s="1" t="n">
        <v>45929</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36723-2025</t>
        </is>
      </c>
      <c r="B680" s="1" t="n">
        <v>45873.47770833333</v>
      </c>
      <c r="C680" s="1" t="n">
        <v>45929</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53336-2024</t>
        </is>
      </c>
      <c r="B681" s="1" t="n">
        <v>45614.42753472222</v>
      </c>
      <c r="C681" s="1" t="n">
        <v>45929</v>
      </c>
      <c r="D681" t="inlineStr">
        <is>
          <t>VÄSTERNORRLANDS LÄN</t>
        </is>
      </c>
      <c r="E681" t="inlineStr">
        <is>
          <t>ÅNGE</t>
        </is>
      </c>
      <c r="G681" t="n">
        <v>1.5</v>
      </c>
      <c r="H681" t="n">
        <v>0</v>
      </c>
      <c r="I681" t="n">
        <v>0</v>
      </c>
      <c r="J681" t="n">
        <v>0</v>
      </c>
      <c r="K681" t="n">
        <v>0</v>
      </c>
      <c r="L681" t="n">
        <v>0</v>
      </c>
      <c r="M681" t="n">
        <v>0</v>
      </c>
      <c r="N681" t="n">
        <v>0</v>
      </c>
      <c r="O681" t="n">
        <v>0</v>
      </c>
      <c r="P681" t="n">
        <v>0</v>
      </c>
      <c r="Q681" t="n">
        <v>0</v>
      </c>
      <c r="R681" s="2" t="inlineStr"/>
    </row>
    <row r="682" ht="15" customHeight="1">
      <c r="A682" t="inlineStr">
        <is>
          <t>A 44165-2025</t>
        </is>
      </c>
      <c r="B682" s="1" t="n">
        <v>45915.59840277778</v>
      </c>
      <c r="C682" s="1" t="n">
        <v>45929</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57598-2022</t>
        </is>
      </c>
      <c r="B683" s="1" t="n">
        <v>44896</v>
      </c>
      <c r="C683" s="1" t="n">
        <v>45929</v>
      </c>
      <c r="D683" t="inlineStr">
        <is>
          <t>VÄSTERNORRLANDS LÄN</t>
        </is>
      </c>
      <c r="E683" t="inlineStr">
        <is>
          <t>ÅNGE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36674-2025</t>
        </is>
      </c>
      <c r="B684" s="1" t="n">
        <v>45873.3930787037</v>
      </c>
      <c r="C684" s="1" t="n">
        <v>45929</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58613-2023</t>
        </is>
      </c>
      <c r="B685" s="1" t="n">
        <v>45251.50709490741</v>
      </c>
      <c r="C685" s="1" t="n">
        <v>45929</v>
      </c>
      <c r="D685" t="inlineStr">
        <is>
          <t>VÄSTERNORRLANDS LÄN</t>
        </is>
      </c>
      <c r="E685" t="inlineStr">
        <is>
          <t>ÅNGE</t>
        </is>
      </c>
      <c r="F685" t="inlineStr">
        <is>
          <t>Övriga Aktiebolag</t>
        </is>
      </c>
      <c r="G685" t="n">
        <v>1.9</v>
      </c>
      <c r="H685" t="n">
        <v>0</v>
      </c>
      <c r="I685" t="n">
        <v>0</v>
      </c>
      <c r="J685" t="n">
        <v>0</v>
      </c>
      <c r="K685" t="n">
        <v>0</v>
      </c>
      <c r="L685" t="n">
        <v>0</v>
      </c>
      <c r="M685" t="n">
        <v>0</v>
      </c>
      <c r="N685" t="n">
        <v>0</v>
      </c>
      <c r="O685" t="n">
        <v>0</v>
      </c>
      <c r="P685" t="n">
        <v>0</v>
      </c>
      <c r="Q685" t="n">
        <v>0</v>
      </c>
      <c r="R685" s="2" t="inlineStr"/>
    </row>
    <row r="686" ht="15" customHeight="1">
      <c r="A686" t="inlineStr">
        <is>
          <t>A 4883-2023</t>
        </is>
      </c>
      <c r="B686" s="1" t="n">
        <v>44957</v>
      </c>
      <c r="C686" s="1" t="n">
        <v>45929</v>
      </c>
      <c r="D686" t="inlineStr">
        <is>
          <t>VÄSTERNORRLANDS LÄN</t>
        </is>
      </c>
      <c r="E686" t="inlineStr">
        <is>
          <t>ÅNGE</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44919-2025</t>
        </is>
      </c>
      <c r="B687" s="1" t="n">
        <v>45918.55246527777</v>
      </c>
      <c r="C687" s="1" t="n">
        <v>45929</v>
      </c>
      <c r="D687" t="inlineStr">
        <is>
          <t>VÄSTERNORRLANDS LÄN</t>
        </is>
      </c>
      <c r="E687" t="inlineStr">
        <is>
          <t>ÅNGE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37045-2025</t>
        </is>
      </c>
      <c r="B688" s="1" t="n">
        <v>45875.34451388889</v>
      </c>
      <c r="C688" s="1" t="n">
        <v>45929</v>
      </c>
      <c r="D688" t="inlineStr">
        <is>
          <t>VÄSTERNORRLANDS LÄN</t>
        </is>
      </c>
      <c r="E688" t="inlineStr">
        <is>
          <t>ÅNGE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37047-2025</t>
        </is>
      </c>
      <c r="B689" s="1" t="n">
        <v>45875.34489583333</v>
      </c>
      <c r="C689" s="1" t="n">
        <v>45929</v>
      </c>
      <c r="D689" t="inlineStr">
        <is>
          <t>VÄSTERNORRLANDS LÄN</t>
        </is>
      </c>
      <c r="E689" t="inlineStr">
        <is>
          <t>ÅNGE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8755-2022</t>
        </is>
      </c>
      <c r="B690" s="1" t="n">
        <v>44614</v>
      </c>
      <c r="C690" s="1" t="n">
        <v>45929</v>
      </c>
      <c r="D690" t="inlineStr">
        <is>
          <t>VÄSTERNORRLANDS LÄN</t>
        </is>
      </c>
      <c r="E690" t="inlineStr">
        <is>
          <t>ÅNGE</t>
        </is>
      </c>
      <c r="G690" t="n">
        <v>2</v>
      </c>
      <c r="H690" t="n">
        <v>0</v>
      </c>
      <c r="I690" t="n">
        <v>0</v>
      </c>
      <c r="J690" t="n">
        <v>0</v>
      </c>
      <c r="K690" t="n">
        <v>0</v>
      </c>
      <c r="L690" t="n">
        <v>0</v>
      </c>
      <c r="M690" t="n">
        <v>0</v>
      </c>
      <c r="N690" t="n">
        <v>0</v>
      </c>
      <c r="O690" t="n">
        <v>0</v>
      </c>
      <c r="P690" t="n">
        <v>0</v>
      </c>
      <c r="Q690" t="n">
        <v>0</v>
      </c>
      <c r="R690" s="2" t="inlineStr"/>
    </row>
    <row r="691" ht="15" customHeight="1">
      <c r="A691" t="inlineStr">
        <is>
          <t>A 37275-2025</t>
        </is>
      </c>
      <c r="B691" s="1" t="n">
        <v>45876.49003472222</v>
      </c>
      <c r="C691" s="1" t="n">
        <v>45929</v>
      </c>
      <c r="D691" t="inlineStr">
        <is>
          <t>VÄSTERNORRLANDS LÄN</t>
        </is>
      </c>
      <c r="E691" t="inlineStr">
        <is>
          <t>ÅNGE</t>
        </is>
      </c>
      <c r="G691" t="n">
        <v>3.5</v>
      </c>
      <c r="H691" t="n">
        <v>0</v>
      </c>
      <c r="I691" t="n">
        <v>0</v>
      </c>
      <c r="J691" t="n">
        <v>0</v>
      </c>
      <c r="K691" t="n">
        <v>0</v>
      </c>
      <c r="L691" t="n">
        <v>0</v>
      </c>
      <c r="M691" t="n">
        <v>0</v>
      </c>
      <c r="N691" t="n">
        <v>0</v>
      </c>
      <c r="O691" t="n">
        <v>0</v>
      </c>
      <c r="P691" t="n">
        <v>0</v>
      </c>
      <c r="Q691" t="n">
        <v>0</v>
      </c>
      <c r="R691" s="2" t="inlineStr"/>
    </row>
    <row r="692" ht="15" customHeight="1">
      <c r="A692" t="inlineStr">
        <is>
          <t>A 37303-2025</t>
        </is>
      </c>
      <c r="B692" s="1" t="n">
        <v>45876.59445601852</v>
      </c>
      <c r="C692" s="1" t="n">
        <v>45929</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44935-2025</t>
        </is>
      </c>
      <c r="B693" s="1" t="n">
        <v>45918.57392361111</v>
      </c>
      <c r="C693" s="1" t="n">
        <v>45929</v>
      </c>
      <c r="D693" t="inlineStr">
        <is>
          <t>VÄSTERNORRLANDS LÄN</t>
        </is>
      </c>
      <c r="E693" t="inlineStr">
        <is>
          <t>ÅNGE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30747-2024</t>
        </is>
      </c>
      <c r="B694" s="1" t="n">
        <v>45496</v>
      </c>
      <c r="C694" s="1" t="n">
        <v>45929</v>
      </c>
      <c r="D694" t="inlineStr">
        <is>
          <t>VÄSTERNORRLANDS LÄN</t>
        </is>
      </c>
      <c r="E694" t="inlineStr">
        <is>
          <t>ÅNGE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58929-2024</t>
        </is>
      </c>
      <c r="B695" s="1" t="n">
        <v>45636.51090277778</v>
      </c>
      <c r="C695" s="1" t="n">
        <v>45929</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1975-2025</t>
        </is>
      </c>
      <c r="B696" s="1" t="n">
        <v>45672.39332175926</v>
      </c>
      <c r="C696" s="1" t="n">
        <v>45929</v>
      </c>
      <c r="D696" t="inlineStr">
        <is>
          <t>VÄSTERNORRLANDS LÄN</t>
        </is>
      </c>
      <c r="E696" t="inlineStr">
        <is>
          <t>ÅNGE</t>
        </is>
      </c>
      <c r="G696" t="n">
        <v>6.2</v>
      </c>
      <c r="H696" t="n">
        <v>0</v>
      </c>
      <c r="I696" t="n">
        <v>0</v>
      </c>
      <c r="J696" t="n">
        <v>0</v>
      </c>
      <c r="K696" t="n">
        <v>0</v>
      </c>
      <c r="L696" t="n">
        <v>0</v>
      </c>
      <c r="M696" t="n">
        <v>0</v>
      </c>
      <c r="N696" t="n">
        <v>0</v>
      </c>
      <c r="O696" t="n">
        <v>0</v>
      </c>
      <c r="P696" t="n">
        <v>0</v>
      </c>
      <c r="Q696" t="n">
        <v>0</v>
      </c>
      <c r="R696" s="2" t="inlineStr"/>
    </row>
    <row r="697" ht="15" customHeight="1">
      <c r="A697" t="inlineStr">
        <is>
          <t>A 37233-2025</t>
        </is>
      </c>
      <c r="B697" s="1" t="n">
        <v>45876.34474537037</v>
      </c>
      <c r="C697" s="1" t="n">
        <v>45929</v>
      </c>
      <c r="D697" t="inlineStr">
        <is>
          <t>VÄSTERNORRLANDS LÄN</t>
        </is>
      </c>
      <c r="E697" t="inlineStr">
        <is>
          <t>ÅNGE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33429-2023</t>
        </is>
      </c>
      <c r="B698" s="1" t="n">
        <v>45128.94983796297</v>
      </c>
      <c r="C698" s="1" t="n">
        <v>45929</v>
      </c>
      <c r="D698" t="inlineStr">
        <is>
          <t>VÄSTERNORRLANDS LÄN</t>
        </is>
      </c>
      <c r="E698" t="inlineStr">
        <is>
          <t>ÅNGE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46254-2023</t>
        </is>
      </c>
      <c r="B699" s="1" t="n">
        <v>45196</v>
      </c>
      <c r="C699" s="1" t="n">
        <v>45929</v>
      </c>
      <c r="D699" t="inlineStr">
        <is>
          <t>VÄSTERNORRLANDS LÄN</t>
        </is>
      </c>
      <c r="E699" t="inlineStr">
        <is>
          <t>ÅNGE</t>
        </is>
      </c>
      <c r="F699" t="inlineStr">
        <is>
          <t>SCA</t>
        </is>
      </c>
      <c r="G699" t="n">
        <v>0.1</v>
      </c>
      <c r="H699" t="n">
        <v>0</v>
      </c>
      <c r="I699" t="n">
        <v>0</v>
      </c>
      <c r="J699" t="n">
        <v>0</v>
      </c>
      <c r="K699" t="n">
        <v>0</v>
      </c>
      <c r="L699" t="n">
        <v>0</v>
      </c>
      <c r="M699" t="n">
        <v>0</v>
      </c>
      <c r="N699" t="n">
        <v>0</v>
      </c>
      <c r="O699" t="n">
        <v>0</v>
      </c>
      <c r="P699" t="n">
        <v>0</v>
      </c>
      <c r="Q699" t="n">
        <v>0</v>
      </c>
      <c r="R699" s="2" t="inlineStr"/>
    </row>
    <row r="700" ht="15" customHeight="1">
      <c r="A700" t="inlineStr">
        <is>
          <t>A 46262-2023</t>
        </is>
      </c>
      <c r="B700" s="1" t="n">
        <v>45196.93855324074</v>
      </c>
      <c r="C700" s="1" t="n">
        <v>45929</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20576-2021</t>
        </is>
      </c>
      <c r="B701" s="1" t="n">
        <v>44316.3290162037</v>
      </c>
      <c r="C701" s="1" t="n">
        <v>45929</v>
      </c>
      <c r="D701" t="inlineStr">
        <is>
          <t>VÄSTERNORRLANDS LÄN</t>
        </is>
      </c>
      <c r="E701" t="inlineStr">
        <is>
          <t>ÅNGE</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45027-2023</t>
        </is>
      </c>
      <c r="B702" s="1" t="n">
        <v>45190.96303240741</v>
      </c>
      <c r="C702" s="1" t="n">
        <v>45929</v>
      </c>
      <c r="D702" t="inlineStr">
        <is>
          <t>VÄSTERNORRLANDS LÄN</t>
        </is>
      </c>
      <c r="E702" t="inlineStr">
        <is>
          <t>ÅNGE</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37108-2025</t>
        </is>
      </c>
      <c r="B703" s="1" t="n">
        <v>45875</v>
      </c>
      <c r="C703" s="1" t="n">
        <v>45929</v>
      </c>
      <c r="D703" t="inlineStr">
        <is>
          <t>VÄSTERNORRLANDS LÄN</t>
        </is>
      </c>
      <c r="E703" t="inlineStr">
        <is>
          <t>ÅNGE</t>
        </is>
      </c>
      <c r="G703" t="n">
        <v>4</v>
      </c>
      <c r="H703" t="n">
        <v>0</v>
      </c>
      <c r="I703" t="n">
        <v>0</v>
      </c>
      <c r="J703" t="n">
        <v>0</v>
      </c>
      <c r="K703" t="n">
        <v>0</v>
      </c>
      <c r="L703" t="n">
        <v>0</v>
      </c>
      <c r="M703" t="n">
        <v>0</v>
      </c>
      <c r="N703" t="n">
        <v>0</v>
      </c>
      <c r="O703" t="n">
        <v>0</v>
      </c>
      <c r="P703" t="n">
        <v>0</v>
      </c>
      <c r="Q703" t="n">
        <v>0</v>
      </c>
      <c r="R703" s="2" t="inlineStr"/>
    </row>
    <row r="704" ht="15" customHeight="1">
      <c r="A704" t="inlineStr">
        <is>
          <t>A 37177-2025</t>
        </is>
      </c>
      <c r="B704" s="1" t="n">
        <v>45875.61539351852</v>
      </c>
      <c r="C704" s="1" t="n">
        <v>45929</v>
      </c>
      <c r="D704" t="inlineStr">
        <is>
          <t>VÄSTERNORRLANDS LÄN</t>
        </is>
      </c>
      <c r="E704" t="inlineStr">
        <is>
          <t>ÅNGE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1235-2023</t>
        </is>
      </c>
      <c r="B705" s="1" t="n">
        <v>44935</v>
      </c>
      <c r="C705" s="1" t="n">
        <v>45929</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21409-2022</t>
        </is>
      </c>
      <c r="B706" s="1" t="n">
        <v>44705.9406712963</v>
      </c>
      <c r="C706" s="1" t="n">
        <v>45929</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13501-2021</t>
        </is>
      </c>
      <c r="B707" s="1" t="n">
        <v>44273</v>
      </c>
      <c r="C707" s="1" t="n">
        <v>45929</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55380-2024</t>
        </is>
      </c>
      <c r="B708" s="1" t="n">
        <v>45622.28810185185</v>
      </c>
      <c r="C708" s="1" t="n">
        <v>45929</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33302-2024</t>
        </is>
      </c>
      <c r="B709" s="1" t="n">
        <v>45518.96967592592</v>
      </c>
      <c r="C709" s="1" t="n">
        <v>45929</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7528-2023</t>
        </is>
      </c>
      <c r="B710" s="1" t="n">
        <v>44971.97662037037</v>
      </c>
      <c r="C710" s="1" t="n">
        <v>45929</v>
      </c>
      <c r="D710" t="inlineStr">
        <is>
          <t>VÄSTERNORRLANDS LÄN</t>
        </is>
      </c>
      <c r="E710" t="inlineStr">
        <is>
          <t>ÅNGE</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59626-2022</t>
        </is>
      </c>
      <c r="B711" s="1" t="n">
        <v>44907.92354166666</v>
      </c>
      <c r="C711" s="1" t="n">
        <v>45929</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3249-2024</t>
        </is>
      </c>
      <c r="B712" s="1" t="n">
        <v>45316</v>
      </c>
      <c r="C712" s="1" t="n">
        <v>45929</v>
      </c>
      <c r="D712" t="inlineStr">
        <is>
          <t>VÄSTERNORRLANDS LÄN</t>
        </is>
      </c>
      <c r="E712" t="inlineStr">
        <is>
          <t>ÅNGE</t>
        </is>
      </c>
      <c r="G712" t="n">
        <v>0.3</v>
      </c>
      <c r="H712" t="n">
        <v>0</v>
      </c>
      <c r="I712" t="n">
        <v>0</v>
      </c>
      <c r="J712" t="n">
        <v>0</v>
      </c>
      <c r="K712" t="n">
        <v>0</v>
      </c>
      <c r="L712" t="n">
        <v>0</v>
      </c>
      <c r="M712" t="n">
        <v>0</v>
      </c>
      <c r="N712" t="n">
        <v>0</v>
      </c>
      <c r="O712" t="n">
        <v>0</v>
      </c>
      <c r="P712" t="n">
        <v>0</v>
      </c>
      <c r="Q712" t="n">
        <v>0</v>
      </c>
      <c r="R712" s="2" t="inlineStr"/>
    </row>
    <row r="713" ht="15" customHeight="1">
      <c r="A713" t="inlineStr">
        <is>
          <t>A 22678-2024</t>
        </is>
      </c>
      <c r="B713" s="1" t="n">
        <v>45447.94533564815</v>
      </c>
      <c r="C713" s="1" t="n">
        <v>45929</v>
      </c>
      <c r="D713" t="inlineStr">
        <is>
          <t>VÄSTERNORRLANDS LÄN</t>
        </is>
      </c>
      <c r="E713" t="inlineStr">
        <is>
          <t>ÅNGE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10084-2023</t>
        </is>
      </c>
      <c r="B714" s="1" t="n">
        <v>44985.94465277778</v>
      </c>
      <c r="C714" s="1" t="n">
        <v>45929</v>
      </c>
      <c r="D714" t="inlineStr">
        <is>
          <t>VÄSTERNORRLANDS LÄN</t>
        </is>
      </c>
      <c r="E714" t="inlineStr">
        <is>
          <t>ÅNGE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39991-2023</t>
        </is>
      </c>
      <c r="B715" s="1" t="n">
        <v>45168.6043287037</v>
      </c>
      <c r="C715" s="1" t="n">
        <v>45929</v>
      </c>
      <c r="D715" t="inlineStr">
        <is>
          <t>VÄSTERNORRLANDS LÄN</t>
        </is>
      </c>
      <c r="E715" t="inlineStr">
        <is>
          <t>ÅNGE</t>
        </is>
      </c>
      <c r="G715" t="n">
        <v>10.2</v>
      </c>
      <c r="H715" t="n">
        <v>0</v>
      </c>
      <c r="I715" t="n">
        <v>0</v>
      </c>
      <c r="J715" t="n">
        <v>0</v>
      </c>
      <c r="K715" t="n">
        <v>0</v>
      </c>
      <c r="L715" t="n">
        <v>0</v>
      </c>
      <c r="M715" t="n">
        <v>0</v>
      </c>
      <c r="N715" t="n">
        <v>0</v>
      </c>
      <c r="O715" t="n">
        <v>0</v>
      </c>
      <c r="P715" t="n">
        <v>0</v>
      </c>
      <c r="Q715" t="n">
        <v>0</v>
      </c>
      <c r="R715" s="2" t="inlineStr"/>
    </row>
    <row r="716" ht="15" customHeight="1">
      <c r="A716" t="inlineStr">
        <is>
          <t>A 34851-2023</t>
        </is>
      </c>
      <c r="B716" s="1" t="n">
        <v>45141</v>
      </c>
      <c r="C716" s="1" t="n">
        <v>45929</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37371-2025</t>
        </is>
      </c>
      <c r="B717" s="1" t="n">
        <v>45877.34472222222</v>
      </c>
      <c r="C717" s="1" t="n">
        <v>45929</v>
      </c>
      <c r="D717" t="inlineStr">
        <is>
          <t>VÄSTERNORRLANDS LÄN</t>
        </is>
      </c>
      <c r="E717" t="inlineStr">
        <is>
          <t>ÅNGE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15167-2025</t>
        </is>
      </c>
      <c r="B718" s="1" t="n">
        <v>45744.49009259259</v>
      </c>
      <c r="C718" s="1" t="n">
        <v>45929</v>
      </c>
      <c r="D718" t="inlineStr">
        <is>
          <t>VÄSTERNORRLANDS LÄN</t>
        </is>
      </c>
      <c r="E718" t="inlineStr">
        <is>
          <t>ÅNGE</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9759-2024</t>
        </is>
      </c>
      <c r="B719" s="1" t="n">
        <v>45362</v>
      </c>
      <c r="C719" s="1" t="n">
        <v>45929</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30556-2023</t>
        </is>
      </c>
      <c r="B720" s="1" t="n">
        <v>45111.87935185185</v>
      </c>
      <c r="C720" s="1" t="n">
        <v>45929</v>
      </c>
      <c r="D720" t="inlineStr">
        <is>
          <t>VÄSTERNORRLANDS LÄN</t>
        </is>
      </c>
      <c r="E720" t="inlineStr">
        <is>
          <t>ÅNGE</t>
        </is>
      </c>
      <c r="G720" t="n">
        <v>3.7</v>
      </c>
      <c r="H720" t="n">
        <v>0</v>
      </c>
      <c r="I720" t="n">
        <v>0</v>
      </c>
      <c r="J720" t="n">
        <v>0</v>
      </c>
      <c r="K720" t="n">
        <v>0</v>
      </c>
      <c r="L720" t="n">
        <v>0</v>
      </c>
      <c r="M720" t="n">
        <v>0</v>
      </c>
      <c r="N720" t="n">
        <v>0</v>
      </c>
      <c r="O720" t="n">
        <v>0</v>
      </c>
      <c r="P720" t="n">
        <v>0</v>
      </c>
      <c r="Q720" t="n">
        <v>0</v>
      </c>
      <c r="R720" s="2" t="inlineStr"/>
    </row>
    <row r="721" ht="15" customHeight="1">
      <c r="A721" t="inlineStr">
        <is>
          <t>A 37384-2025</t>
        </is>
      </c>
      <c r="B721" s="1" t="n">
        <v>45877.3859837963</v>
      </c>
      <c r="C721" s="1" t="n">
        <v>45929</v>
      </c>
      <c r="D721" t="inlineStr">
        <is>
          <t>VÄSTERNORRLANDS LÄN</t>
        </is>
      </c>
      <c r="E721" t="inlineStr">
        <is>
          <t>ÅNGE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37663-2025</t>
        </is>
      </c>
      <c r="B722" s="1" t="n">
        <v>45880.51079861111</v>
      </c>
      <c r="C722" s="1" t="n">
        <v>45929</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45403-2025</t>
        </is>
      </c>
      <c r="B723" s="1" t="n">
        <v>45922.42803240741</v>
      </c>
      <c r="C723" s="1" t="n">
        <v>45929</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37450-2025</t>
        </is>
      </c>
      <c r="B724" s="1" t="n">
        <v>45877.55261574074</v>
      </c>
      <c r="C724" s="1" t="n">
        <v>45929</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37723-2025</t>
        </is>
      </c>
      <c r="B725" s="1" t="n">
        <v>45880.61528935185</v>
      </c>
      <c r="C725" s="1" t="n">
        <v>45929</v>
      </c>
      <c r="D725" t="inlineStr">
        <is>
          <t>VÄSTERNORRLANDS LÄN</t>
        </is>
      </c>
      <c r="E725" t="inlineStr">
        <is>
          <t>ÅNGE</t>
        </is>
      </c>
      <c r="G725" t="n">
        <v>3</v>
      </c>
      <c r="H725" t="n">
        <v>0</v>
      </c>
      <c r="I725" t="n">
        <v>0</v>
      </c>
      <c r="J725" t="n">
        <v>0</v>
      </c>
      <c r="K725" t="n">
        <v>0</v>
      </c>
      <c r="L725" t="n">
        <v>0</v>
      </c>
      <c r="M725" t="n">
        <v>0</v>
      </c>
      <c r="N725" t="n">
        <v>0</v>
      </c>
      <c r="O725" t="n">
        <v>0</v>
      </c>
      <c r="P725" t="n">
        <v>0</v>
      </c>
      <c r="Q725" t="n">
        <v>0</v>
      </c>
      <c r="R725" s="2" t="inlineStr"/>
    </row>
    <row r="726" ht="15" customHeight="1">
      <c r="A726" t="inlineStr">
        <is>
          <t>A 45401-2025</t>
        </is>
      </c>
      <c r="B726" s="1" t="n">
        <v>45922.42767361111</v>
      </c>
      <c r="C726" s="1" t="n">
        <v>45929</v>
      </c>
      <c r="D726" t="inlineStr">
        <is>
          <t>VÄSTERNORRLANDS LÄN</t>
        </is>
      </c>
      <c r="E726" t="inlineStr">
        <is>
          <t>ÅNGE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37383-2025</t>
        </is>
      </c>
      <c r="B727" s="1" t="n">
        <v>45877.38581018519</v>
      </c>
      <c r="C727" s="1" t="n">
        <v>45929</v>
      </c>
      <c r="D727" t="inlineStr">
        <is>
          <t>VÄSTERNORRLANDS LÄN</t>
        </is>
      </c>
      <c r="E727" t="inlineStr">
        <is>
          <t>ÅNGE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37719-2025</t>
        </is>
      </c>
      <c r="B728" s="1" t="n">
        <v>45880.61505787037</v>
      </c>
      <c r="C728" s="1" t="n">
        <v>45929</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45404-2025</t>
        </is>
      </c>
      <c r="B729" s="1" t="n">
        <v>45922.42820601852</v>
      </c>
      <c r="C729" s="1" t="n">
        <v>45929</v>
      </c>
      <c r="D729" t="inlineStr">
        <is>
          <t>VÄSTERNORRLANDS LÄN</t>
        </is>
      </c>
      <c r="E729" t="inlineStr">
        <is>
          <t>ÅNGE</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5393-2025</t>
        </is>
      </c>
      <c r="B730" s="1" t="n">
        <v>45692.63574074074</v>
      </c>
      <c r="C730" s="1" t="n">
        <v>45929</v>
      </c>
      <c r="D730" t="inlineStr">
        <is>
          <t>VÄSTERNORRLANDS LÄN</t>
        </is>
      </c>
      <c r="E730" t="inlineStr">
        <is>
          <t>ÅNGE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26018-2024</t>
        </is>
      </c>
      <c r="B731" s="1" t="n">
        <v>45467.95998842592</v>
      </c>
      <c r="C731" s="1" t="n">
        <v>45929</v>
      </c>
      <c r="D731" t="inlineStr">
        <is>
          <t>VÄSTERNORRLANDS LÄN</t>
        </is>
      </c>
      <c r="E731" t="inlineStr">
        <is>
          <t>ÅNGE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26021-2024</t>
        </is>
      </c>
      <c r="B732" s="1" t="n">
        <v>45467</v>
      </c>
      <c r="C732" s="1" t="n">
        <v>45929</v>
      </c>
      <c r="D732" t="inlineStr">
        <is>
          <t>VÄSTERNORRLANDS LÄN</t>
        </is>
      </c>
      <c r="E732" t="inlineStr">
        <is>
          <t>ÅNGE</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34971-2023</t>
        </is>
      </c>
      <c r="B733" s="1" t="n">
        <v>45142.61635416667</v>
      </c>
      <c r="C733" s="1" t="n">
        <v>45929</v>
      </c>
      <c r="D733" t="inlineStr">
        <is>
          <t>VÄSTERNORRLANDS LÄN</t>
        </is>
      </c>
      <c r="E733" t="inlineStr">
        <is>
          <t>ÅNGE</t>
        </is>
      </c>
      <c r="F733" t="inlineStr">
        <is>
          <t>Sveaskog</t>
        </is>
      </c>
      <c r="G733" t="n">
        <v>4.5</v>
      </c>
      <c r="H733" t="n">
        <v>0</v>
      </c>
      <c r="I733" t="n">
        <v>0</v>
      </c>
      <c r="J733" t="n">
        <v>0</v>
      </c>
      <c r="K733" t="n">
        <v>0</v>
      </c>
      <c r="L733" t="n">
        <v>0</v>
      </c>
      <c r="M733" t="n">
        <v>0</v>
      </c>
      <c r="N733" t="n">
        <v>0</v>
      </c>
      <c r="O733" t="n">
        <v>0</v>
      </c>
      <c r="P733" t="n">
        <v>0</v>
      </c>
      <c r="Q733" t="n">
        <v>0</v>
      </c>
      <c r="R733" s="2" t="inlineStr"/>
    </row>
    <row r="734" ht="15" customHeight="1">
      <c r="A734" t="inlineStr">
        <is>
          <t>A 9480-2022</t>
        </is>
      </c>
      <c r="B734" s="1" t="n">
        <v>44616</v>
      </c>
      <c r="C734" s="1" t="n">
        <v>45929</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42953-2024</t>
        </is>
      </c>
      <c r="B735" s="1" t="n">
        <v>45567</v>
      </c>
      <c r="C735" s="1" t="n">
        <v>45929</v>
      </c>
      <c r="D735" t="inlineStr">
        <is>
          <t>VÄSTERNORRLANDS LÄN</t>
        </is>
      </c>
      <c r="E735" t="inlineStr">
        <is>
          <t>ÅNGE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42968-2024</t>
        </is>
      </c>
      <c r="B736" s="1" t="n">
        <v>45567</v>
      </c>
      <c r="C736" s="1" t="n">
        <v>45929</v>
      </c>
      <c r="D736" t="inlineStr">
        <is>
          <t>VÄSTERNORRLANDS LÄN</t>
        </is>
      </c>
      <c r="E736" t="inlineStr">
        <is>
          <t>ÅNGE</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45932-2023</t>
        </is>
      </c>
      <c r="B737" s="1" t="n">
        <v>45195</v>
      </c>
      <c r="C737" s="1" t="n">
        <v>45929</v>
      </c>
      <c r="D737" t="inlineStr">
        <is>
          <t>VÄSTERNORRLANDS LÄN</t>
        </is>
      </c>
      <c r="E737" t="inlineStr">
        <is>
          <t>ÅNGE</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20110-2023</t>
        </is>
      </c>
      <c r="B738" s="1" t="n">
        <v>45051</v>
      </c>
      <c r="C738" s="1" t="n">
        <v>45929</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18617-2024</t>
        </is>
      </c>
      <c r="B739" s="1" t="n">
        <v>45425</v>
      </c>
      <c r="C739" s="1" t="n">
        <v>45929</v>
      </c>
      <c r="D739" t="inlineStr">
        <is>
          <t>VÄSTERNORRLANDS LÄN</t>
        </is>
      </c>
      <c r="E739" t="inlineStr">
        <is>
          <t>ÅNGE</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6-2025</t>
        </is>
      </c>
      <c r="B740" s="1" t="n">
        <v>45658.50759259259</v>
      </c>
      <c r="C740" s="1" t="n">
        <v>45929</v>
      </c>
      <c r="D740" t="inlineStr">
        <is>
          <t>VÄSTERNORRLANDS LÄN</t>
        </is>
      </c>
      <c r="E740" t="inlineStr">
        <is>
          <t>ÅNGE</t>
        </is>
      </c>
      <c r="G740" t="n">
        <v>4.3</v>
      </c>
      <c r="H740" t="n">
        <v>0</v>
      </c>
      <c r="I740" t="n">
        <v>0</v>
      </c>
      <c r="J740" t="n">
        <v>0</v>
      </c>
      <c r="K740" t="n">
        <v>0</v>
      </c>
      <c r="L740" t="n">
        <v>0</v>
      </c>
      <c r="M740" t="n">
        <v>0</v>
      </c>
      <c r="N740" t="n">
        <v>0</v>
      </c>
      <c r="O740" t="n">
        <v>0</v>
      </c>
      <c r="P740" t="n">
        <v>0</v>
      </c>
      <c r="Q740" t="n">
        <v>0</v>
      </c>
      <c r="R740" s="2" t="inlineStr"/>
    </row>
    <row r="741" ht="15" customHeight="1">
      <c r="A741" t="inlineStr">
        <is>
          <t>A 34726-2024</t>
        </is>
      </c>
      <c r="B741" s="1" t="n">
        <v>45526.5733912037</v>
      </c>
      <c r="C741" s="1" t="n">
        <v>45929</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39764-2024</t>
        </is>
      </c>
      <c r="B742" s="1" t="n">
        <v>45552.7190162037</v>
      </c>
      <c r="C742" s="1" t="n">
        <v>45929</v>
      </c>
      <c r="D742" t="inlineStr">
        <is>
          <t>VÄSTERNORRLANDS LÄN</t>
        </is>
      </c>
      <c r="E742" t="inlineStr">
        <is>
          <t>ÅNGE</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53988-2024</t>
        </is>
      </c>
      <c r="B743" s="1" t="n">
        <v>45616.34408564815</v>
      </c>
      <c r="C743" s="1" t="n">
        <v>45929</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54002-2024</t>
        </is>
      </c>
      <c r="B744" s="1" t="n">
        <v>45616.36491898148</v>
      </c>
      <c r="C744" s="1" t="n">
        <v>45929</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8868-2023</t>
        </is>
      </c>
      <c r="B745" s="1" t="n">
        <v>44978</v>
      </c>
      <c r="C745" s="1" t="n">
        <v>45929</v>
      </c>
      <c r="D745" t="inlineStr">
        <is>
          <t>VÄSTERNORRLANDS LÄN</t>
        </is>
      </c>
      <c r="E745" t="inlineStr">
        <is>
          <t>ÅNGE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10917-2024</t>
        </is>
      </c>
      <c r="B746" s="1" t="n">
        <v>45370</v>
      </c>
      <c r="C746" s="1" t="n">
        <v>45929</v>
      </c>
      <c r="D746" t="inlineStr">
        <is>
          <t>VÄSTERNORRLANDS LÄN</t>
        </is>
      </c>
      <c r="E746" t="inlineStr">
        <is>
          <t>ÅNGE</t>
        </is>
      </c>
      <c r="G746" t="n">
        <v>2.2</v>
      </c>
      <c r="H746" t="n">
        <v>0</v>
      </c>
      <c r="I746" t="n">
        <v>0</v>
      </c>
      <c r="J746" t="n">
        <v>0</v>
      </c>
      <c r="K746" t="n">
        <v>0</v>
      </c>
      <c r="L746" t="n">
        <v>0</v>
      </c>
      <c r="M746" t="n">
        <v>0</v>
      </c>
      <c r="N746" t="n">
        <v>0</v>
      </c>
      <c r="O746" t="n">
        <v>0</v>
      </c>
      <c r="P746" t="n">
        <v>0</v>
      </c>
      <c r="Q746" t="n">
        <v>0</v>
      </c>
      <c r="R746" s="2" t="inlineStr"/>
    </row>
    <row r="747" ht="15" customHeight="1">
      <c r="A747" t="inlineStr">
        <is>
          <t>A 46109-2025</t>
        </is>
      </c>
      <c r="B747" s="1" t="n">
        <v>45924.5596412037</v>
      </c>
      <c r="C747" s="1" t="n">
        <v>45929</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46111-2025</t>
        </is>
      </c>
      <c r="B748" s="1" t="n">
        <v>45924.56684027778</v>
      </c>
      <c r="C748" s="1" t="n">
        <v>45929</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48697-2024</t>
        </is>
      </c>
      <c r="B749" s="1" t="n">
        <v>45593.51136574074</v>
      </c>
      <c r="C749" s="1" t="n">
        <v>45929</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43775-2022</t>
        </is>
      </c>
      <c r="B750" s="1" t="n">
        <v>44837.95053240741</v>
      </c>
      <c r="C750" s="1" t="n">
        <v>45929</v>
      </c>
      <c r="D750" t="inlineStr">
        <is>
          <t>VÄSTERNORRLANDS LÄN</t>
        </is>
      </c>
      <c r="E750" t="inlineStr">
        <is>
          <t>ÅNGE</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41173-2025</t>
        </is>
      </c>
      <c r="B751" s="1" t="n">
        <v>45898</v>
      </c>
      <c r="C751" s="1" t="n">
        <v>45929</v>
      </c>
      <c r="D751" t="inlineStr">
        <is>
          <t>VÄSTERNORRLANDS LÄN</t>
        </is>
      </c>
      <c r="E751" t="inlineStr">
        <is>
          <t>ÅNGE</t>
        </is>
      </c>
      <c r="G751" t="n">
        <v>3.6</v>
      </c>
      <c r="H751" t="n">
        <v>0</v>
      </c>
      <c r="I751" t="n">
        <v>0</v>
      </c>
      <c r="J751" t="n">
        <v>0</v>
      </c>
      <c r="K751" t="n">
        <v>0</v>
      </c>
      <c r="L751" t="n">
        <v>0</v>
      </c>
      <c r="M751" t="n">
        <v>0</v>
      </c>
      <c r="N751" t="n">
        <v>0</v>
      </c>
      <c r="O751" t="n">
        <v>0</v>
      </c>
      <c r="P751" t="n">
        <v>0</v>
      </c>
      <c r="Q751" t="n">
        <v>0</v>
      </c>
      <c r="R751" s="2" t="inlineStr"/>
    </row>
    <row r="752" ht="15" customHeight="1">
      <c r="A752" t="inlineStr">
        <is>
          <t>A 27306-2024</t>
        </is>
      </c>
      <c r="B752" s="1" t="n">
        <v>45471.94454861111</v>
      </c>
      <c r="C752" s="1" t="n">
        <v>45929</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11396-2024</t>
        </is>
      </c>
      <c r="B753" s="1" t="n">
        <v>45372</v>
      </c>
      <c r="C753" s="1" t="n">
        <v>45929</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45970-2025</t>
        </is>
      </c>
      <c r="B754" s="1" t="n">
        <v>45924.36519675926</v>
      </c>
      <c r="C754" s="1" t="n">
        <v>45929</v>
      </c>
      <c r="D754" t="inlineStr">
        <is>
          <t>VÄSTERNORRLANDS LÄN</t>
        </is>
      </c>
      <c r="E754" t="inlineStr">
        <is>
          <t>ÅNGE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25680-2023</t>
        </is>
      </c>
      <c r="B755" s="1" t="n">
        <v>45089</v>
      </c>
      <c r="C755" s="1" t="n">
        <v>45929</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45875-2025</t>
        </is>
      </c>
      <c r="B756" s="1" t="n">
        <v>45923.65690972222</v>
      </c>
      <c r="C756" s="1" t="n">
        <v>45929</v>
      </c>
      <c r="D756" t="inlineStr">
        <is>
          <t>VÄSTERNORRLANDS LÄN</t>
        </is>
      </c>
      <c r="E756" t="inlineStr">
        <is>
          <t>ÅNGE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38078-2025</t>
        </is>
      </c>
      <c r="B757" s="1" t="n">
        <v>45882.46918981482</v>
      </c>
      <c r="C757" s="1" t="n">
        <v>45929</v>
      </c>
      <c r="D757" t="inlineStr">
        <is>
          <t>VÄSTERNORRLANDS LÄN</t>
        </is>
      </c>
      <c r="E757" t="inlineStr">
        <is>
          <t>ÅNGE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42100-2023</t>
        </is>
      </c>
      <c r="B758" s="1" t="n">
        <v>45174</v>
      </c>
      <c r="C758" s="1" t="n">
        <v>45929</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59818-2024</t>
        </is>
      </c>
      <c r="B759" s="1" t="n">
        <v>45639.63572916666</v>
      </c>
      <c r="C759" s="1" t="n">
        <v>45929</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37919-2025</t>
        </is>
      </c>
      <c r="B760" s="1" t="n">
        <v>45881.57478009259</v>
      </c>
      <c r="C760" s="1" t="n">
        <v>45929</v>
      </c>
      <c r="D760" t="inlineStr">
        <is>
          <t>VÄSTERNORRLANDS LÄN</t>
        </is>
      </c>
      <c r="E760" t="inlineStr">
        <is>
          <t>ÅNGE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37802-2025</t>
        </is>
      </c>
      <c r="B761" s="1" t="n">
        <v>45881.34447916667</v>
      </c>
      <c r="C761" s="1" t="n">
        <v>45929</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51411-2023</t>
        </is>
      </c>
      <c r="B762" s="1" t="n">
        <v>45219</v>
      </c>
      <c r="C762" s="1" t="n">
        <v>45929</v>
      </c>
      <c r="D762" t="inlineStr">
        <is>
          <t>VÄSTERNORRLANDS LÄN</t>
        </is>
      </c>
      <c r="E762" t="inlineStr">
        <is>
          <t>ÅNGE</t>
        </is>
      </c>
      <c r="G762" t="n">
        <v>2.5</v>
      </c>
      <c r="H762" t="n">
        <v>0</v>
      </c>
      <c r="I762" t="n">
        <v>0</v>
      </c>
      <c r="J762" t="n">
        <v>0</v>
      </c>
      <c r="K762" t="n">
        <v>0</v>
      </c>
      <c r="L762" t="n">
        <v>0</v>
      </c>
      <c r="M762" t="n">
        <v>0</v>
      </c>
      <c r="N762" t="n">
        <v>0</v>
      </c>
      <c r="O762" t="n">
        <v>0</v>
      </c>
      <c r="P762" t="n">
        <v>0</v>
      </c>
      <c r="Q762" t="n">
        <v>0</v>
      </c>
      <c r="R762" s="2" t="inlineStr"/>
    </row>
    <row r="763" ht="15" customHeight="1">
      <c r="A763" t="inlineStr">
        <is>
          <t>A 45833-2025</t>
        </is>
      </c>
      <c r="B763" s="1" t="n">
        <v>45923</v>
      </c>
      <c r="C763" s="1" t="n">
        <v>45929</v>
      </c>
      <c r="D763" t="inlineStr">
        <is>
          <t>VÄSTERNORRLANDS LÄN</t>
        </is>
      </c>
      <c r="E763" t="inlineStr">
        <is>
          <t>ÅNGE</t>
        </is>
      </c>
      <c r="G763" t="n">
        <v>8.1</v>
      </c>
      <c r="H763" t="n">
        <v>0</v>
      </c>
      <c r="I763" t="n">
        <v>0</v>
      </c>
      <c r="J763" t="n">
        <v>0</v>
      </c>
      <c r="K763" t="n">
        <v>0</v>
      </c>
      <c r="L763" t="n">
        <v>0</v>
      </c>
      <c r="M763" t="n">
        <v>0</v>
      </c>
      <c r="N763" t="n">
        <v>0</v>
      </c>
      <c r="O763" t="n">
        <v>0</v>
      </c>
      <c r="P763" t="n">
        <v>0</v>
      </c>
      <c r="Q763" t="n">
        <v>0</v>
      </c>
      <c r="R763" s="2" t="inlineStr"/>
    </row>
    <row r="764" ht="15" customHeight="1">
      <c r="A764" t="inlineStr">
        <is>
          <t>A 1769-2023</t>
        </is>
      </c>
      <c r="B764" s="1" t="n">
        <v>44938.58025462963</v>
      </c>
      <c r="C764" s="1" t="n">
        <v>45929</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45659-2025</t>
        </is>
      </c>
      <c r="B765" s="1" t="n">
        <v>45923.34471064815</v>
      </c>
      <c r="C765" s="1" t="n">
        <v>45929</v>
      </c>
      <c r="D765" t="inlineStr">
        <is>
          <t>VÄSTERNORRLANDS LÄN</t>
        </is>
      </c>
      <c r="E765" t="inlineStr">
        <is>
          <t>ÅNGE</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1775-2023</t>
        </is>
      </c>
      <c r="B766" s="1" t="n">
        <v>44938</v>
      </c>
      <c r="C766" s="1" t="n">
        <v>45929</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10878-2024</t>
        </is>
      </c>
      <c r="B767" s="1" t="n">
        <v>45370</v>
      </c>
      <c r="C767" s="1" t="n">
        <v>45929</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1869-2022</t>
        </is>
      </c>
      <c r="B768" s="1" t="n">
        <v>44574</v>
      </c>
      <c r="C768" s="1" t="n">
        <v>45929</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45660-2025</t>
        </is>
      </c>
      <c r="B769" s="1" t="n">
        <v>45923.34494212963</v>
      </c>
      <c r="C769" s="1" t="n">
        <v>45929</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19066-2024</t>
        </is>
      </c>
      <c r="B770" s="1" t="n">
        <v>45427</v>
      </c>
      <c r="C770" s="1" t="n">
        <v>45929</v>
      </c>
      <c r="D770" t="inlineStr">
        <is>
          <t>VÄSTERNORRLANDS LÄN</t>
        </is>
      </c>
      <c r="E770" t="inlineStr">
        <is>
          <t>ÅNGE</t>
        </is>
      </c>
      <c r="G770" t="n">
        <v>0.8</v>
      </c>
      <c r="H770" t="n">
        <v>0</v>
      </c>
      <c r="I770" t="n">
        <v>0</v>
      </c>
      <c r="J770" t="n">
        <v>0</v>
      </c>
      <c r="K770" t="n">
        <v>0</v>
      </c>
      <c r="L770" t="n">
        <v>0</v>
      </c>
      <c r="M770" t="n">
        <v>0</v>
      </c>
      <c r="N770" t="n">
        <v>0</v>
      </c>
      <c r="O770" t="n">
        <v>0</v>
      </c>
      <c r="P770" t="n">
        <v>0</v>
      </c>
      <c r="Q770" t="n">
        <v>0</v>
      </c>
      <c r="R770" s="2" t="inlineStr"/>
    </row>
    <row r="771" ht="15" customHeight="1">
      <c r="A771" t="inlineStr">
        <is>
          <t>A 3629-2023</t>
        </is>
      </c>
      <c r="B771" s="1" t="n">
        <v>44950</v>
      </c>
      <c r="C771" s="1" t="n">
        <v>45929</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3631-2023</t>
        </is>
      </c>
      <c r="B772" s="1" t="n">
        <v>44950</v>
      </c>
      <c r="C772" s="1" t="n">
        <v>45929</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31177-2024</t>
        </is>
      </c>
      <c r="B773" s="1" t="n">
        <v>45503</v>
      </c>
      <c r="C773" s="1" t="n">
        <v>45929</v>
      </c>
      <c r="D773" t="inlineStr">
        <is>
          <t>VÄSTERNORRLANDS LÄN</t>
        </is>
      </c>
      <c r="E773" t="inlineStr">
        <is>
          <t>ÅNGE</t>
        </is>
      </c>
      <c r="G773" t="n">
        <v>10.2</v>
      </c>
      <c r="H773" t="n">
        <v>0</v>
      </c>
      <c r="I773" t="n">
        <v>0</v>
      </c>
      <c r="J773" t="n">
        <v>0</v>
      </c>
      <c r="K773" t="n">
        <v>0</v>
      </c>
      <c r="L773" t="n">
        <v>0</v>
      </c>
      <c r="M773" t="n">
        <v>0</v>
      </c>
      <c r="N773" t="n">
        <v>0</v>
      </c>
      <c r="O773" t="n">
        <v>0</v>
      </c>
      <c r="P773" t="n">
        <v>0</v>
      </c>
      <c r="Q773" t="n">
        <v>0</v>
      </c>
      <c r="R773" s="2" t="inlineStr"/>
    </row>
    <row r="774" ht="15" customHeight="1">
      <c r="A774" t="inlineStr">
        <is>
          <t>A 50179-2024</t>
        </is>
      </c>
      <c r="B774" s="1" t="n">
        <v>45600</v>
      </c>
      <c r="C774" s="1" t="n">
        <v>45929</v>
      </c>
      <c r="D774" t="inlineStr">
        <is>
          <t>VÄSTERNORRLANDS LÄN</t>
        </is>
      </c>
      <c r="E774" t="inlineStr">
        <is>
          <t>ÅNGE</t>
        </is>
      </c>
      <c r="G774" t="n">
        <v>3.6</v>
      </c>
      <c r="H774" t="n">
        <v>0</v>
      </c>
      <c r="I774" t="n">
        <v>0</v>
      </c>
      <c r="J774" t="n">
        <v>0</v>
      </c>
      <c r="K774" t="n">
        <v>0</v>
      </c>
      <c r="L774" t="n">
        <v>0</v>
      </c>
      <c r="M774" t="n">
        <v>0</v>
      </c>
      <c r="N774" t="n">
        <v>0</v>
      </c>
      <c r="O774" t="n">
        <v>0</v>
      </c>
      <c r="P774" t="n">
        <v>0</v>
      </c>
      <c r="Q774" t="n">
        <v>0</v>
      </c>
      <c r="R774" s="2" t="inlineStr"/>
    </row>
    <row r="775" ht="15" customHeight="1">
      <c r="A775" t="inlineStr">
        <is>
          <t>A 2140-2023</t>
        </is>
      </c>
      <c r="B775" s="1" t="n">
        <v>44940</v>
      </c>
      <c r="C775" s="1" t="n">
        <v>45929</v>
      </c>
      <c r="D775" t="inlineStr">
        <is>
          <t>VÄSTERNORRLANDS LÄN</t>
        </is>
      </c>
      <c r="E775" t="inlineStr">
        <is>
          <t>ÅNGE</t>
        </is>
      </c>
      <c r="G775" t="n">
        <v>2.9</v>
      </c>
      <c r="H775" t="n">
        <v>0</v>
      </c>
      <c r="I775" t="n">
        <v>0</v>
      </c>
      <c r="J775" t="n">
        <v>0</v>
      </c>
      <c r="K775" t="n">
        <v>0</v>
      </c>
      <c r="L775" t="n">
        <v>0</v>
      </c>
      <c r="M775" t="n">
        <v>0</v>
      </c>
      <c r="N775" t="n">
        <v>0</v>
      </c>
      <c r="O775" t="n">
        <v>0</v>
      </c>
      <c r="P775" t="n">
        <v>0</v>
      </c>
      <c r="Q775" t="n">
        <v>0</v>
      </c>
      <c r="R775" s="2" t="inlineStr"/>
    </row>
    <row r="776" ht="15" customHeight="1">
      <c r="A776" t="inlineStr">
        <is>
          <t>A 30347-2024</t>
        </is>
      </c>
      <c r="B776" s="1" t="n">
        <v>45490.95515046296</v>
      </c>
      <c r="C776" s="1" t="n">
        <v>45929</v>
      </c>
      <c r="D776" t="inlineStr">
        <is>
          <t>VÄSTERNORRLANDS LÄN</t>
        </is>
      </c>
      <c r="E776" t="inlineStr">
        <is>
          <t>ÅNGE</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65149-2020</t>
        </is>
      </c>
      <c r="B777" s="1" t="n">
        <v>44172</v>
      </c>
      <c r="C777" s="1" t="n">
        <v>45929</v>
      </c>
      <c r="D777" t="inlineStr">
        <is>
          <t>VÄSTERNORRLANDS LÄN</t>
        </is>
      </c>
      <c r="E777" t="inlineStr">
        <is>
          <t>ÅNGE</t>
        </is>
      </c>
      <c r="G777" t="n">
        <v>9.5</v>
      </c>
      <c r="H777" t="n">
        <v>0</v>
      </c>
      <c r="I777" t="n">
        <v>0</v>
      </c>
      <c r="J777" t="n">
        <v>0</v>
      </c>
      <c r="K777" t="n">
        <v>0</v>
      </c>
      <c r="L777" t="n">
        <v>0</v>
      </c>
      <c r="M777" t="n">
        <v>0</v>
      </c>
      <c r="N777" t="n">
        <v>0</v>
      </c>
      <c r="O777" t="n">
        <v>0</v>
      </c>
      <c r="P777" t="n">
        <v>0</v>
      </c>
      <c r="Q777" t="n">
        <v>0</v>
      </c>
      <c r="R777" s="2" t="inlineStr"/>
    </row>
    <row r="778" ht="15" customHeight="1">
      <c r="A778" t="inlineStr">
        <is>
          <t>A 11764-2024</t>
        </is>
      </c>
      <c r="B778" s="1" t="n">
        <v>45373.94837962963</v>
      </c>
      <c r="C778" s="1" t="n">
        <v>45929</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55177-2024</t>
        </is>
      </c>
      <c r="B779" s="1" t="n">
        <v>45621.53179398148</v>
      </c>
      <c r="C779" s="1" t="n">
        <v>45929</v>
      </c>
      <c r="D779" t="inlineStr">
        <is>
          <t>VÄSTERNORRLANDS LÄN</t>
        </is>
      </c>
      <c r="E779" t="inlineStr">
        <is>
          <t>ÅNGE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4095-2023</t>
        </is>
      </c>
      <c r="B780" s="1" t="n">
        <v>44952</v>
      </c>
      <c r="C780" s="1" t="n">
        <v>45929</v>
      </c>
      <c r="D780" t="inlineStr">
        <is>
          <t>VÄSTERNORRLANDS LÄN</t>
        </is>
      </c>
      <c r="E780" t="inlineStr">
        <is>
          <t>ÅNGE</t>
        </is>
      </c>
      <c r="G780" t="n">
        <v>13.4</v>
      </c>
      <c r="H780" t="n">
        <v>0</v>
      </c>
      <c r="I780" t="n">
        <v>0</v>
      </c>
      <c r="J780" t="n">
        <v>0</v>
      </c>
      <c r="K780" t="n">
        <v>0</v>
      </c>
      <c r="L780" t="n">
        <v>0</v>
      </c>
      <c r="M780" t="n">
        <v>0</v>
      </c>
      <c r="N780" t="n">
        <v>0</v>
      </c>
      <c r="O780" t="n">
        <v>0</v>
      </c>
      <c r="P780" t="n">
        <v>0</v>
      </c>
      <c r="Q780" t="n">
        <v>0</v>
      </c>
      <c r="R780" s="2" t="inlineStr"/>
    </row>
    <row r="781" ht="15" customHeight="1">
      <c r="A781" t="inlineStr">
        <is>
          <t>A 5367-2022</t>
        </is>
      </c>
      <c r="B781" s="1" t="n">
        <v>44594.92111111111</v>
      </c>
      <c r="C781" s="1" t="n">
        <v>45929</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54059-2024</t>
        </is>
      </c>
      <c r="B782" s="1" t="n">
        <v>45616.46943287037</v>
      </c>
      <c r="C782" s="1" t="n">
        <v>45929</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46419-2025</t>
        </is>
      </c>
      <c r="B783" s="1" t="n">
        <v>45925.5949537037</v>
      </c>
      <c r="C783" s="1" t="n">
        <v>45929</v>
      </c>
      <c r="D783" t="inlineStr">
        <is>
          <t>VÄSTERNORRLANDS LÄN</t>
        </is>
      </c>
      <c r="E783" t="inlineStr">
        <is>
          <t>ÅNGE</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43096-2023</t>
        </is>
      </c>
      <c r="B784" s="1" t="n">
        <v>45182</v>
      </c>
      <c r="C784" s="1" t="n">
        <v>45929</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44544.9203587963</v>
      </c>
      <c r="C785" s="1" t="n">
        <v>45929</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3322-2025</t>
        </is>
      </c>
      <c r="B786" s="1" t="n">
        <v>45679.6989699074</v>
      </c>
      <c r="C786" s="1" t="n">
        <v>45929</v>
      </c>
      <c r="D786" t="inlineStr">
        <is>
          <t>VÄSTERNORRLANDS LÄN</t>
        </is>
      </c>
      <c r="E786" t="inlineStr">
        <is>
          <t>ÅNGE</t>
        </is>
      </c>
      <c r="F786" t="inlineStr">
        <is>
          <t>SCA</t>
        </is>
      </c>
      <c r="G786" t="n">
        <v>11.1</v>
      </c>
      <c r="H786" t="n">
        <v>0</v>
      </c>
      <c r="I786" t="n">
        <v>0</v>
      </c>
      <c r="J786" t="n">
        <v>0</v>
      </c>
      <c r="K786" t="n">
        <v>0</v>
      </c>
      <c r="L786" t="n">
        <v>0</v>
      </c>
      <c r="M786" t="n">
        <v>0</v>
      </c>
      <c r="N786" t="n">
        <v>0</v>
      </c>
      <c r="O786" t="n">
        <v>0</v>
      </c>
      <c r="P786" t="n">
        <v>0</v>
      </c>
      <c r="Q786" t="n">
        <v>0</v>
      </c>
      <c r="R786" s="2" t="inlineStr"/>
    </row>
    <row r="787" ht="15" customHeight="1">
      <c r="A787" t="inlineStr">
        <is>
          <t>A 3327-2025</t>
        </is>
      </c>
      <c r="B787" s="1" t="n">
        <v>45679.69967592593</v>
      </c>
      <c r="C787" s="1" t="n">
        <v>45929</v>
      </c>
      <c r="D787" t="inlineStr">
        <is>
          <t>VÄSTERNORRLANDS LÄN</t>
        </is>
      </c>
      <c r="E787" t="inlineStr">
        <is>
          <t>ÅNGE</t>
        </is>
      </c>
      <c r="F787" t="inlineStr">
        <is>
          <t>SCA</t>
        </is>
      </c>
      <c r="G787" t="n">
        <v>12.9</v>
      </c>
      <c r="H787" t="n">
        <v>0</v>
      </c>
      <c r="I787" t="n">
        <v>0</v>
      </c>
      <c r="J787" t="n">
        <v>0</v>
      </c>
      <c r="K787" t="n">
        <v>0</v>
      </c>
      <c r="L787" t="n">
        <v>0</v>
      </c>
      <c r="M787" t="n">
        <v>0</v>
      </c>
      <c r="N787" t="n">
        <v>0</v>
      </c>
      <c r="O787" t="n">
        <v>0</v>
      </c>
      <c r="P787" t="n">
        <v>0</v>
      </c>
      <c r="Q787" t="n">
        <v>0</v>
      </c>
      <c r="R787" s="2" t="inlineStr"/>
    </row>
    <row r="788" ht="15" customHeight="1">
      <c r="A788" t="inlineStr">
        <is>
          <t>A 44158-2024</t>
        </is>
      </c>
      <c r="B788" s="1" t="n">
        <v>45572</v>
      </c>
      <c r="C788" s="1" t="n">
        <v>45929</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55882-2022</t>
        </is>
      </c>
      <c r="B789" s="1" t="n">
        <v>44888</v>
      </c>
      <c r="C789" s="1" t="n">
        <v>45929</v>
      </c>
      <c r="D789" t="inlineStr">
        <is>
          <t>VÄSTERNORRLANDS LÄN</t>
        </is>
      </c>
      <c r="E789" t="inlineStr">
        <is>
          <t>ÅNGE</t>
        </is>
      </c>
      <c r="G789" t="n">
        <v>2.7</v>
      </c>
      <c r="H789" t="n">
        <v>0</v>
      </c>
      <c r="I789" t="n">
        <v>0</v>
      </c>
      <c r="J789" t="n">
        <v>0</v>
      </c>
      <c r="K789" t="n">
        <v>0</v>
      </c>
      <c r="L789" t="n">
        <v>0</v>
      </c>
      <c r="M789" t="n">
        <v>0</v>
      </c>
      <c r="N789" t="n">
        <v>0</v>
      </c>
      <c r="O789" t="n">
        <v>0</v>
      </c>
      <c r="P789" t="n">
        <v>0</v>
      </c>
      <c r="Q789" t="n">
        <v>0</v>
      </c>
      <c r="R789" s="2" t="inlineStr"/>
    </row>
    <row r="790" ht="15" customHeight="1">
      <c r="A790" t="inlineStr">
        <is>
          <t>A 2299-2025</t>
        </is>
      </c>
      <c r="B790" s="1" t="n">
        <v>45673.59516203704</v>
      </c>
      <c r="C790" s="1" t="n">
        <v>45929</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3947-2025</t>
        </is>
      </c>
      <c r="B791" s="1" t="n">
        <v>45684.49001157407</v>
      </c>
      <c r="C791" s="1" t="n">
        <v>45929</v>
      </c>
      <c r="D791" t="inlineStr">
        <is>
          <t>VÄSTERNORRLANDS LÄN</t>
        </is>
      </c>
      <c r="E791" t="inlineStr">
        <is>
          <t>ÅNGE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15603-2024</t>
        </is>
      </c>
      <c r="B792" s="1" t="n">
        <v>45401.92501157407</v>
      </c>
      <c r="C792" s="1" t="n">
        <v>45929</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44639-2023</t>
        </is>
      </c>
      <c r="B793" s="1" t="n">
        <v>45184</v>
      </c>
      <c r="C793" s="1" t="n">
        <v>45929</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17009-2023</t>
        </is>
      </c>
      <c r="B794" s="1" t="n">
        <v>45033.9455787037</v>
      </c>
      <c r="C794" s="1" t="n">
        <v>45929</v>
      </c>
      <c r="D794" t="inlineStr">
        <is>
          <t>VÄSTERNORRLANDS LÄN</t>
        </is>
      </c>
      <c r="E794" t="inlineStr">
        <is>
          <t>ÅNGE</t>
        </is>
      </c>
      <c r="F794" t="inlineStr">
        <is>
          <t>SCA</t>
        </is>
      </c>
      <c r="G794" t="n">
        <v>5.8</v>
      </c>
      <c r="H794" t="n">
        <v>0</v>
      </c>
      <c r="I794" t="n">
        <v>0</v>
      </c>
      <c r="J794" t="n">
        <v>0</v>
      </c>
      <c r="K794" t="n">
        <v>0</v>
      </c>
      <c r="L794" t="n">
        <v>0</v>
      </c>
      <c r="M794" t="n">
        <v>0</v>
      </c>
      <c r="N794" t="n">
        <v>0</v>
      </c>
      <c r="O794" t="n">
        <v>0</v>
      </c>
      <c r="P794" t="n">
        <v>0</v>
      </c>
      <c r="Q794" t="n">
        <v>0</v>
      </c>
      <c r="R794" s="2" t="inlineStr"/>
    </row>
    <row r="795" ht="15" customHeight="1">
      <c r="A795" t="inlineStr">
        <is>
          <t>A 52804-2024</t>
        </is>
      </c>
      <c r="B795" s="1" t="n">
        <v>45610.57322916666</v>
      </c>
      <c r="C795" s="1" t="n">
        <v>45929</v>
      </c>
      <c r="D795" t="inlineStr">
        <is>
          <t>VÄSTERNORRLANDS LÄN</t>
        </is>
      </c>
      <c r="E795" t="inlineStr">
        <is>
          <t>ÅNGE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21151-2024</t>
        </is>
      </c>
      <c r="B796" s="1" t="n">
        <v>45440</v>
      </c>
      <c r="C796" s="1" t="n">
        <v>45929</v>
      </c>
      <c r="D796" t="inlineStr">
        <is>
          <t>VÄSTERNORRLANDS LÄN</t>
        </is>
      </c>
      <c r="E796" t="inlineStr">
        <is>
          <t>ÅNGE</t>
        </is>
      </c>
      <c r="G796" t="n">
        <v>3.7</v>
      </c>
      <c r="H796" t="n">
        <v>0</v>
      </c>
      <c r="I796" t="n">
        <v>0</v>
      </c>
      <c r="J796" t="n">
        <v>0</v>
      </c>
      <c r="K796" t="n">
        <v>0</v>
      </c>
      <c r="L796" t="n">
        <v>0</v>
      </c>
      <c r="M796" t="n">
        <v>0</v>
      </c>
      <c r="N796" t="n">
        <v>0</v>
      </c>
      <c r="O796" t="n">
        <v>0</v>
      </c>
      <c r="P796" t="n">
        <v>0</v>
      </c>
      <c r="Q796" t="n">
        <v>0</v>
      </c>
      <c r="R796" s="2" t="inlineStr"/>
    </row>
    <row r="797" ht="15" customHeight="1">
      <c r="A797" t="inlineStr">
        <is>
          <t>A 46249-2024</t>
        </is>
      </c>
      <c r="B797" s="1" t="n">
        <v>45581.59409722222</v>
      </c>
      <c r="C797" s="1" t="n">
        <v>45929</v>
      </c>
      <c r="D797" t="inlineStr">
        <is>
          <t>VÄSTERNORRLANDS LÄN</t>
        </is>
      </c>
      <c r="E797" t="inlineStr">
        <is>
          <t>ÅNGE</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60578-2024</t>
        </is>
      </c>
      <c r="B798" s="1" t="n">
        <v>45644.34434027778</v>
      </c>
      <c r="C798" s="1" t="n">
        <v>45929</v>
      </c>
      <c r="D798" t="inlineStr">
        <is>
          <t>VÄSTERNORRLANDS LÄN</t>
        </is>
      </c>
      <c r="E798" t="inlineStr">
        <is>
          <t>ÅNGE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13706-2023</t>
        </is>
      </c>
      <c r="B799" s="1" t="n">
        <v>45006</v>
      </c>
      <c r="C799" s="1" t="n">
        <v>45929</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24977-2021</t>
        </is>
      </c>
      <c r="B800" s="1" t="n">
        <v>44341.51386574074</v>
      </c>
      <c r="C800" s="1" t="n">
        <v>45929</v>
      </c>
      <c r="D800" t="inlineStr">
        <is>
          <t>VÄSTERNORRLANDS LÄN</t>
        </is>
      </c>
      <c r="E800" t="inlineStr">
        <is>
          <t>ÅNGE</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25034-2023</t>
        </is>
      </c>
      <c r="B801" s="1" t="n">
        <v>45085</v>
      </c>
      <c r="C801" s="1" t="n">
        <v>45929</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6462-2024</t>
        </is>
      </c>
      <c r="B802" s="1" t="n">
        <v>45338</v>
      </c>
      <c r="C802" s="1" t="n">
        <v>45929</v>
      </c>
      <c r="D802" t="inlineStr">
        <is>
          <t>VÄSTERNORRLANDS LÄN</t>
        </is>
      </c>
      <c r="E802" t="inlineStr">
        <is>
          <t>ÅNGE</t>
        </is>
      </c>
      <c r="F802" t="inlineStr">
        <is>
          <t>Kyrkan</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26490-2024</t>
        </is>
      </c>
      <c r="B803" s="1" t="n">
        <v>45469</v>
      </c>
      <c r="C803" s="1" t="n">
        <v>45929</v>
      </c>
      <c r="D803" t="inlineStr">
        <is>
          <t>VÄSTERNORRLANDS LÄN</t>
        </is>
      </c>
      <c r="E803" t="inlineStr">
        <is>
          <t>ÅNGE</t>
        </is>
      </c>
      <c r="F803" t="inlineStr">
        <is>
          <t>Sveaskog</t>
        </is>
      </c>
      <c r="G803" t="n">
        <v>0.4</v>
      </c>
      <c r="H803" t="n">
        <v>0</v>
      </c>
      <c r="I803" t="n">
        <v>0</v>
      </c>
      <c r="J803" t="n">
        <v>0</v>
      </c>
      <c r="K803" t="n">
        <v>0</v>
      </c>
      <c r="L803" t="n">
        <v>0</v>
      </c>
      <c r="M803" t="n">
        <v>0</v>
      </c>
      <c r="N803" t="n">
        <v>0</v>
      </c>
      <c r="O803" t="n">
        <v>0</v>
      </c>
      <c r="P803" t="n">
        <v>0</v>
      </c>
      <c r="Q803" t="n">
        <v>0</v>
      </c>
      <c r="R803" s="2" t="inlineStr"/>
    </row>
    <row r="804" ht="15" customHeight="1">
      <c r="A804" t="inlineStr">
        <is>
          <t>A 22597-2021</t>
        </is>
      </c>
      <c r="B804" s="1" t="n">
        <v>44326</v>
      </c>
      <c r="C804" s="1" t="n">
        <v>45929</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38272-2024</t>
        </is>
      </c>
      <c r="B805" s="1" t="n">
        <v>45545.60392361111</v>
      </c>
      <c r="C805" s="1" t="n">
        <v>45929</v>
      </c>
      <c r="D805" t="inlineStr">
        <is>
          <t>VÄSTERNORRLANDS LÄN</t>
        </is>
      </c>
      <c r="E805" t="inlineStr">
        <is>
          <t>ÅNGE</t>
        </is>
      </c>
      <c r="G805" t="n">
        <v>1.7</v>
      </c>
      <c r="H805" t="n">
        <v>0</v>
      </c>
      <c r="I805" t="n">
        <v>0</v>
      </c>
      <c r="J805" t="n">
        <v>0</v>
      </c>
      <c r="K805" t="n">
        <v>0</v>
      </c>
      <c r="L805" t="n">
        <v>0</v>
      </c>
      <c r="M805" t="n">
        <v>0</v>
      </c>
      <c r="N805" t="n">
        <v>0</v>
      </c>
      <c r="O805" t="n">
        <v>0</v>
      </c>
      <c r="P805" t="n">
        <v>0</v>
      </c>
      <c r="Q805" t="n">
        <v>0</v>
      </c>
      <c r="R805" s="2" t="inlineStr"/>
    </row>
    <row r="806" ht="15" customHeight="1">
      <c r="A806" t="inlineStr">
        <is>
          <t>A 33747-2024</t>
        </is>
      </c>
      <c r="B806" s="1" t="n">
        <v>45520</v>
      </c>
      <c r="C806" s="1" t="n">
        <v>45929</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34754-2024</t>
        </is>
      </c>
      <c r="B807" s="1" t="n">
        <v>45526</v>
      </c>
      <c r="C807" s="1" t="n">
        <v>45929</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22411-2023</t>
        </is>
      </c>
      <c r="B808" s="1" t="n">
        <v>45070</v>
      </c>
      <c r="C808" s="1" t="n">
        <v>45929</v>
      </c>
      <c r="D808" t="inlineStr">
        <is>
          <t>VÄSTERNORRLANDS LÄN</t>
        </is>
      </c>
      <c r="E808" t="inlineStr">
        <is>
          <t>ÅNGE</t>
        </is>
      </c>
      <c r="G808" t="n">
        <v>2.8</v>
      </c>
      <c r="H808" t="n">
        <v>0</v>
      </c>
      <c r="I808" t="n">
        <v>0</v>
      </c>
      <c r="J808" t="n">
        <v>0</v>
      </c>
      <c r="K808" t="n">
        <v>0</v>
      </c>
      <c r="L808" t="n">
        <v>0</v>
      </c>
      <c r="M808" t="n">
        <v>0</v>
      </c>
      <c r="N808" t="n">
        <v>0</v>
      </c>
      <c r="O808" t="n">
        <v>0</v>
      </c>
      <c r="P808" t="n">
        <v>0</v>
      </c>
      <c r="Q808" t="n">
        <v>0</v>
      </c>
      <c r="R808" s="2" t="inlineStr"/>
    </row>
    <row r="809" ht="15" customHeight="1">
      <c r="A809" t="inlineStr">
        <is>
          <t>A 10282-2025</t>
        </is>
      </c>
      <c r="B809" s="1" t="n">
        <v>45720.40659722222</v>
      </c>
      <c r="C809" s="1" t="n">
        <v>45929</v>
      </c>
      <c r="D809" t="inlineStr">
        <is>
          <t>VÄSTERNORRLANDS LÄN</t>
        </is>
      </c>
      <c r="E809" t="inlineStr">
        <is>
          <t>ÅNGE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16593-2023</t>
        </is>
      </c>
      <c r="B810" s="1" t="n">
        <v>45030</v>
      </c>
      <c r="C810" s="1" t="n">
        <v>45929</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16600-2023</t>
        </is>
      </c>
      <c r="B811" s="1" t="n">
        <v>45030</v>
      </c>
      <c r="C811" s="1" t="n">
        <v>45929</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4071-2025</t>
        </is>
      </c>
      <c r="B812" s="1" t="n">
        <v>45684.63579861111</v>
      </c>
      <c r="C812" s="1" t="n">
        <v>45929</v>
      </c>
      <c r="D812" t="inlineStr">
        <is>
          <t>VÄSTERNORRLANDS LÄN</t>
        </is>
      </c>
      <c r="E812" t="inlineStr">
        <is>
          <t>ÅNGE</t>
        </is>
      </c>
      <c r="F812" t="inlineStr">
        <is>
          <t>SCA</t>
        </is>
      </c>
      <c r="G812" t="n">
        <v>13.7</v>
      </c>
      <c r="H812" t="n">
        <v>0</v>
      </c>
      <c r="I812" t="n">
        <v>0</v>
      </c>
      <c r="J812" t="n">
        <v>0</v>
      </c>
      <c r="K812" t="n">
        <v>0</v>
      </c>
      <c r="L812" t="n">
        <v>0</v>
      </c>
      <c r="M812" t="n">
        <v>0</v>
      </c>
      <c r="N812" t="n">
        <v>0</v>
      </c>
      <c r="O812" t="n">
        <v>0</v>
      </c>
      <c r="P812" t="n">
        <v>0</v>
      </c>
      <c r="Q812" t="n">
        <v>0</v>
      </c>
      <c r="R812" s="2" t="inlineStr"/>
    </row>
    <row r="813" ht="15" customHeight="1">
      <c r="A813" t="inlineStr">
        <is>
          <t>A 6619-2025</t>
        </is>
      </c>
      <c r="B813" s="1" t="n">
        <v>45700.36541666667</v>
      </c>
      <c r="C813" s="1" t="n">
        <v>45929</v>
      </c>
      <c r="D813" t="inlineStr">
        <is>
          <t>VÄSTERNORRLANDS LÄN</t>
        </is>
      </c>
      <c r="E813" t="inlineStr">
        <is>
          <t>ÅNGE</t>
        </is>
      </c>
      <c r="F813" t="inlineStr">
        <is>
          <t>SCA</t>
        </is>
      </c>
      <c r="G813" t="n">
        <v>10.3</v>
      </c>
      <c r="H813" t="n">
        <v>0</v>
      </c>
      <c r="I813" t="n">
        <v>0</v>
      </c>
      <c r="J813" t="n">
        <v>0</v>
      </c>
      <c r="K813" t="n">
        <v>0</v>
      </c>
      <c r="L813" t="n">
        <v>0</v>
      </c>
      <c r="M813" t="n">
        <v>0</v>
      </c>
      <c r="N813" t="n">
        <v>0</v>
      </c>
      <c r="O813" t="n">
        <v>0</v>
      </c>
      <c r="P813" t="n">
        <v>0</v>
      </c>
      <c r="Q813" t="n">
        <v>0</v>
      </c>
      <c r="R813" s="2" t="inlineStr"/>
    </row>
    <row r="814" ht="15" customHeight="1">
      <c r="A814" t="inlineStr">
        <is>
          <t>A 137-2025</t>
        </is>
      </c>
      <c r="B814" s="1" t="n">
        <v>45659.57684027778</v>
      </c>
      <c r="C814" s="1" t="n">
        <v>45929</v>
      </c>
      <c r="D814" t="inlineStr">
        <is>
          <t>VÄSTERNORRLANDS LÄN</t>
        </is>
      </c>
      <c r="E814" t="inlineStr">
        <is>
          <t>ÅNGE</t>
        </is>
      </c>
      <c r="G814" t="n">
        <v>0.2</v>
      </c>
      <c r="H814" t="n">
        <v>0</v>
      </c>
      <c r="I814" t="n">
        <v>0</v>
      </c>
      <c r="J814" t="n">
        <v>0</v>
      </c>
      <c r="K814" t="n">
        <v>0</v>
      </c>
      <c r="L814" t="n">
        <v>0</v>
      </c>
      <c r="M814" t="n">
        <v>0</v>
      </c>
      <c r="N814" t="n">
        <v>0</v>
      </c>
      <c r="O814" t="n">
        <v>0</v>
      </c>
      <c r="P814" t="n">
        <v>0</v>
      </c>
      <c r="Q814" t="n">
        <v>0</v>
      </c>
      <c r="R814" s="2" t="inlineStr"/>
    </row>
    <row r="815" ht="15" customHeight="1">
      <c r="A815" t="inlineStr">
        <is>
          <t>A 42488-2024</t>
        </is>
      </c>
      <c r="B815" s="1" t="n">
        <v>45565.49420138889</v>
      </c>
      <c r="C815" s="1" t="n">
        <v>45929</v>
      </c>
      <c r="D815" t="inlineStr">
        <is>
          <t>VÄSTERNORRLANDS LÄN</t>
        </is>
      </c>
      <c r="E815" t="inlineStr">
        <is>
          <t>ÅNGE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10071-2023</t>
        </is>
      </c>
      <c r="B816" s="1" t="n">
        <v>44985.92418981482</v>
      </c>
      <c r="C816" s="1" t="n">
        <v>45929</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35399-2024</t>
        </is>
      </c>
      <c r="B817" s="1" t="n">
        <v>45531.40438657408</v>
      </c>
      <c r="C817" s="1" t="n">
        <v>45929</v>
      </c>
      <c r="D817" t="inlineStr">
        <is>
          <t>VÄSTERNORRLANDS LÄN</t>
        </is>
      </c>
      <c r="E817" t="inlineStr">
        <is>
          <t>ÅNGE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53856-2024</t>
        </is>
      </c>
      <c r="B818" s="1" t="n">
        <v>45615</v>
      </c>
      <c r="C818" s="1" t="n">
        <v>45929</v>
      </c>
      <c r="D818" t="inlineStr">
        <is>
          <t>VÄSTERNORRLANDS LÄN</t>
        </is>
      </c>
      <c r="E818" t="inlineStr">
        <is>
          <t>ÅNGE</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53858-2024</t>
        </is>
      </c>
      <c r="B819" s="1" t="n">
        <v>45615</v>
      </c>
      <c r="C819" s="1" t="n">
        <v>45929</v>
      </c>
      <c r="D819" t="inlineStr">
        <is>
          <t>VÄSTERNORRLANDS LÄN</t>
        </is>
      </c>
      <c r="E819" t="inlineStr">
        <is>
          <t>ÅNGE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8070-2022</t>
        </is>
      </c>
      <c r="B820" s="1" t="n">
        <v>44609.48665509259</v>
      </c>
      <c r="C820" s="1" t="n">
        <v>45929</v>
      </c>
      <c r="D820" t="inlineStr">
        <is>
          <t>VÄSTERNORRLANDS LÄN</t>
        </is>
      </c>
      <c r="E820" t="inlineStr">
        <is>
          <t>ÅNGE</t>
        </is>
      </c>
      <c r="G820" t="n">
        <v>3.5</v>
      </c>
      <c r="H820" t="n">
        <v>0</v>
      </c>
      <c r="I820" t="n">
        <v>0</v>
      </c>
      <c r="J820" t="n">
        <v>0</v>
      </c>
      <c r="K820" t="n">
        <v>0</v>
      </c>
      <c r="L820" t="n">
        <v>0</v>
      </c>
      <c r="M820" t="n">
        <v>0</v>
      </c>
      <c r="N820" t="n">
        <v>0</v>
      </c>
      <c r="O820" t="n">
        <v>0</v>
      </c>
      <c r="P820" t="n">
        <v>0</v>
      </c>
      <c r="Q820" t="n">
        <v>0</v>
      </c>
      <c r="R820" s="2" t="inlineStr"/>
    </row>
    <row r="821" ht="15" customHeight="1">
      <c r="A821" t="inlineStr">
        <is>
          <t>A 39682-2024</t>
        </is>
      </c>
      <c r="B821" s="1" t="n">
        <v>45552</v>
      </c>
      <c r="C821" s="1" t="n">
        <v>45929</v>
      </c>
      <c r="D821" t="inlineStr">
        <is>
          <t>VÄSTERNORRLANDS LÄN</t>
        </is>
      </c>
      <c r="E821" t="inlineStr">
        <is>
          <t>ÅNGE</t>
        </is>
      </c>
      <c r="G821" t="n">
        <v>35.4</v>
      </c>
      <c r="H821" t="n">
        <v>0</v>
      </c>
      <c r="I821" t="n">
        <v>0</v>
      </c>
      <c r="J821" t="n">
        <v>0</v>
      </c>
      <c r="K821" t="n">
        <v>0</v>
      </c>
      <c r="L821" t="n">
        <v>0</v>
      </c>
      <c r="M821" t="n">
        <v>0</v>
      </c>
      <c r="N821" t="n">
        <v>0</v>
      </c>
      <c r="O821" t="n">
        <v>0</v>
      </c>
      <c r="P821" t="n">
        <v>0</v>
      </c>
      <c r="Q821" t="n">
        <v>0</v>
      </c>
      <c r="R821" s="2" t="inlineStr"/>
    </row>
    <row r="822" ht="15" customHeight="1">
      <c r="A822" t="inlineStr">
        <is>
          <t>A 17668-2023</t>
        </is>
      </c>
      <c r="B822" s="1" t="n">
        <v>45036</v>
      </c>
      <c r="C822" s="1" t="n">
        <v>45929</v>
      </c>
      <c r="D822" t="inlineStr">
        <is>
          <t>VÄSTERNORRLANDS LÄN</t>
        </is>
      </c>
      <c r="E822" t="inlineStr">
        <is>
          <t>ÅNGE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8406-2023</t>
        </is>
      </c>
      <c r="B823" s="1" t="n">
        <v>44971</v>
      </c>
      <c r="C823" s="1" t="n">
        <v>45929</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14097-2022</t>
        </is>
      </c>
      <c r="B824" s="1" t="n">
        <v>44651</v>
      </c>
      <c r="C824" s="1" t="n">
        <v>45929</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29667-2024</t>
        </is>
      </c>
      <c r="B825" s="1" t="n">
        <v>45484.94041666666</v>
      </c>
      <c r="C825" s="1" t="n">
        <v>45929</v>
      </c>
      <c r="D825" t="inlineStr">
        <is>
          <t>VÄSTERNORRLANDS LÄN</t>
        </is>
      </c>
      <c r="E825" t="inlineStr">
        <is>
          <t>ÅNGE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45929</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39975-2023</t>
        </is>
      </c>
      <c r="B827" s="1" t="n">
        <v>45168.58844907407</v>
      </c>
      <c r="C827" s="1" t="n">
        <v>45929</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16362-2023</t>
        </is>
      </c>
      <c r="B828" s="1" t="n">
        <v>45028.9250462963</v>
      </c>
      <c r="C828" s="1" t="n">
        <v>45929</v>
      </c>
      <c r="D828" t="inlineStr">
        <is>
          <t>VÄSTERNORRLANDS LÄN</t>
        </is>
      </c>
      <c r="E828" t="inlineStr">
        <is>
          <t>ÅNGE</t>
        </is>
      </c>
      <c r="G828" t="n">
        <v>4.8</v>
      </c>
      <c r="H828" t="n">
        <v>0</v>
      </c>
      <c r="I828" t="n">
        <v>0</v>
      </c>
      <c r="J828" t="n">
        <v>0</v>
      </c>
      <c r="K828" t="n">
        <v>0</v>
      </c>
      <c r="L828" t="n">
        <v>0</v>
      </c>
      <c r="M828" t="n">
        <v>0</v>
      </c>
      <c r="N828" t="n">
        <v>0</v>
      </c>
      <c r="O828" t="n">
        <v>0</v>
      </c>
      <c r="P828" t="n">
        <v>0</v>
      </c>
      <c r="Q828" t="n">
        <v>0</v>
      </c>
      <c r="R828" s="2" t="inlineStr"/>
    </row>
    <row r="829" ht="15" customHeight="1">
      <c r="A829" t="inlineStr">
        <is>
          <t>A 45933-2023</t>
        </is>
      </c>
      <c r="B829" s="1" t="n">
        <v>45195</v>
      </c>
      <c r="C829" s="1" t="n">
        <v>45929</v>
      </c>
      <c r="D829" t="inlineStr">
        <is>
          <t>VÄSTERNORRLANDS LÄN</t>
        </is>
      </c>
      <c r="E829" t="inlineStr">
        <is>
          <t>ÅNGE</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32776-2022</t>
        </is>
      </c>
      <c r="B830" s="1" t="n">
        <v>44783.94607638889</v>
      </c>
      <c r="C830" s="1" t="n">
        <v>45929</v>
      </c>
      <c r="D830" t="inlineStr">
        <is>
          <t>VÄSTERNORRLANDS LÄN</t>
        </is>
      </c>
      <c r="E830" t="inlineStr">
        <is>
          <t>ÅNGE</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57601-2022</t>
        </is>
      </c>
      <c r="B831" s="1" t="n">
        <v>44896</v>
      </c>
      <c r="C831" s="1" t="n">
        <v>45929</v>
      </c>
      <c r="D831" t="inlineStr">
        <is>
          <t>VÄSTERNORRLANDS LÄN</t>
        </is>
      </c>
      <c r="E831" t="inlineStr">
        <is>
          <t>ÅNGE</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11032-2025</t>
        </is>
      </c>
      <c r="B832" s="1" t="n">
        <v>45723.47601851852</v>
      </c>
      <c r="C832" s="1" t="n">
        <v>45929</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28779-2023</t>
        </is>
      </c>
      <c r="B833" s="1" t="n">
        <v>45104.34314814815</v>
      </c>
      <c r="C833" s="1" t="n">
        <v>45929</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63607-2021</t>
        </is>
      </c>
      <c r="B834" s="1" t="n">
        <v>44508.94650462963</v>
      </c>
      <c r="C834" s="1" t="n">
        <v>45929</v>
      </c>
      <c r="D834" t="inlineStr">
        <is>
          <t>VÄSTERNORRLANDS LÄN</t>
        </is>
      </c>
      <c r="E834" t="inlineStr">
        <is>
          <t>ÅNGE</t>
        </is>
      </c>
      <c r="F834" t="inlineStr">
        <is>
          <t>SCA</t>
        </is>
      </c>
      <c r="G834" t="n">
        <v>6.7</v>
      </c>
      <c r="H834" t="n">
        <v>0</v>
      </c>
      <c r="I834" t="n">
        <v>0</v>
      </c>
      <c r="J834" t="n">
        <v>0</v>
      </c>
      <c r="K834" t="n">
        <v>0</v>
      </c>
      <c r="L834" t="n">
        <v>0</v>
      </c>
      <c r="M834" t="n">
        <v>0</v>
      </c>
      <c r="N834" t="n">
        <v>0</v>
      </c>
      <c r="O834" t="n">
        <v>0</v>
      </c>
      <c r="P834" t="n">
        <v>0</v>
      </c>
      <c r="Q834" t="n">
        <v>0</v>
      </c>
      <c r="R834" s="2" t="inlineStr"/>
    </row>
    <row r="835" ht="15" customHeight="1">
      <c r="A835" t="inlineStr">
        <is>
          <t>A 30235-2024</t>
        </is>
      </c>
      <c r="B835" s="1" t="n">
        <v>45490.49040509259</v>
      </c>
      <c r="C835" s="1" t="n">
        <v>45929</v>
      </c>
      <c r="D835" t="inlineStr">
        <is>
          <t>VÄSTERNORRLANDS LÄN</t>
        </is>
      </c>
      <c r="E835" t="inlineStr">
        <is>
          <t>ÅNGE</t>
        </is>
      </c>
      <c r="G835" t="n">
        <v>3.7</v>
      </c>
      <c r="H835" t="n">
        <v>0</v>
      </c>
      <c r="I835" t="n">
        <v>0</v>
      </c>
      <c r="J835" t="n">
        <v>0</v>
      </c>
      <c r="K835" t="n">
        <v>0</v>
      </c>
      <c r="L835" t="n">
        <v>0</v>
      </c>
      <c r="M835" t="n">
        <v>0</v>
      </c>
      <c r="N835" t="n">
        <v>0</v>
      </c>
      <c r="O835" t="n">
        <v>0</v>
      </c>
      <c r="P835" t="n">
        <v>0</v>
      </c>
      <c r="Q835" t="n">
        <v>0</v>
      </c>
      <c r="R835" s="2" t="inlineStr"/>
    </row>
    <row r="836" ht="15" customHeight="1">
      <c r="A836" t="inlineStr">
        <is>
          <t>A 56874-2024</t>
        </is>
      </c>
      <c r="B836" s="1" t="n">
        <v>45628</v>
      </c>
      <c r="C836" s="1" t="n">
        <v>45929</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34649-2024</t>
        </is>
      </c>
      <c r="B837" s="1" t="n">
        <v>45526.48325231481</v>
      </c>
      <c r="C837" s="1" t="n">
        <v>45929</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16657-2025</t>
        </is>
      </c>
      <c r="B838" s="1" t="n">
        <v>45754.40700231482</v>
      </c>
      <c r="C838" s="1" t="n">
        <v>45929</v>
      </c>
      <c r="D838" t="inlineStr">
        <is>
          <t>VÄSTERNORRLANDS LÄN</t>
        </is>
      </c>
      <c r="E838" t="inlineStr">
        <is>
          <t>ÅNGE</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6608-2025</t>
        </is>
      </c>
      <c r="B839" s="1" t="n">
        <v>45700.34415509259</v>
      </c>
      <c r="C839" s="1" t="n">
        <v>45929</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41370-2023</t>
        </is>
      </c>
      <c r="B840" s="1" t="n">
        <v>45174.85951388889</v>
      </c>
      <c r="C840" s="1" t="n">
        <v>45929</v>
      </c>
      <c r="D840" t="inlineStr">
        <is>
          <t>VÄSTERNORRLANDS LÄN</t>
        </is>
      </c>
      <c r="E840" t="inlineStr">
        <is>
          <t>ÅNGE</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38686-2025</t>
        </is>
      </c>
      <c r="B841" s="1" t="n">
        <v>45884.65658564815</v>
      </c>
      <c r="C841" s="1" t="n">
        <v>45929</v>
      </c>
      <c r="D841" t="inlineStr">
        <is>
          <t>VÄSTERNORRLANDS LÄN</t>
        </is>
      </c>
      <c r="E841" t="inlineStr">
        <is>
          <t>ÅNGE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51871-2024</t>
        </is>
      </c>
      <c r="B842" s="1" t="n">
        <v>45607</v>
      </c>
      <c r="C842" s="1" t="n">
        <v>45929</v>
      </c>
      <c r="D842" t="inlineStr">
        <is>
          <t>VÄSTERNORRLANDS LÄN</t>
        </is>
      </c>
      <c r="E842" t="inlineStr">
        <is>
          <t>ÅNGE</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38332-2025</t>
        </is>
      </c>
      <c r="B843" s="1" t="n">
        <v>45883.49151620371</v>
      </c>
      <c r="C843" s="1" t="n">
        <v>45929</v>
      </c>
      <c r="D843" t="inlineStr">
        <is>
          <t>VÄSTERNORRLANDS LÄN</t>
        </is>
      </c>
      <c r="E843" t="inlineStr">
        <is>
          <t>ÅNGE</t>
        </is>
      </c>
      <c r="F843" t="inlineStr">
        <is>
          <t>SCA</t>
        </is>
      </c>
      <c r="G843" t="n">
        <v>5.9</v>
      </c>
      <c r="H843" t="n">
        <v>0</v>
      </c>
      <c r="I843" t="n">
        <v>0</v>
      </c>
      <c r="J843" t="n">
        <v>0</v>
      </c>
      <c r="K843" t="n">
        <v>0</v>
      </c>
      <c r="L843" t="n">
        <v>0</v>
      </c>
      <c r="M843" t="n">
        <v>0</v>
      </c>
      <c r="N843" t="n">
        <v>0</v>
      </c>
      <c r="O843" t="n">
        <v>0</v>
      </c>
      <c r="P843" t="n">
        <v>0</v>
      </c>
      <c r="Q843" t="n">
        <v>0</v>
      </c>
      <c r="R843" s="2" t="inlineStr"/>
    </row>
    <row r="844" ht="15" customHeight="1">
      <c r="A844" t="inlineStr">
        <is>
          <t>A 14927-2025</t>
        </is>
      </c>
      <c r="B844" s="1" t="n">
        <v>45743</v>
      </c>
      <c r="C844" s="1" t="n">
        <v>45929</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14933-2025</t>
        </is>
      </c>
      <c r="B845" s="1" t="n">
        <v>45743.55380787037</v>
      </c>
      <c r="C845" s="1" t="n">
        <v>45929</v>
      </c>
      <c r="D845" t="inlineStr">
        <is>
          <t>VÄSTERNORRLANDS LÄN</t>
        </is>
      </c>
      <c r="E845" t="inlineStr">
        <is>
          <t>ÅNGE</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19065-2025</t>
        </is>
      </c>
      <c r="B846" s="1" t="n">
        <v>45765</v>
      </c>
      <c r="C846" s="1" t="n">
        <v>45929</v>
      </c>
      <c r="D846" t="inlineStr">
        <is>
          <t>VÄSTERNORRLANDS LÄN</t>
        </is>
      </c>
      <c r="E846" t="inlineStr">
        <is>
          <t>ÅNGE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38284-2022</t>
        </is>
      </c>
      <c r="B847" s="1" t="n">
        <v>44812.55149305556</v>
      </c>
      <c r="C847" s="1" t="n">
        <v>45929</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36290-2023</t>
        </is>
      </c>
      <c r="B848" s="1" t="n">
        <v>45152.35467592593</v>
      </c>
      <c r="C848" s="1" t="n">
        <v>45929</v>
      </c>
      <c r="D848" t="inlineStr">
        <is>
          <t>VÄSTERNORRLANDS LÄN</t>
        </is>
      </c>
      <c r="E848" t="inlineStr">
        <is>
          <t>ÅNGE</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48369-2024</t>
        </is>
      </c>
      <c r="B849" s="1" t="n">
        <v>45590.57960648148</v>
      </c>
      <c r="C849" s="1" t="n">
        <v>45929</v>
      </c>
      <c r="D849" t="inlineStr">
        <is>
          <t>VÄSTERNORRLANDS LÄN</t>
        </is>
      </c>
      <c r="E849" t="inlineStr">
        <is>
          <t>ÅNGE</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30353-2024</t>
        </is>
      </c>
      <c r="B850" s="1" t="n">
        <v>45490.95567129629</v>
      </c>
      <c r="C850" s="1" t="n">
        <v>45929</v>
      </c>
      <c r="D850" t="inlineStr">
        <is>
          <t>VÄSTERNORRLANDS LÄN</t>
        </is>
      </c>
      <c r="E850" t="inlineStr">
        <is>
          <t>ÅNGE</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1714-2025</t>
        </is>
      </c>
      <c r="B851" s="1" t="n">
        <v>45671.32474537037</v>
      </c>
      <c r="C851" s="1" t="n">
        <v>45929</v>
      </c>
      <c r="D851" t="inlineStr">
        <is>
          <t>VÄSTERNORRLANDS LÄN</t>
        </is>
      </c>
      <c r="E851" t="inlineStr">
        <is>
          <t>ÅNGE</t>
        </is>
      </c>
      <c r="G851" t="n">
        <v>2</v>
      </c>
      <c r="H851" t="n">
        <v>0</v>
      </c>
      <c r="I851" t="n">
        <v>0</v>
      </c>
      <c r="J851" t="n">
        <v>0</v>
      </c>
      <c r="K851" t="n">
        <v>0</v>
      </c>
      <c r="L851" t="n">
        <v>0</v>
      </c>
      <c r="M851" t="n">
        <v>0</v>
      </c>
      <c r="N851" t="n">
        <v>0</v>
      </c>
      <c r="O851" t="n">
        <v>0</v>
      </c>
      <c r="P851" t="n">
        <v>0</v>
      </c>
      <c r="Q851" t="n">
        <v>0</v>
      </c>
      <c r="R851" s="2" t="inlineStr"/>
    </row>
    <row r="852" ht="15" customHeight="1">
      <c r="A852" t="inlineStr">
        <is>
          <t>A 11529-2023</t>
        </is>
      </c>
      <c r="B852" s="1" t="n">
        <v>44993</v>
      </c>
      <c r="C852" s="1" t="n">
        <v>45929</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16606-2023</t>
        </is>
      </c>
      <c r="B853" s="1" t="n">
        <v>45030.3990625</v>
      </c>
      <c r="C853" s="1" t="n">
        <v>45929</v>
      </c>
      <c r="D853" t="inlineStr">
        <is>
          <t>VÄSTERNORRLANDS LÄN</t>
        </is>
      </c>
      <c r="E853" t="inlineStr">
        <is>
          <t>ÅNGE</t>
        </is>
      </c>
      <c r="G853" t="n">
        <v>0.9</v>
      </c>
      <c r="H853" t="n">
        <v>0</v>
      </c>
      <c r="I853" t="n">
        <v>0</v>
      </c>
      <c r="J853" t="n">
        <v>0</v>
      </c>
      <c r="K853" t="n">
        <v>0</v>
      </c>
      <c r="L853" t="n">
        <v>0</v>
      </c>
      <c r="M853" t="n">
        <v>0</v>
      </c>
      <c r="N853" t="n">
        <v>0</v>
      </c>
      <c r="O853" t="n">
        <v>0</v>
      </c>
      <c r="P853" t="n">
        <v>0</v>
      </c>
      <c r="Q853" t="n">
        <v>0</v>
      </c>
      <c r="R853" s="2" t="inlineStr"/>
    </row>
    <row r="854" ht="15" customHeight="1">
      <c r="A854" t="inlineStr">
        <is>
          <t>A 31182-2024</t>
        </is>
      </c>
      <c r="B854" s="1" t="n">
        <v>45503</v>
      </c>
      <c r="C854" s="1" t="n">
        <v>45929</v>
      </c>
      <c r="D854" t="inlineStr">
        <is>
          <t>VÄSTERNORRLANDS LÄN</t>
        </is>
      </c>
      <c r="E854" t="inlineStr">
        <is>
          <t>ÅNGE</t>
        </is>
      </c>
      <c r="G854" t="n">
        <v>8.6</v>
      </c>
      <c r="H854" t="n">
        <v>0</v>
      </c>
      <c r="I854" t="n">
        <v>0</v>
      </c>
      <c r="J854" t="n">
        <v>0</v>
      </c>
      <c r="K854" t="n">
        <v>0</v>
      </c>
      <c r="L854" t="n">
        <v>0</v>
      </c>
      <c r="M854" t="n">
        <v>0</v>
      </c>
      <c r="N854" t="n">
        <v>0</v>
      </c>
      <c r="O854" t="n">
        <v>0</v>
      </c>
      <c r="P854" t="n">
        <v>0</v>
      </c>
      <c r="Q854" t="n">
        <v>0</v>
      </c>
      <c r="R854" s="2" t="inlineStr"/>
    </row>
    <row r="855" ht="15" customHeight="1">
      <c r="A855" t="inlineStr">
        <is>
          <t>A 38693-2025</t>
        </is>
      </c>
      <c r="B855" s="1" t="n">
        <v>45884.69829861111</v>
      </c>
      <c r="C855" s="1" t="n">
        <v>45929</v>
      </c>
      <c r="D855" t="inlineStr">
        <is>
          <t>VÄSTERNORRLANDS LÄN</t>
        </is>
      </c>
      <c r="E855" t="inlineStr">
        <is>
          <t>ÅNGE</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25047-2023</t>
        </is>
      </c>
      <c r="B856" s="1" t="n">
        <v>45085.94569444445</v>
      </c>
      <c r="C856" s="1" t="n">
        <v>45929</v>
      </c>
      <c r="D856" t="inlineStr">
        <is>
          <t>VÄSTERNORRLANDS LÄN</t>
        </is>
      </c>
      <c r="E856" t="inlineStr">
        <is>
          <t>ÅNGE</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15791-2025</t>
        </is>
      </c>
      <c r="B857" s="1" t="n">
        <v>45748.631875</v>
      </c>
      <c r="C857" s="1" t="n">
        <v>45929</v>
      </c>
      <c r="D857" t="inlineStr">
        <is>
          <t>VÄSTERNORRLANDS LÄN</t>
        </is>
      </c>
      <c r="E857" t="inlineStr">
        <is>
          <t>ÅNGE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38386-2025</t>
        </is>
      </c>
      <c r="B858" s="1" t="n">
        <v>45883.57430555556</v>
      </c>
      <c r="C858" s="1" t="n">
        <v>45929</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38273-2025</t>
        </is>
      </c>
      <c r="B859" s="1" t="n">
        <v>45883.40740740741</v>
      </c>
      <c r="C859" s="1" t="n">
        <v>45929</v>
      </c>
      <c r="D859" t="inlineStr">
        <is>
          <t>VÄSTERNORRLANDS LÄN</t>
        </is>
      </c>
      <c r="E859" t="inlineStr">
        <is>
          <t>ÅNGE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38283-2025</t>
        </is>
      </c>
      <c r="B860" s="1" t="n">
        <v>45883.42740740741</v>
      </c>
      <c r="C860" s="1" t="n">
        <v>45929</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3352-2021</t>
        </is>
      </c>
      <c r="B861" s="1" t="n">
        <v>44217</v>
      </c>
      <c r="C861" s="1" t="n">
        <v>45929</v>
      </c>
      <c r="D861" t="inlineStr">
        <is>
          <t>VÄSTERNORRLANDS LÄN</t>
        </is>
      </c>
      <c r="E861" t="inlineStr">
        <is>
          <t>ÅNGE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39729-2025</t>
        </is>
      </c>
      <c r="B862" s="1" t="n">
        <v>45891</v>
      </c>
      <c r="C862" s="1" t="n">
        <v>45929</v>
      </c>
      <c r="D862" t="inlineStr">
        <is>
          <t>VÄSTERNORRLANDS LÄN</t>
        </is>
      </c>
      <c r="E862" t="inlineStr">
        <is>
          <t>ÅNGE</t>
        </is>
      </c>
      <c r="G862" t="n">
        <v>2.3</v>
      </c>
      <c r="H862" t="n">
        <v>0</v>
      </c>
      <c r="I862" t="n">
        <v>0</v>
      </c>
      <c r="J862" t="n">
        <v>0</v>
      </c>
      <c r="K862" t="n">
        <v>0</v>
      </c>
      <c r="L862" t="n">
        <v>0</v>
      </c>
      <c r="M862" t="n">
        <v>0</v>
      </c>
      <c r="N862" t="n">
        <v>0</v>
      </c>
      <c r="O862" t="n">
        <v>0</v>
      </c>
      <c r="P862" t="n">
        <v>0</v>
      </c>
      <c r="Q862" t="n">
        <v>0</v>
      </c>
      <c r="R862" s="2" t="inlineStr"/>
    </row>
    <row r="863" ht="15" customHeight="1">
      <c r="A863" t="inlineStr">
        <is>
          <t>A 53171-2020</t>
        </is>
      </c>
      <c r="B863" s="1" t="n">
        <v>44120</v>
      </c>
      <c r="C863" s="1" t="n">
        <v>45929</v>
      </c>
      <c r="D863" t="inlineStr">
        <is>
          <t>VÄSTERNORRLANDS LÄN</t>
        </is>
      </c>
      <c r="E863" t="inlineStr">
        <is>
          <t>ÅNGE</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46416-2025</t>
        </is>
      </c>
      <c r="B864" s="1" t="n">
        <v>45925.594375</v>
      </c>
      <c r="C864" s="1" t="n">
        <v>45929</v>
      </c>
      <c r="D864" t="inlineStr">
        <is>
          <t>VÄSTERNORRLANDS LÄN</t>
        </is>
      </c>
      <c r="E864" t="inlineStr">
        <is>
          <t>ÅNGE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46267-2025</t>
        </is>
      </c>
      <c r="B865" s="1" t="n">
        <v>45925.36578703704</v>
      </c>
      <c r="C865" s="1" t="n">
        <v>45929</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55007-2022</t>
        </is>
      </c>
      <c r="B866" s="1" t="n">
        <v>44881</v>
      </c>
      <c r="C866" s="1" t="n">
        <v>45929</v>
      </c>
      <c r="D866" t="inlineStr">
        <is>
          <t>VÄSTERNORRLANDS LÄN</t>
        </is>
      </c>
      <c r="E866" t="inlineStr">
        <is>
          <t>ÅNGE</t>
        </is>
      </c>
      <c r="G866" t="n">
        <v>2</v>
      </c>
      <c r="H866" t="n">
        <v>0</v>
      </c>
      <c r="I866" t="n">
        <v>0</v>
      </c>
      <c r="J866" t="n">
        <v>0</v>
      </c>
      <c r="K866" t="n">
        <v>0</v>
      </c>
      <c r="L866" t="n">
        <v>0</v>
      </c>
      <c r="M866" t="n">
        <v>0</v>
      </c>
      <c r="N866" t="n">
        <v>0</v>
      </c>
      <c r="O866" t="n">
        <v>0</v>
      </c>
      <c r="P866" t="n">
        <v>0</v>
      </c>
      <c r="Q866" t="n">
        <v>0</v>
      </c>
      <c r="R866" s="2" t="inlineStr"/>
    </row>
    <row r="867" ht="15" customHeight="1">
      <c r="A867" t="inlineStr">
        <is>
          <t>A 41758-2024</t>
        </is>
      </c>
      <c r="B867" s="1" t="n">
        <v>45561.34478009259</v>
      </c>
      <c r="C867" s="1" t="n">
        <v>45929</v>
      </c>
      <c r="D867" t="inlineStr">
        <is>
          <t>VÄSTERNORRLANDS LÄN</t>
        </is>
      </c>
      <c r="E867" t="inlineStr">
        <is>
          <t>ÅNGE</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5433-2024</t>
        </is>
      </c>
      <c r="B868" s="1" t="n">
        <v>45331</v>
      </c>
      <c r="C868" s="1" t="n">
        <v>45929</v>
      </c>
      <c r="D868" t="inlineStr">
        <is>
          <t>VÄSTERNORRLANDS LÄN</t>
        </is>
      </c>
      <c r="E868" t="inlineStr">
        <is>
          <t>ÅNGE</t>
        </is>
      </c>
      <c r="G868" t="n">
        <v>2.1</v>
      </c>
      <c r="H868" t="n">
        <v>0</v>
      </c>
      <c r="I868" t="n">
        <v>0</v>
      </c>
      <c r="J868" t="n">
        <v>0</v>
      </c>
      <c r="K868" t="n">
        <v>0</v>
      </c>
      <c r="L868" t="n">
        <v>0</v>
      </c>
      <c r="M868" t="n">
        <v>0</v>
      </c>
      <c r="N868" t="n">
        <v>0</v>
      </c>
      <c r="O868" t="n">
        <v>0</v>
      </c>
      <c r="P868" t="n">
        <v>0</v>
      </c>
      <c r="Q868" t="n">
        <v>0</v>
      </c>
      <c r="R868" s="2" t="inlineStr"/>
    </row>
    <row r="869" ht="15" customHeight="1">
      <c r="A869" t="inlineStr">
        <is>
          <t>A 16281-2023</t>
        </is>
      </c>
      <c r="B869" s="1" t="n">
        <v>45028</v>
      </c>
      <c r="C869" s="1" t="n">
        <v>45929</v>
      </c>
      <c r="D869" t="inlineStr">
        <is>
          <t>VÄSTERNORRLANDS LÄN</t>
        </is>
      </c>
      <c r="E869" t="inlineStr">
        <is>
          <t>ÅNGE</t>
        </is>
      </c>
      <c r="G869" t="n">
        <v>1.6</v>
      </c>
      <c r="H869" t="n">
        <v>0</v>
      </c>
      <c r="I869" t="n">
        <v>0</v>
      </c>
      <c r="J869" t="n">
        <v>0</v>
      </c>
      <c r="K869" t="n">
        <v>0</v>
      </c>
      <c r="L869" t="n">
        <v>0</v>
      </c>
      <c r="M869" t="n">
        <v>0</v>
      </c>
      <c r="N869" t="n">
        <v>0</v>
      </c>
      <c r="O869" t="n">
        <v>0</v>
      </c>
      <c r="P869" t="n">
        <v>0</v>
      </c>
      <c r="Q869" t="n">
        <v>0</v>
      </c>
      <c r="R869" s="2" t="inlineStr"/>
    </row>
    <row r="870" ht="15" customHeight="1">
      <c r="A870" t="inlineStr">
        <is>
          <t>A 45459-2022</t>
        </is>
      </c>
      <c r="B870" s="1" t="n">
        <v>44845</v>
      </c>
      <c r="C870" s="1" t="n">
        <v>45929</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2984-2025</t>
        </is>
      </c>
      <c r="B871" s="1" t="n">
        <v>45678.51094907407</v>
      </c>
      <c r="C871" s="1" t="n">
        <v>45929</v>
      </c>
      <c r="D871" t="inlineStr">
        <is>
          <t>VÄSTERNORRLANDS LÄN</t>
        </is>
      </c>
      <c r="E871" t="inlineStr">
        <is>
          <t>ÅNGE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10017-2025</t>
        </is>
      </c>
      <c r="B872" s="1" t="n">
        <v>45719.46957175926</v>
      </c>
      <c r="C872" s="1" t="n">
        <v>45929</v>
      </c>
      <c r="D872" t="inlineStr">
        <is>
          <t>VÄSTERNORRLANDS LÄN</t>
        </is>
      </c>
      <c r="E872" t="inlineStr">
        <is>
          <t>ÅNGE</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19926-2025</t>
        </is>
      </c>
      <c r="B873" s="1" t="n">
        <v>45771.6357175926</v>
      </c>
      <c r="C873" s="1" t="n">
        <v>45929</v>
      </c>
      <c r="D873" t="inlineStr">
        <is>
          <t>VÄSTERNORRLANDS LÄN</t>
        </is>
      </c>
      <c r="E873" t="inlineStr">
        <is>
          <t>ÅNGE</t>
        </is>
      </c>
      <c r="G873" t="n">
        <v>1.8</v>
      </c>
      <c r="H873" t="n">
        <v>0</v>
      </c>
      <c r="I873" t="n">
        <v>0</v>
      </c>
      <c r="J873" t="n">
        <v>0</v>
      </c>
      <c r="K873" t="n">
        <v>0</v>
      </c>
      <c r="L873" t="n">
        <v>0</v>
      </c>
      <c r="M873" t="n">
        <v>0</v>
      </c>
      <c r="N873" t="n">
        <v>0</v>
      </c>
      <c r="O873" t="n">
        <v>0</v>
      </c>
      <c r="P873" t="n">
        <v>0</v>
      </c>
      <c r="Q873" t="n">
        <v>0</v>
      </c>
      <c r="R873" s="2" t="inlineStr"/>
    </row>
    <row r="874" ht="15" customHeight="1">
      <c r="A874" t="inlineStr">
        <is>
          <t>A 51055-2023</t>
        </is>
      </c>
      <c r="B874" s="1" t="n">
        <v>45218</v>
      </c>
      <c r="C874" s="1" t="n">
        <v>45929</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6684-2024</t>
        </is>
      </c>
      <c r="B875" s="1" t="n">
        <v>45341.92555555556</v>
      </c>
      <c r="C875" s="1" t="n">
        <v>45929</v>
      </c>
      <c r="D875" t="inlineStr">
        <is>
          <t>VÄSTERNORRLANDS LÄN</t>
        </is>
      </c>
      <c r="E875" t="inlineStr">
        <is>
          <t>ÅNGE</t>
        </is>
      </c>
      <c r="G875" t="n">
        <v>1</v>
      </c>
      <c r="H875" t="n">
        <v>0</v>
      </c>
      <c r="I875" t="n">
        <v>0</v>
      </c>
      <c r="J875" t="n">
        <v>0</v>
      </c>
      <c r="K875" t="n">
        <v>0</v>
      </c>
      <c r="L875" t="n">
        <v>0</v>
      </c>
      <c r="M875" t="n">
        <v>0</v>
      </c>
      <c r="N875" t="n">
        <v>0</v>
      </c>
      <c r="O875" t="n">
        <v>0</v>
      </c>
      <c r="P875" t="n">
        <v>0</v>
      </c>
      <c r="Q875" t="n">
        <v>0</v>
      </c>
      <c r="R875" s="2" t="inlineStr"/>
    </row>
    <row r="876" ht="15" customHeight="1">
      <c r="A876" t="inlineStr">
        <is>
          <t>A 29270-2024</t>
        </is>
      </c>
      <c r="B876" s="1" t="n">
        <v>45482.94979166667</v>
      </c>
      <c r="C876" s="1" t="n">
        <v>45929</v>
      </c>
      <c r="D876" t="inlineStr">
        <is>
          <t>VÄSTERNORRLANDS LÄN</t>
        </is>
      </c>
      <c r="E876" t="inlineStr">
        <is>
          <t>ÅNGE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29696-2024</t>
        </is>
      </c>
      <c r="B877" s="1" t="n">
        <v>45484.94524305555</v>
      </c>
      <c r="C877" s="1" t="n">
        <v>45929</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33062-2022</t>
        </is>
      </c>
      <c r="B878" s="1" t="n">
        <v>44785</v>
      </c>
      <c r="C878" s="1" t="n">
        <v>45929</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113-2025</t>
        </is>
      </c>
      <c r="B879" s="1" t="n">
        <v>45659.5106712963</v>
      </c>
      <c r="C879" s="1" t="n">
        <v>45929</v>
      </c>
      <c r="D879" t="inlineStr">
        <is>
          <t>VÄSTERNORRLANDS LÄN</t>
        </is>
      </c>
      <c r="E879" t="inlineStr">
        <is>
          <t>ÅNGE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1403-2025</t>
        </is>
      </c>
      <c r="B880" s="1" t="n">
        <v>45667.70548611111</v>
      </c>
      <c r="C880" s="1" t="n">
        <v>45929</v>
      </c>
      <c r="D880" t="inlineStr">
        <is>
          <t>VÄSTERNORRLANDS LÄN</t>
        </is>
      </c>
      <c r="E880" t="inlineStr">
        <is>
          <t>ÅNGE</t>
        </is>
      </c>
      <c r="G880" t="n">
        <v>1.3</v>
      </c>
      <c r="H880" t="n">
        <v>0</v>
      </c>
      <c r="I880" t="n">
        <v>0</v>
      </c>
      <c r="J880" t="n">
        <v>0</v>
      </c>
      <c r="K880" t="n">
        <v>0</v>
      </c>
      <c r="L880" t="n">
        <v>0</v>
      </c>
      <c r="M880" t="n">
        <v>0</v>
      </c>
      <c r="N880" t="n">
        <v>0</v>
      </c>
      <c r="O880" t="n">
        <v>0</v>
      </c>
      <c r="P880" t="n">
        <v>0</v>
      </c>
      <c r="Q880" t="n">
        <v>0</v>
      </c>
      <c r="R880" s="2" t="inlineStr"/>
    </row>
    <row r="881" ht="15" customHeight="1">
      <c r="A881" t="inlineStr">
        <is>
          <t>A 39619-2024</t>
        </is>
      </c>
      <c r="B881" s="1" t="n">
        <v>45552</v>
      </c>
      <c r="C881" s="1" t="n">
        <v>45929</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27002-2023</t>
        </is>
      </c>
      <c r="B882" s="1" t="n">
        <v>45093</v>
      </c>
      <c r="C882" s="1" t="n">
        <v>45929</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63170-2023</t>
        </is>
      </c>
      <c r="B883" s="1" t="n">
        <v>45273.57087962963</v>
      </c>
      <c r="C883" s="1" t="n">
        <v>45929</v>
      </c>
      <c r="D883" t="inlineStr">
        <is>
          <t>VÄSTERNORRLANDS LÄN</t>
        </is>
      </c>
      <c r="E883" t="inlineStr">
        <is>
          <t>ÅNGE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30273-2023</t>
        </is>
      </c>
      <c r="B884" s="1" t="n">
        <v>45099</v>
      </c>
      <c r="C884" s="1" t="n">
        <v>45929</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58774-2023</t>
        </is>
      </c>
      <c r="B885" s="1" t="n">
        <v>45251</v>
      </c>
      <c r="C885" s="1" t="n">
        <v>45929</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4359-2025</t>
        </is>
      </c>
      <c r="B886" s="1" t="n">
        <v>45686.33072916666</v>
      </c>
      <c r="C886" s="1" t="n">
        <v>45929</v>
      </c>
      <c r="D886" t="inlineStr">
        <is>
          <t>VÄSTERNORRLANDS LÄN</t>
        </is>
      </c>
      <c r="E886" t="inlineStr">
        <is>
          <t>ÅNGE</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60368-2024</t>
        </is>
      </c>
      <c r="B887" s="1" t="n">
        <v>45643</v>
      </c>
      <c r="C887" s="1" t="n">
        <v>45929</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31729-2024</t>
        </is>
      </c>
      <c r="B888" s="1" t="n">
        <v>45509.35844907408</v>
      </c>
      <c r="C888" s="1" t="n">
        <v>45929</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11399-2025</t>
        </is>
      </c>
      <c r="B889" s="1" t="n">
        <v>45726.57364583333</v>
      </c>
      <c r="C889" s="1" t="n">
        <v>45929</v>
      </c>
      <c r="D889" t="inlineStr">
        <is>
          <t>VÄSTERNORRLANDS LÄN</t>
        </is>
      </c>
      <c r="E889" t="inlineStr">
        <is>
          <t>ÅNGE</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34783-2021</t>
        </is>
      </c>
      <c r="B890" s="1" t="n">
        <v>44382</v>
      </c>
      <c r="C890" s="1" t="n">
        <v>45929</v>
      </c>
      <c r="D890" t="inlineStr">
        <is>
          <t>VÄSTERNORRLANDS LÄN</t>
        </is>
      </c>
      <c r="E890" t="inlineStr">
        <is>
          <t>ÅNGE</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4187-2025</t>
        </is>
      </c>
      <c r="B891" s="1" t="n">
        <v>45685.44842592593</v>
      </c>
      <c r="C891" s="1" t="n">
        <v>45929</v>
      </c>
      <c r="D891" t="inlineStr">
        <is>
          <t>VÄSTERNORRLANDS LÄN</t>
        </is>
      </c>
      <c r="E891" t="inlineStr">
        <is>
          <t>ÅNGE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15822-2025</t>
        </is>
      </c>
      <c r="B892" s="1" t="n">
        <v>45748.70172453704</v>
      </c>
      <c r="C892" s="1" t="n">
        <v>45929</v>
      </c>
      <c r="D892" t="inlineStr">
        <is>
          <t>VÄSTERNORRLANDS LÄN</t>
        </is>
      </c>
      <c r="E892" t="inlineStr">
        <is>
          <t>ÅNGE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57591-2022</t>
        </is>
      </c>
      <c r="B893" s="1" t="n">
        <v>44896.97834490741</v>
      </c>
      <c r="C893" s="1" t="n">
        <v>45929</v>
      </c>
      <c r="D893" t="inlineStr">
        <is>
          <t>VÄSTERNORRLANDS LÄN</t>
        </is>
      </c>
      <c r="E893" t="inlineStr">
        <is>
          <t>ÅNGE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17044-2023</t>
        </is>
      </c>
      <c r="B894" s="1" t="n">
        <v>45034</v>
      </c>
      <c r="C894" s="1" t="n">
        <v>45929</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12807-2025</t>
        </is>
      </c>
      <c r="B895" s="1" t="n">
        <v>45733.61537037037</v>
      </c>
      <c r="C895" s="1" t="n">
        <v>45929</v>
      </c>
      <c r="D895" t="inlineStr">
        <is>
          <t>VÄSTERNORRLANDS LÄN</t>
        </is>
      </c>
      <c r="E895" t="inlineStr">
        <is>
          <t>ÅNGE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60812-2024</t>
        </is>
      </c>
      <c r="B896" s="1" t="n">
        <v>45644</v>
      </c>
      <c r="C896" s="1" t="n">
        <v>45929</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18668-2023</t>
        </is>
      </c>
      <c r="B897" s="1" t="n">
        <v>45043.57108796296</v>
      </c>
      <c r="C897" s="1" t="n">
        <v>45929</v>
      </c>
      <c r="D897" t="inlineStr">
        <is>
          <t>VÄSTERNORRLANDS LÄN</t>
        </is>
      </c>
      <c r="E897" t="inlineStr">
        <is>
          <t>ÅNGE</t>
        </is>
      </c>
      <c r="G897" t="n">
        <v>3.4</v>
      </c>
      <c r="H897" t="n">
        <v>0</v>
      </c>
      <c r="I897" t="n">
        <v>0</v>
      </c>
      <c r="J897" t="n">
        <v>0</v>
      </c>
      <c r="K897" t="n">
        <v>0</v>
      </c>
      <c r="L897" t="n">
        <v>0</v>
      </c>
      <c r="M897" t="n">
        <v>0</v>
      </c>
      <c r="N897" t="n">
        <v>0</v>
      </c>
      <c r="O897" t="n">
        <v>0</v>
      </c>
      <c r="P897" t="n">
        <v>0</v>
      </c>
      <c r="Q897" t="n">
        <v>0</v>
      </c>
      <c r="R897" s="2" t="inlineStr"/>
    </row>
    <row r="898" ht="15" customHeight="1">
      <c r="A898" t="inlineStr">
        <is>
          <t>A 62261-2022</t>
        </is>
      </c>
      <c r="B898" s="1" t="n">
        <v>44922.94378472222</v>
      </c>
      <c r="C898" s="1" t="n">
        <v>45929</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16524-2025</t>
        </is>
      </c>
      <c r="B899" s="1" t="n">
        <v>45751.64310185185</v>
      </c>
      <c r="C899" s="1" t="n">
        <v>45929</v>
      </c>
      <c r="D899" t="inlineStr">
        <is>
          <t>VÄSTERNORRLANDS LÄN</t>
        </is>
      </c>
      <c r="E899" t="inlineStr">
        <is>
          <t>ÅNGE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58943-2022</t>
        </is>
      </c>
      <c r="B900" s="1" t="n">
        <v>44903.64400462963</v>
      </c>
      <c r="C900" s="1" t="n">
        <v>45929</v>
      </c>
      <c r="D900" t="inlineStr">
        <is>
          <t>VÄSTERNORRLANDS LÄN</t>
        </is>
      </c>
      <c r="E900" t="inlineStr">
        <is>
          <t>ÅNGE</t>
        </is>
      </c>
      <c r="G900" t="n">
        <v>5.6</v>
      </c>
      <c r="H900" t="n">
        <v>0</v>
      </c>
      <c r="I900" t="n">
        <v>0</v>
      </c>
      <c r="J900" t="n">
        <v>0</v>
      </c>
      <c r="K900" t="n">
        <v>0</v>
      </c>
      <c r="L900" t="n">
        <v>0</v>
      </c>
      <c r="M900" t="n">
        <v>0</v>
      </c>
      <c r="N900" t="n">
        <v>0</v>
      </c>
      <c r="O900" t="n">
        <v>0</v>
      </c>
      <c r="P900" t="n">
        <v>0</v>
      </c>
      <c r="Q900" t="n">
        <v>0</v>
      </c>
      <c r="R900" s="2" t="inlineStr"/>
    </row>
    <row r="901" ht="15" customHeight="1">
      <c r="A901" t="inlineStr">
        <is>
          <t>A 47779-2023</t>
        </is>
      </c>
      <c r="B901" s="1" t="n">
        <v>45203.92232638889</v>
      </c>
      <c r="C901" s="1" t="n">
        <v>45929</v>
      </c>
      <c r="D901" t="inlineStr">
        <is>
          <t>VÄSTERNORRLANDS LÄN</t>
        </is>
      </c>
      <c r="E901" t="inlineStr">
        <is>
          <t>ÅNGE</t>
        </is>
      </c>
      <c r="G901" t="n">
        <v>9.6</v>
      </c>
      <c r="H901" t="n">
        <v>0</v>
      </c>
      <c r="I901" t="n">
        <v>0</v>
      </c>
      <c r="J901" t="n">
        <v>0</v>
      </c>
      <c r="K901" t="n">
        <v>0</v>
      </c>
      <c r="L901" t="n">
        <v>0</v>
      </c>
      <c r="M901" t="n">
        <v>0</v>
      </c>
      <c r="N901" t="n">
        <v>0</v>
      </c>
      <c r="O901" t="n">
        <v>0</v>
      </c>
      <c r="P901" t="n">
        <v>0</v>
      </c>
      <c r="Q901" t="n">
        <v>0</v>
      </c>
      <c r="R901" s="2" t="inlineStr"/>
    </row>
    <row r="902" ht="15" customHeight="1">
      <c r="A902" t="inlineStr">
        <is>
          <t>A 1103-2023</t>
        </is>
      </c>
      <c r="B902" s="1" t="n">
        <v>44929</v>
      </c>
      <c r="C902" s="1" t="n">
        <v>45929</v>
      </c>
      <c r="D902" t="inlineStr">
        <is>
          <t>VÄSTERNORRLANDS LÄN</t>
        </is>
      </c>
      <c r="E902" t="inlineStr">
        <is>
          <t>ÅNGE</t>
        </is>
      </c>
      <c r="G902" t="n">
        <v>7.3</v>
      </c>
      <c r="H902" t="n">
        <v>0</v>
      </c>
      <c r="I902" t="n">
        <v>0</v>
      </c>
      <c r="J902" t="n">
        <v>0</v>
      </c>
      <c r="K902" t="n">
        <v>0</v>
      </c>
      <c r="L902" t="n">
        <v>0</v>
      </c>
      <c r="M902" t="n">
        <v>0</v>
      </c>
      <c r="N902" t="n">
        <v>0</v>
      </c>
      <c r="O902" t="n">
        <v>0</v>
      </c>
      <c r="P902" t="n">
        <v>0</v>
      </c>
      <c r="Q902" t="n">
        <v>0</v>
      </c>
      <c r="R902" s="2" t="inlineStr"/>
    </row>
    <row r="903" ht="15" customHeight="1">
      <c r="A903" t="inlineStr">
        <is>
          <t>A 49502-2022</t>
        </is>
      </c>
      <c r="B903" s="1" t="n">
        <v>44861.92613425926</v>
      </c>
      <c r="C903" s="1" t="n">
        <v>45929</v>
      </c>
      <c r="D903" t="inlineStr">
        <is>
          <t>VÄSTERNORRLANDS LÄN</t>
        </is>
      </c>
      <c r="E903" t="inlineStr">
        <is>
          <t>ÅNGE</t>
        </is>
      </c>
      <c r="G903" t="n">
        <v>0.8</v>
      </c>
      <c r="H903" t="n">
        <v>0</v>
      </c>
      <c r="I903" t="n">
        <v>0</v>
      </c>
      <c r="J903" t="n">
        <v>0</v>
      </c>
      <c r="K903" t="n">
        <v>0</v>
      </c>
      <c r="L903" t="n">
        <v>0</v>
      </c>
      <c r="M903" t="n">
        <v>0</v>
      </c>
      <c r="N903" t="n">
        <v>0</v>
      </c>
      <c r="O903" t="n">
        <v>0</v>
      </c>
      <c r="P903" t="n">
        <v>0</v>
      </c>
      <c r="Q903" t="n">
        <v>0</v>
      </c>
      <c r="R903" s="2" t="inlineStr"/>
    </row>
    <row r="904" ht="15" customHeight="1">
      <c r="A904" t="inlineStr">
        <is>
          <t>A 4873-2025</t>
        </is>
      </c>
      <c r="B904" s="1" t="n">
        <v>45688.67633101852</v>
      </c>
      <c r="C904" s="1" t="n">
        <v>45929</v>
      </c>
      <c r="D904" t="inlineStr">
        <is>
          <t>VÄSTERNORRLANDS LÄN</t>
        </is>
      </c>
      <c r="E904" t="inlineStr">
        <is>
          <t>ÅNGE</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41825-2022</t>
        </is>
      </c>
      <c r="B905" s="1" t="n">
        <v>44827</v>
      </c>
      <c r="C905" s="1" t="n">
        <v>45929</v>
      </c>
      <c r="D905" t="inlineStr">
        <is>
          <t>VÄSTERNORRLANDS LÄN</t>
        </is>
      </c>
      <c r="E905" t="inlineStr">
        <is>
          <t>ÅNGE</t>
        </is>
      </c>
      <c r="F905" t="inlineStr">
        <is>
          <t>SCA</t>
        </is>
      </c>
      <c r="G905" t="n">
        <v>3.3</v>
      </c>
      <c r="H905" t="n">
        <v>0</v>
      </c>
      <c r="I905" t="n">
        <v>0</v>
      </c>
      <c r="J905" t="n">
        <v>0</v>
      </c>
      <c r="K905" t="n">
        <v>0</v>
      </c>
      <c r="L905" t="n">
        <v>0</v>
      </c>
      <c r="M905" t="n">
        <v>0</v>
      </c>
      <c r="N905" t="n">
        <v>0</v>
      </c>
      <c r="O905" t="n">
        <v>0</v>
      </c>
      <c r="P905" t="n">
        <v>0</v>
      </c>
      <c r="Q905" t="n">
        <v>0</v>
      </c>
      <c r="R905" s="2" t="inlineStr"/>
      <c r="U905">
        <f>HYPERLINK("https://klasma.github.io/Logging_2260/knärot/A 41825-2022 karta knärot.png", "A 41825-2022")</f>
        <v/>
      </c>
      <c r="V905">
        <f>HYPERLINK("https://klasma.github.io/Logging_2260/klagomål/A 41825-2022 FSC-klagomål.docx", "A 41825-2022")</f>
        <v/>
      </c>
      <c r="W905">
        <f>HYPERLINK("https://klasma.github.io/Logging_2260/klagomålsmail/A 41825-2022 FSC-klagomål mail.docx", "A 41825-2022")</f>
        <v/>
      </c>
      <c r="X905">
        <f>HYPERLINK("https://klasma.github.io/Logging_2260/tillsyn/A 41825-2022 tillsynsbegäran.docx", "A 41825-2022")</f>
        <v/>
      </c>
      <c r="Y905">
        <f>HYPERLINK("https://klasma.github.io/Logging_2260/tillsynsmail/A 41825-2022 tillsynsbegäran mail.docx", "A 41825-2022")</f>
        <v/>
      </c>
    </row>
    <row r="906" ht="15" customHeight="1">
      <c r="A906" t="inlineStr">
        <is>
          <t>A 42958-2024</t>
        </is>
      </c>
      <c r="B906" s="1" t="n">
        <v>45567.37131944444</v>
      </c>
      <c r="C906" s="1" t="n">
        <v>45929</v>
      </c>
      <c r="D906" t="inlineStr">
        <is>
          <t>VÄSTERNORRLANDS LÄN</t>
        </is>
      </c>
      <c r="E906" t="inlineStr">
        <is>
          <t>ÅNGE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57526-2024</t>
        </is>
      </c>
      <c r="B907" s="1" t="n">
        <v>45630</v>
      </c>
      <c r="C907" s="1" t="n">
        <v>45929</v>
      </c>
      <c r="D907" t="inlineStr">
        <is>
          <t>VÄSTERNORRLANDS LÄN</t>
        </is>
      </c>
      <c r="E907" t="inlineStr">
        <is>
          <t>ÅNGE</t>
        </is>
      </c>
      <c r="G907" t="n">
        <v>3.2</v>
      </c>
      <c r="H907" t="n">
        <v>0</v>
      </c>
      <c r="I907" t="n">
        <v>0</v>
      </c>
      <c r="J907" t="n">
        <v>0</v>
      </c>
      <c r="K907" t="n">
        <v>0</v>
      </c>
      <c r="L907" t="n">
        <v>0</v>
      </c>
      <c r="M907" t="n">
        <v>0</v>
      </c>
      <c r="N907" t="n">
        <v>0</v>
      </c>
      <c r="O907" t="n">
        <v>0</v>
      </c>
      <c r="P907" t="n">
        <v>0</v>
      </c>
      <c r="Q907" t="n">
        <v>0</v>
      </c>
      <c r="R907" s="2" t="inlineStr"/>
    </row>
    <row r="908" ht="15" customHeight="1">
      <c r="A908" t="inlineStr">
        <is>
          <t>A 34861-2024</t>
        </is>
      </c>
      <c r="B908" s="1" t="n">
        <v>45527.339375</v>
      </c>
      <c r="C908" s="1" t="n">
        <v>45929</v>
      </c>
      <c r="D908" t="inlineStr">
        <is>
          <t>VÄSTERNORRLANDS LÄN</t>
        </is>
      </c>
      <c r="E908" t="inlineStr">
        <is>
          <t>ÅNGE</t>
        </is>
      </c>
      <c r="F908" t="inlineStr">
        <is>
          <t>SCA</t>
        </is>
      </c>
      <c r="G908" t="n">
        <v>9.1</v>
      </c>
      <c r="H908" t="n">
        <v>0</v>
      </c>
      <c r="I908" t="n">
        <v>0</v>
      </c>
      <c r="J908" t="n">
        <v>0</v>
      </c>
      <c r="K908" t="n">
        <v>0</v>
      </c>
      <c r="L908" t="n">
        <v>0</v>
      </c>
      <c r="M908" t="n">
        <v>0</v>
      </c>
      <c r="N908" t="n">
        <v>0</v>
      </c>
      <c r="O908" t="n">
        <v>0</v>
      </c>
      <c r="P908" t="n">
        <v>0</v>
      </c>
      <c r="Q908" t="n">
        <v>0</v>
      </c>
      <c r="R908" s="2" t="inlineStr"/>
    </row>
    <row r="909" ht="15" customHeight="1">
      <c r="A909" t="inlineStr">
        <is>
          <t>A 17601-2024</t>
        </is>
      </c>
      <c r="B909" s="1" t="n">
        <v>45415</v>
      </c>
      <c r="C909" s="1" t="n">
        <v>45929</v>
      </c>
      <c r="D909" t="inlineStr">
        <is>
          <t>VÄSTERNORRLANDS LÄN</t>
        </is>
      </c>
      <c r="E909" t="inlineStr">
        <is>
          <t>ÅNGE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57846-2022</t>
        </is>
      </c>
      <c r="B910" s="1" t="n">
        <v>44897.95008101852</v>
      </c>
      <c r="C910" s="1" t="n">
        <v>45929</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18456-2024</t>
        </is>
      </c>
      <c r="B911" s="1" t="n">
        <v>45425.46831018518</v>
      </c>
      <c r="C911" s="1" t="n">
        <v>45929</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36342-2024</t>
        </is>
      </c>
      <c r="B912" s="1" t="n">
        <v>45534.64315972223</v>
      </c>
      <c r="C912" s="1" t="n">
        <v>45929</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54771-2023</t>
        </is>
      </c>
      <c r="B913" s="1" t="n">
        <v>45229</v>
      </c>
      <c r="C913" s="1" t="n">
        <v>45929</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32922-2024</t>
        </is>
      </c>
      <c r="B914" s="1" t="n">
        <v>45516.95263888889</v>
      </c>
      <c r="C914" s="1" t="n">
        <v>45929</v>
      </c>
      <c r="D914" t="inlineStr">
        <is>
          <t>VÄSTERNORRLANDS LÄN</t>
        </is>
      </c>
      <c r="E914" t="inlineStr">
        <is>
          <t>ÅNGE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44180-2023</t>
        </is>
      </c>
      <c r="B915" s="1" t="n">
        <v>45183</v>
      </c>
      <c r="C915" s="1" t="n">
        <v>45929</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5197-2025</t>
        </is>
      </c>
      <c r="B916" s="1" t="n">
        <v>45691.65701388889</v>
      </c>
      <c r="C916" s="1" t="n">
        <v>45929</v>
      </c>
      <c r="D916" t="inlineStr">
        <is>
          <t>VÄSTERNORRLANDS LÄN</t>
        </is>
      </c>
      <c r="E916" t="inlineStr">
        <is>
          <t>ÅNGE</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5246-2025</t>
        </is>
      </c>
      <c r="B917" s="1" t="n">
        <v>45692.34427083333</v>
      </c>
      <c r="C917" s="1" t="n">
        <v>45929</v>
      </c>
      <c r="D917" t="inlineStr">
        <is>
          <t>VÄSTERNORRLANDS LÄN</t>
        </is>
      </c>
      <c r="E917" t="inlineStr">
        <is>
          <t>ÅNGE</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41829-2021</t>
        </is>
      </c>
      <c r="B918" s="1" t="n">
        <v>44425.92202546296</v>
      </c>
      <c r="C918" s="1" t="n">
        <v>45929</v>
      </c>
      <c r="D918" t="inlineStr">
        <is>
          <t>VÄSTERNORRLANDS LÄN</t>
        </is>
      </c>
      <c r="E918" t="inlineStr">
        <is>
          <t>ÅNGE</t>
        </is>
      </c>
      <c r="G918" t="n">
        <v>1.6</v>
      </c>
      <c r="H918" t="n">
        <v>0</v>
      </c>
      <c r="I918" t="n">
        <v>0</v>
      </c>
      <c r="J918" t="n">
        <v>0</v>
      </c>
      <c r="K918" t="n">
        <v>0</v>
      </c>
      <c r="L918" t="n">
        <v>0</v>
      </c>
      <c r="M918" t="n">
        <v>0</v>
      </c>
      <c r="N918" t="n">
        <v>0</v>
      </c>
      <c r="O918" t="n">
        <v>0</v>
      </c>
      <c r="P918" t="n">
        <v>0</v>
      </c>
      <c r="Q918" t="n">
        <v>0</v>
      </c>
      <c r="R918" s="2" t="inlineStr"/>
    </row>
    <row r="919" ht="15" customHeight="1">
      <c r="A919" t="inlineStr">
        <is>
          <t>A 20338-2025</t>
        </is>
      </c>
      <c r="B919" s="1" t="n">
        <v>45775</v>
      </c>
      <c r="C919" s="1" t="n">
        <v>45929</v>
      </c>
      <c r="D919" t="inlineStr">
        <is>
          <t>VÄSTERNORRLANDS LÄN</t>
        </is>
      </c>
      <c r="E919" t="inlineStr">
        <is>
          <t>ÅNGE</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36457-2021</t>
        </is>
      </c>
      <c r="B920" s="1" t="n">
        <v>44390.93858796296</v>
      </c>
      <c r="C920" s="1" t="n">
        <v>45929</v>
      </c>
      <c r="D920" t="inlineStr">
        <is>
          <t>VÄSTERNORRLANDS LÄN</t>
        </is>
      </c>
      <c r="E920" t="inlineStr">
        <is>
          <t>ÅNGE</t>
        </is>
      </c>
      <c r="G920" t="n">
        <v>1.6</v>
      </c>
      <c r="H920" t="n">
        <v>0</v>
      </c>
      <c r="I920" t="n">
        <v>0</v>
      </c>
      <c r="J920" t="n">
        <v>0</v>
      </c>
      <c r="K920" t="n">
        <v>0</v>
      </c>
      <c r="L920" t="n">
        <v>0</v>
      </c>
      <c r="M920" t="n">
        <v>0</v>
      </c>
      <c r="N920" t="n">
        <v>0</v>
      </c>
      <c r="O920" t="n">
        <v>0</v>
      </c>
      <c r="P920" t="n">
        <v>0</v>
      </c>
      <c r="Q920" t="n">
        <v>0</v>
      </c>
      <c r="R920" s="2" t="inlineStr"/>
    </row>
    <row r="921" ht="15" customHeight="1">
      <c r="A921" t="inlineStr">
        <is>
          <t>A 56699-2023</t>
        </is>
      </c>
      <c r="B921" s="1" t="n">
        <v>45243</v>
      </c>
      <c r="C921" s="1" t="n">
        <v>45929</v>
      </c>
      <c r="D921" t="inlineStr">
        <is>
          <t>VÄSTERNORRLANDS LÄN</t>
        </is>
      </c>
      <c r="E921" t="inlineStr">
        <is>
          <t>ÅNGE</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61928-2021</t>
        </is>
      </c>
      <c r="B922" s="1" t="n">
        <v>44502.38475694445</v>
      </c>
      <c r="C922" s="1" t="n">
        <v>45929</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16303-2025</t>
        </is>
      </c>
      <c r="B923" s="1" t="n">
        <v>45751.3462037037</v>
      </c>
      <c r="C923" s="1" t="n">
        <v>45929</v>
      </c>
      <c r="D923" t="inlineStr">
        <is>
          <t>VÄSTERNORRLANDS LÄN</t>
        </is>
      </c>
      <c r="E923" t="inlineStr">
        <is>
          <t>ÅNGE</t>
        </is>
      </c>
      <c r="F923" t="inlineStr">
        <is>
          <t>SCA</t>
        </is>
      </c>
      <c r="G923" t="n">
        <v>0.3</v>
      </c>
      <c r="H923" t="n">
        <v>0</v>
      </c>
      <c r="I923" t="n">
        <v>0</v>
      </c>
      <c r="J923" t="n">
        <v>0</v>
      </c>
      <c r="K923" t="n">
        <v>0</v>
      </c>
      <c r="L923" t="n">
        <v>0</v>
      </c>
      <c r="M923" t="n">
        <v>0</v>
      </c>
      <c r="N923" t="n">
        <v>0</v>
      </c>
      <c r="O923" t="n">
        <v>0</v>
      </c>
      <c r="P923" t="n">
        <v>0</v>
      </c>
      <c r="Q923" t="n">
        <v>0</v>
      </c>
      <c r="R923" s="2" t="inlineStr"/>
    </row>
    <row r="924" ht="15" customHeight="1">
      <c r="A924" t="inlineStr">
        <is>
          <t>A 37051-2021</t>
        </is>
      </c>
      <c r="B924" s="1" t="n">
        <v>44393</v>
      </c>
      <c r="C924" s="1" t="n">
        <v>45929</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56908-2021</t>
        </is>
      </c>
      <c r="B925" s="1" t="n">
        <v>44481.93844907408</v>
      </c>
      <c r="C925" s="1" t="n">
        <v>45929</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732-2023</t>
        </is>
      </c>
      <c r="B926" s="1" t="n">
        <v>44931.29981481482</v>
      </c>
      <c r="C926" s="1" t="n">
        <v>45929</v>
      </c>
      <c r="D926" t="inlineStr">
        <is>
          <t>VÄSTERNORRLANDS LÄN</t>
        </is>
      </c>
      <c r="E926" t="inlineStr">
        <is>
          <t>ÅNGE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5520-2022</t>
        </is>
      </c>
      <c r="B927" s="1" t="n">
        <v>44595</v>
      </c>
      <c r="C927" s="1" t="n">
        <v>45929</v>
      </c>
      <c r="D927" t="inlineStr">
        <is>
          <t>VÄSTERNORRLANDS LÄN</t>
        </is>
      </c>
      <c r="E927" t="inlineStr">
        <is>
          <t>ÅNGE</t>
        </is>
      </c>
      <c r="G927" t="n">
        <v>4.9</v>
      </c>
      <c r="H927" t="n">
        <v>0</v>
      </c>
      <c r="I927" t="n">
        <v>0</v>
      </c>
      <c r="J927" t="n">
        <v>0</v>
      </c>
      <c r="K927" t="n">
        <v>0</v>
      </c>
      <c r="L927" t="n">
        <v>0</v>
      </c>
      <c r="M927" t="n">
        <v>0</v>
      </c>
      <c r="N927" t="n">
        <v>0</v>
      </c>
      <c r="O927" t="n">
        <v>0</v>
      </c>
      <c r="P927" t="n">
        <v>0</v>
      </c>
      <c r="Q927" t="n">
        <v>0</v>
      </c>
      <c r="R927" s="2" t="inlineStr"/>
    </row>
    <row r="928" ht="15" customHeight="1">
      <c r="A928" t="inlineStr">
        <is>
          <t>A 50612-2024</t>
        </is>
      </c>
      <c r="B928" s="1" t="n">
        <v>45601</v>
      </c>
      <c r="C928" s="1" t="n">
        <v>45929</v>
      </c>
      <c r="D928" t="inlineStr">
        <is>
          <t>VÄSTERNORRLANDS LÄN</t>
        </is>
      </c>
      <c r="E928" t="inlineStr">
        <is>
          <t>ÅNGE</t>
        </is>
      </c>
      <c r="G928" t="n">
        <v>1.9</v>
      </c>
      <c r="H928" t="n">
        <v>0</v>
      </c>
      <c r="I928" t="n">
        <v>0</v>
      </c>
      <c r="J928" t="n">
        <v>0</v>
      </c>
      <c r="K928" t="n">
        <v>0</v>
      </c>
      <c r="L928" t="n">
        <v>0</v>
      </c>
      <c r="M928" t="n">
        <v>0</v>
      </c>
      <c r="N928" t="n">
        <v>0</v>
      </c>
      <c r="O928" t="n">
        <v>0</v>
      </c>
      <c r="P928" t="n">
        <v>0</v>
      </c>
      <c r="Q928" t="n">
        <v>0</v>
      </c>
      <c r="R928" s="2" t="inlineStr"/>
    </row>
    <row r="929" ht="15" customHeight="1">
      <c r="A929" t="inlineStr">
        <is>
          <t>A 13491-2023</t>
        </is>
      </c>
      <c r="B929" s="1" t="n">
        <v>45005.93929398148</v>
      </c>
      <c r="C929" s="1" t="n">
        <v>45929</v>
      </c>
      <c r="D929" t="inlineStr">
        <is>
          <t>VÄSTERNORRLANDS LÄN</t>
        </is>
      </c>
      <c r="E929" t="inlineStr">
        <is>
          <t>ÅNGE</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36786-2024</t>
        </is>
      </c>
      <c r="B930" s="1" t="n">
        <v>45538</v>
      </c>
      <c r="C930" s="1" t="n">
        <v>45929</v>
      </c>
      <c r="D930" t="inlineStr">
        <is>
          <t>VÄSTERNORRLANDS LÄN</t>
        </is>
      </c>
      <c r="E930" t="inlineStr">
        <is>
          <t>ÅNGE</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53663-2022</t>
        </is>
      </c>
      <c r="B931" s="1" t="n">
        <v>44879</v>
      </c>
      <c r="C931" s="1" t="n">
        <v>45929</v>
      </c>
      <c r="D931" t="inlineStr">
        <is>
          <t>VÄSTERNORRLANDS LÄN</t>
        </is>
      </c>
      <c r="E931" t="inlineStr">
        <is>
          <t>ÅNGE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47243-2024</t>
        </is>
      </c>
      <c r="B932" s="1" t="n">
        <v>45586.6987962963</v>
      </c>
      <c r="C932" s="1" t="n">
        <v>45929</v>
      </c>
      <c r="D932" t="inlineStr">
        <is>
          <t>VÄSTERNORRLANDS LÄN</t>
        </is>
      </c>
      <c r="E932" t="inlineStr">
        <is>
          <t>ÅNGE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49711-2024</t>
        </is>
      </c>
      <c r="B933" s="1" t="n">
        <v>45596.69891203703</v>
      </c>
      <c r="C933" s="1" t="n">
        <v>45929</v>
      </c>
      <c r="D933" t="inlineStr">
        <is>
          <t>VÄSTERNORRLANDS LÄN</t>
        </is>
      </c>
      <c r="E933" t="inlineStr">
        <is>
          <t>ÅNGE</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37540-2024</t>
        </is>
      </c>
      <c r="B934" s="1" t="n">
        <v>45541.42111111111</v>
      </c>
      <c r="C934" s="1" t="n">
        <v>45929</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24293-2023</t>
        </is>
      </c>
      <c r="B935" s="1" t="n">
        <v>45079.92756944444</v>
      </c>
      <c r="C935" s="1" t="n">
        <v>45929</v>
      </c>
      <c r="D935" t="inlineStr">
        <is>
          <t>VÄSTERNORRLANDS LÄN</t>
        </is>
      </c>
      <c r="E935" t="inlineStr">
        <is>
          <t>ÅNGE</t>
        </is>
      </c>
      <c r="G935" t="n">
        <v>0.8</v>
      </c>
      <c r="H935" t="n">
        <v>0</v>
      </c>
      <c r="I935" t="n">
        <v>0</v>
      </c>
      <c r="J935" t="n">
        <v>0</v>
      </c>
      <c r="K935" t="n">
        <v>0</v>
      </c>
      <c r="L935" t="n">
        <v>0</v>
      </c>
      <c r="M935" t="n">
        <v>0</v>
      </c>
      <c r="N935" t="n">
        <v>0</v>
      </c>
      <c r="O935" t="n">
        <v>0</v>
      </c>
      <c r="P935" t="n">
        <v>0</v>
      </c>
      <c r="Q935" t="n">
        <v>0</v>
      </c>
      <c r="R935" s="2" t="inlineStr"/>
    </row>
    <row r="936" ht="15" customHeight="1">
      <c r="A936" t="inlineStr">
        <is>
          <t>A 42948-2024</t>
        </is>
      </c>
      <c r="B936" s="1" t="n">
        <v>45567.36628472222</v>
      </c>
      <c r="C936" s="1" t="n">
        <v>45929</v>
      </c>
      <c r="D936" t="inlineStr">
        <is>
          <t>VÄSTERNORRLANDS LÄN</t>
        </is>
      </c>
      <c r="E936" t="inlineStr">
        <is>
          <t>ÅNGE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25779-2023</t>
        </is>
      </c>
      <c r="B937" s="1" t="n">
        <v>45090.47439814815</v>
      </c>
      <c r="C937" s="1" t="n">
        <v>45929</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9211-2023</t>
        </is>
      </c>
      <c r="B938" s="1" t="n">
        <v>44980</v>
      </c>
      <c r="C938" s="1" t="n">
        <v>45929</v>
      </c>
      <c r="D938" t="inlineStr">
        <is>
          <t>VÄSTERNORRLANDS LÄN</t>
        </is>
      </c>
      <c r="E938" t="inlineStr">
        <is>
          <t>ÅNGE</t>
        </is>
      </c>
      <c r="G938" t="n">
        <v>2.3</v>
      </c>
      <c r="H938" t="n">
        <v>0</v>
      </c>
      <c r="I938" t="n">
        <v>0</v>
      </c>
      <c r="J938" t="n">
        <v>0</v>
      </c>
      <c r="K938" t="n">
        <v>0</v>
      </c>
      <c r="L938" t="n">
        <v>0</v>
      </c>
      <c r="M938" t="n">
        <v>0</v>
      </c>
      <c r="N938" t="n">
        <v>0</v>
      </c>
      <c r="O938" t="n">
        <v>0</v>
      </c>
      <c r="P938" t="n">
        <v>0</v>
      </c>
      <c r="Q938" t="n">
        <v>0</v>
      </c>
      <c r="R938" s="2" t="inlineStr"/>
    </row>
    <row r="939" ht="15" customHeight="1">
      <c r="A939" t="inlineStr">
        <is>
          <t>A 8627-2023</t>
        </is>
      </c>
      <c r="B939" s="1" t="n">
        <v>44977</v>
      </c>
      <c r="C939" s="1" t="n">
        <v>45929</v>
      </c>
      <c r="D939" t="inlineStr">
        <is>
          <t>VÄSTERNORRLANDS LÄN</t>
        </is>
      </c>
      <c r="E939" t="inlineStr">
        <is>
          <t>ÅNGE</t>
        </is>
      </c>
      <c r="G939" t="n">
        <v>3</v>
      </c>
      <c r="H939" t="n">
        <v>0</v>
      </c>
      <c r="I939" t="n">
        <v>0</v>
      </c>
      <c r="J939" t="n">
        <v>0</v>
      </c>
      <c r="K939" t="n">
        <v>0</v>
      </c>
      <c r="L939" t="n">
        <v>0</v>
      </c>
      <c r="M939" t="n">
        <v>0</v>
      </c>
      <c r="N939" t="n">
        <v>0</v>
      </c>
      <c r="O939" t="n">
        <v>0</v>
      </c>
      <c r="P939" t="n">
        <v>0</v>
      </c>
      <c r="Q939" t="n">
        <v>0</v>
      </c>
      <c r="R939" s="2" t="inlineStr"/>
    </row>
    <row r="940" ht="15" customHeight="1">
      <c r="A940" t="inlineStr">
        <is>
          <t>A 27260-2023</t>
        </is>
      </c>
      <c r="B940" s="1" t="n">
        <v>45092</v>
      </c>
      <c r="C940" s="1" t="n">
        <v>45929</v>
      </c>
      <c r="D940" t="inlineStr">
        <is>
          <t>VÄSTERNORRLANDS LÄN</t>
        </is>
      </c>
      <c r="E940" t="inlineStr">
        <is>
          <t>ÅNGE</t>
        </is>
      </c>
      <c r="G940" t="n">
        <v>2.7</v>
      </c>
      <c r="H940" t="n">
        <v>0</v>
      </c>
      <c r="I940" t="n">
        <v>0</v>
      </c>
      <c r="J940" t="n">
        <v>0</v>
      </c>
      <c r="K940" t="n">
        <v>0</v>
      </c>
      <c r="L940" t="n">
        <v>0</v>
      </c>
      <c r="M940" t="n">
        <v>0</v>
      </c>
      <c r="N940" t="n">
        <v>0</v>
      </c>
      <c r="O940" t="n">
        <v>0</v>
      </c>
      <c r="P940" t="n">
        <v>0</v>
      </c>
      <c r="Q940" t="n">
        <v>0</v>
      </c>
      <c r="R940" s="2" t="inlineStr"/>
    </row>
    <row r="941" ht="15" customHeight="1">
      <c r="A941" t="inlineStr">
        <is>
          <t>A 16934-2025</t>
        </is>
      </c>
      <c r="B941" s="1" t="n">
        <v>45755.40671296296</v>
      </c>
      <c r="C941" s="1" t="n">
        <v>45929</v>
      </c>
      <c r="D941" t="inlineStr">
        <is>
          <t>VÄSTERNORRLANDS LÄN</t>
        </is>
      </c>
      <c r="E941" t="inlineStr">
        <is>
          <t>ÅNGE</t>
        </is>
      </c>
      <c r="G941" t="n">
        <v>3.9</v>
      </c>
      <c r="H941" t="n">
        <v>0</v>
      </c>
      <c r="I941" t="n">
        <v>0</v>
      </c>
      <c r="J941" t="n">
        <v>0</v>
      </c>
      <c r="K941" t="n">
        <v>0</v>
      </c>
      <c r="L941" t="n">
        <v>0</v>
      </c>
      <c r="M941" t="n">
        <v>0</v>
      </c>
      <c r="N941" t="n">
        <v>0</v>
      </c>
      <c r="O941" t="n">
        <v>0</v>
      </c>
      <c r="P941" t="n">
        <v>0</v>
      </c>
      <c r="Q941" t="n">
        <v>0</v>
      </c>
      <c r="R941" s="2" t="inlineStr"/>
    </row>
    <row r="942" ht="15" customHeight="1">
      <c r="A942" t="inlineStr">
        <is>
          <t>A 56434-2021</t>
        </is>
      </c>
      <c r="B942" s="1" t="n">
        <v>44477</v>
      </c>
      <c r="C942" s="1" t="n">
        <v>45929</v>
      </c>
      <c r="D942" t="inlineStr">
        <is>
          <t>VÄSTERNORRLANDS LÄN</t>
        </is>
      </c>
      <c r="E942" t="inlineStr">
        <is>
          <t>ÅNGE</t>
        </is>
      </c>
      <c r="G942" t="n">
        <v>2.7</v>
      </c>
      <c r="H942" t="n">
        <v>0</v>
      </c>
      <c r="I942" t="n">
        <v>0</v>
      </c>
      <c r="J942" t="n">
        <v>0</v>
      </c>
      <c r="K942" t="n">
        <v>0</v>
      </c>
      <c r="L942" t="n">
        <v>0</v>
      </c>
      <c r="M942" t="n">
        <v>0</v>
      </c>
      <c r="N942" t="n">
        <v>0</v>
      </c>
      <c r="O942" t="n">
        <v>0</v>
      </c>
      <c r="P942" t="n">
        <v>0</v>
      </c>
      <c r="Q942" t="n">
        <v>0</v>
      </c>
      <c r="R942" s="2" t="inlineStr"/>
    </row>
    <row r="943" ht="15" customHeight="1">
      <c r="A943" t="inlineStr">
        <is>
          <t>A 54585-2024</t>
        </is>
      </c>
      <c r="B943" s="1" t="n">
        <v>45617.65762731482</v>
      </c>
      <c r="C943" s="1" t="n">
        <v>45929</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54946-2021</t>
        </is>
      </c>
      <c r="B944" s="1" t="n">
        <v>44474.46466435185</v>
      </c>
      <c r="C944" s="1" t="n">
        <v>45929</v>
      </c>
      <c r="D944" t="inlineStr">
        <is>
          <t>VÄSTERNORRLANDS LÄN</t>
        </is>
      </c>
      <c r="E944" t="inlineStr">
        <is>
          <t>ÅNGE</t>
        </is>
      </c>
      <c r="G944" t="n">
        <v>5.4</v>
      </c>
      <c r="H944" t="n">
        <v>0</v>
      </c>
      <c r="I944" t="n">
        <v>0</v>
      </c>
      <c r="J944" t="n">
        <v>0</v>
      </c>
      <c r="K944" t="n">
        <v>0</v>
      </c>
      <c r="L944" t="n">
        <v>0</v>
      </c>
      <c r="M944" t="n">
        <v>0</v>
      </c>
      <c r="N944" t="n">
        <v>0</v>
      </c>
      <c r="O944" t="n">
        <v>0</v>
      </c>
      <c r="P944" t="n">
        <v>0</v>
      </c>
      <c r="Q944" t="n">
        <v>0</v>
      </c>
      <c r="R944" s="2" t="inlineStr"/>
    </row>
    <row r="945" ht="15" customHeight="1">
      <c r="A945" t="inlineStr">
        <is>
          <t>A 15404-2025</t>
        </is>
      </c>
      <c r="B945" s="1" t="n">
        <v>45747.44665509259</v>
      </c>
      <c r="C945" s="1" t="n">
        <v>45929</v>
      </c>
      <c r="D945" t="inlineStr">
        <is>
          <t>VÄSTERNORRLANDS LÄN</t>
        </is>
      </c>
      <c r="E945" t="inlineStr">
        <is>
          <t>ÅNGE</t>
        </is>
      </c>
      <c r="G945" t="n">
        <v>11.8</v>
      </c>
      <c r="H945" t="n">
        <v>0</v>
      </c>
      <c r="I945" t="n">
        <v>0</v>
      </c>
      <c r="J945" t="n">
        <v>0</v>
      </c>
      <c r="K945" t="n">
        <v>0</v>
      </c>
      <c r="L945" t="n">
        <v>0</v>
      </c>
      <c r="M945" t="n">
        <v>0</v>
      </c>
      <c r="N945" t="n">
        <v>0</v>
      </c>
      <c r="O945" t="n">
        <v>0</v>
      </c>
      <c r="P945" t="n">
        <v>0</v>
      </c>
      <c r="Q945" t="n">
        <v>0</v>
      </c>
      <c r="R945" s="2" t="inlineStr"/>
    </row>
    <row r="946" ht="15" customHeight="1">
      <c r="A946" t="inlineStr">
        <is>
          <t>A 57109-2023</t>
        </is>
      </c>
      <c r="B946" s="1" t="n">
        <v>45239</v>
      </c>
      <c r="C946" s="1" t="n">
        <v>45929</v>
      </c>
      <c r="D946" t="inlineStr">
        <is>
          <t>VÄSTERNORRLANDS LÄN</t>
        </is>
      </c>
      <c r="E946" t="inlineStr">
        <is>
          <t>ÅNGE</t>
        </is>
      </c>
      <c r="G946" t="n">
        <v>7</v>
      </c>
      <c r="H946" t="n">
        <v>0</v>
      </c>
      <c r="I946" t="n">
        <v>0</v>
      </c>
      <c r="J946" t="n">
        <v>0</v>
      </c>
      <c r="K946" t="n">
        <v>0</v>
      </c>
      <c r="L946" t="n">
        <v>0</v>
      </c>
      <c r="M946" t="n">
        <v>0</v>
      </c>
      <c r="N946" t="n">
        <v>0</v>
      </c>
      <c r="O946" t="n">
        <v>0</v>
      </c>
      <c r="P946" t="n">
        <v>0</v>
      </c>
      <c r="Q946" t="n">
        <v>0</v>
      </c>
      <c r="R946" s="2" t="inlineStr"/>
    </row>
    <row r="947" ht="15" customHeight="1">
      <c r="A947" t="inlineStr">
        <is>
          <t>A 17703-2025</t>
        </is>
      </c>
      <c r="B947" s="1" t="n">
        <v>45758.4275462963</v>
      </c>
      <c r="C947" s="1" t="n">
        <v>45929</v>
      </c>
      <c r="D947" t="inlineStr">
        <is>
          <t>VÄSTERNORRLANDS LÄN</t>
        </is>
      </c>
      <c r="E947" t="inlineStr">
        <is>
          <t>ÅNGE</t>
        </is>
      </c>
      <c r="G947" t="n">
        <v>2.5</v>
      </c>
      <c r="H947" t="n">
        <v>0</v>
      </c>
      <c r="I947" t="n">
        <v>0</v>
      </c>
      <c r="J947" t="n">
        <v>0</v>
      </c>
      <c r="K947" t="n">
        <v>0</v>
      </c>
      <c r="L947" t="n">
        <v>0</v>
      </c>
      <c r="M947" t="n">
        <v>0</v>
      </c>
      <c r="N947" t="n">
        <v>0</v>
      </c>
      <c r="O947" t="n">
        <v>0</v>
      </c>
      <c r="P947" t="n">
        <v>0</v>
      </c>
      <c r="Q947" t="n">
        <v>0</v>
      </c>
      <c r="R947" s="2" t="inlineStr"/>
    </row>
    <row r="948" ht="15" customHeight="1">
      <c r="A948" t="inlineStr">
        <is>
          <t>A 42529-2024</t>
        </is>
      </c>
      <c r="B948" s="1" t="n">
        <v>45565.57324074074</v>
      </c>
      <c r="C948" s="1" t="n">
        <v>45929</v>
      </c>
      <c r="D948" t="inlineStr">
        <is>
          <t>VÄSTERNORRLANDS LÄN</t>
        </is>
      </c>
      <c r="E948" t="inlineStr">
        <is>
          <t>ÅNGE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42346-2023</t>
        </is>
      </c>
      <c r="B949" s="1" t="n">
        <v>45180</v>
      </c>
      <c r="C949" s="1" t="n">
        <v>45929</v>
      </c>
      <c r="D949" t="inlineStr">
        <is>
          <t>VÄSTERNORRLANDS LÄN</t>
        </is>
      </c>
      <c r="E949" t="inlineStr">
        <is>
          <t>ÅNGE</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16563-2025</t>
        </is>
      </c>
      <c r="B950" s="1" t="n">
        <v>45752.34430555555</v>
      </c>
      <c r="C950" s="1" t="n">
        <v>45929</v>
      </c>
      <c r="D950" t="inlineStr">
        <is>
          <t>VÄSTERNORRLANDS LÄN</t>
        </is>
      </c>
      <c r="E950" t="inlineStr">
        <is>
          <t>ÅNGE</t>
        </is>
      </c>
      <c r="F950" t="inlineStr">
        <is>
          <t>SCA</t>
        </is>
      </c>
      <c r="G950" t="n">
        <v>24.7</v>
      </c>
      <c r="H950" t="n">
        <v>0</v>
      </c>
      <c r="I950" t="n">
        <v>0</v>
      </c>
      <c r="J950" t="n">
        <v>0</v>
      </c>
      <c r="K950" t="n">
        <v>0</v>
      </c>
      <c r="L950" t="n">
        <v>0</v>
      </c>
      <c r="M950" t="n">
        <v>0</v>
      </c>
      <c r="N950" t="n">
        <v>0</v>
      </c>
      <c r="O950" t="n">
        <v>0</v>
      </c>
      <c r="P950" t="n">
        <v>0</v>
      </c>
      <c r="Q950" t="n">
        <v>0</v>
      </c>
      <c r="R950" s="2" t="inlineStr"/>
    </row>
    <row r="951" ht="15" customHeight="1">
      <c r="A951" t="inlineStr">
        <is>
          <t>A 3966-2025</t>
        </is>
      </c>
      <c r="B951" s="1" t="n">
        <v>45684.51072916666</v>
      </c>
      <c r="C951" s="1" t="n">
        <v>45929</v>
      </c>
      <c r="D951" t="inlineStr">
        <is>
          <t>VÄSTERNORRLANDS LÄN</t>
        </is>
      </c>
      <c r="E951" t="inlineStr">
        <is>
          <t>ÅNGE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15368-2024</t>
        </is>
      </c>
      <c r="B952" s="1" t="n">
        <v>45400.92284722222</v>
      </c>
      <c r="C952" s="1" t="n">
        <v>45929</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57636-2022</t>
        </is>
      </c>
      <c r="B953" s="1" t="n">
        <v>44897</v>
      </c>
      <c r="C953" s="1" t="n">
        <v>45929</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54316-2024</t>
        </is>
      </c>
      <c r="B954" s="1" t="n">
        <v>45617.34443287037</v>
      </c>
      <c r="C954" s="1" t="n">
        <v>45929</v>
      </c>
      <c r="D954" t="inlineStr">
        <is>
          <t>VÄSTERNORRLANDS LÄN</t>
        </is>
      </c>
      <c r="E954" t="inlineStr">
        <is>
          <t>ÅNGE</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52685-2024</t>
        </is>
      </c>
      <c r="B955" s="1" t="n">
        <v>45610</v>
      </c>
      <c r="C955" s="1" t="n">
        <v>45929</v>
      </c>
      <c r="D955" t="inlineStr">
        <is>
          <t>VÄSTERNORRLANDS LÄN</t>
        </is>
      </c>
      <c r="E955" t="inlineStr">
        <is>
          <t>ÅNGE</t>
        </is>
      </c>
      <c r="G955" t="n">
        <v>2.3</v>
      </c>
      <c r="H955" t="n">
        <v>0</v>
      </c>
      <c r="I955" t="n">
        <v>0</v>
      </c>
      <c r="J955" t="n">
        <v>0</v>
      </c>
      <c r="K955" t="n">
        <v>0</v>
      </c>
      <c r="L955" t="n">
        <v>0</v>
      </c>
      <c r="M955" t="n">
        <v>0</v>
      </c>
      <c r="N955" t="n">
        <v>0</v>
      </c>
      <c r="O955" t="n">
        <v>0</v>
      </c>
      <c r="P955" t="n">
        <v>0</v>
      </c>
      <c r="Q955" t="n">
        <v>0</v>
      </c>
      <c r="R955" s="2" t="inlineStr"/>
    </row>
    <row r="956" ht="15" customHeight="1">
      <c r="A956" t="inlineStr">
        <is>
          <t>A 55664-2023</t>
        </is>
      </c>
      <c r="B956" s="1" t="n">
        <v>45238.96748842593</v>
      </c>
      <c r="C956" s="1" t="n">
        <v>45929</v>
      </c>
      <c r="D956" t="inlineStr">
        <is>
          <t>VÄSTERNORRLANDS LÄN</t>
        </is>
      </c>
      <c r="E956" t="inlineStr">
        <is>
          <t>ÅNGE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4186-2025</t>
        </is>
      </c>
      <c r="B957" s="1" t="n">
        <v>45685.44827546296</v>
      </c>
      <c r="C957" s="1" t="n">
        <v>45929</v>
      </c>
      <c r="D957" t="inlineStr">
        <is>
          <t>VÄSTERNORRLANDS LÄN</t>
        </is>
      </c>
      <c r="E957" t="inlineStr">
        <is>
          <t>ÅNGE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53209-2024</t>
        </is>
      </c>
      <c r="B958" s="1" t="n">
        <v>45612.51079861111</v>
      </c>
      <c r="C958" s="1" t="n">
        <v>45929</v>
      </c>
      <c r="D958" t="inlineStr">
        <is>
          <t>VÄSTERNORRLANDS LÄN</t>
        </is>
      </c>
      <c r="E958" t="inlineStr">
        <is>
          <t>ÅNGE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15778-2025</t>
        </is>
      </c>
      <c r="B959" s="1" t="n">
        <v>45748.60030092593</v>
      </c>
      <c r="C959" s="1" t="n">
        <v>45929</v>
      </c>
      <c r="D959" t="inlineStr">
        <is>
          <t>VÄSTERNORRLANDS LÄN</t>
        </is>
      </c>
      <c r="E959" t="inlineStr">
        <is>
          <t>ÅNGE</t>
        </is>
      </c>
      <c r="F959" t="inlineStr">
        <is>
          <t>SCA</t>
        </is>
      </c>
      <c r="G959" t="n">
        <v>13.6</v>
      </c>
      <c r="H959" t="n">
        <v>0</v>
      </c>
      <c r="I959" t="n">
        <v>0</v>
      </c>
      <c r="J959" t="n">
        <v>0</v>
      </c>
      <c r="K959" t="n">
        <v>0</v>
      </c>
      <c r="L959" t="n">
        <v>0</v>
      </c>
      <c r="M959" t="n">
        <v>0</v>
      </c>
      <c r="N959" t="n">
        <v>0</v>
      </c>
      <c r="O959" t="n">
        <v>0</v>
      </c>
      <c r="P959" t="n">
        <v>0</v>
      </c>
      <c r="Q959" t="n">
        <v>0</v>
      </c>
      <c r="R959" s="2" t="inlineStr"/>
    </row>
    <row r="960" ht="15" customHeight="1">
      <c r="A960" t="inlineStr">
        <is>
          <t>A 17718-2025</t>
        </is>
      </c>
      <c r="B960" s="1" t="n">
        <v>45758.44815972223</v>
      </c>
      <c r="C960" s="1" t="n">
        <v>45929</v>
      </c>
      <c r="D960" t="inlineStr">
        <is>
          <t>VÄSTERNORRLANDS LÄN</t>
        </is>
      </c>
      <c r="E960" t="inlineStr">
        <is>
          <t>ÅNGE</t>
        </is>
      </c>
      <c r="G960" t="n">
        <v>5.1</v>
      </c>
      <c r="H960" t="n">
        <v>0</v>
      </c>
      <c r="I960" t="n">
        <v>0</v>
      </c>
      <c r="J960" t="n">
        <v>0</v>
      </c>
      <c r="K960" t="n">
        <v>0</v>
      </c>
      <c r="L960" t="n">
        <v>0</v>
      </c>
      <c r="M960" t="n">
        <v>0</v>
      </c>
      <c r="N960" t="n">
        <v>0</v>
      </c>
      <c r="O960" t="n">
        <v>0</v>
      </c>
      <c r="P960" t="n">
        <v>0</v>
      </c>
      <c r="Q960" t="n">
        <v>0</v>
      </c>
      <c r="R960" s="2" t="inlineStr"/>
    </row>
    <row r="961" ht="15" customHeight="1">
      <c r="A961" t="inlineStr">
        <is>
          <t>A 58275-2022</t>
        </is>
      </c>
      <c r="B961" s="1" t="n">
        <v>44901.47865740741</v>
      </c>
      <c r="C961" s="1" t="n">
        <v>45929</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38246-2024</t>
        </is>
      </c>
      <c r="B962" s="1" t="n">
        <v>45545.57327546296</v>
      </c>
      <c r="C962" s="1" t="n">
        <v>45929</v>
      </c>
      <c r="D962" t="inlineStr">
        <is>
          <t>VÄSTERNORRLANDS LÄN</t>
        </is>
      </c>
      <c r="E962" t="inlineStr">
        <is>
          <t>ÅNGE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26943-2024</t>
        </is>
      </c>
      <c r="B963" s="1" t="n">
        <v>45470</v>
      </c>
      <c r="C963" s="1" t="n">
        <v>45929</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53512-2023</t>
        </is>
      </c>
      <c r="B964" s="1" t="n">
        <v>45230</v>
      </c>
      <c r="C964" s="1" t="n">
        <v>45929</v>
      </c>
      <c r="D964" t="inlineStr">
        <is>
          <t>VÄSTERNORRLANDS LÄN</t>
        </is>
      </c>
      <c r="E964" t="inlineStr">
        <is>
          <t>ÅNGE</t>
        </is>
      </c>
      <c r="F964" t="inlineStr">
        <is>
          <t>Holmen skog AB</t>
        </is>
      </c>
      <c r="G964" t="n">
        <v>3</v>
      </c>
      <c r="H964" t="n">
        <v>0</v>
      </c>
      <c r="I964" t="n">
        <v>0</v>
      </c>
      <c r="J964" t="n">
        <v>0</v>
      </c>
      <c r="K964" t="n">
        <v>0</v>
      </c>
      <c r="L964" t="n">
        <v>0</v>
      </c>
      <c r="M964" t="n">
        <v>0</v>
      </c>
      <c r="N964" t="n">
        <v>0</v>
      </c>
      <c r="O964" t="n">
        <v>0</v>
      </c>
      <c r="P964" t="n">
        <v>0</v>
      </c>
      <c r="Q964" t="n">
        <v>0</v>
      </c>
      <c r="R964" s="2" t="inlineStr"/>
    </row>
    <row r="965" ht="15" customHeight="1">
      <c r="A965" t="inlineStr">
        <is>
          <t>A 20716-2025</t>
        </is>
      </c>
      <c r="B965" s="1" t="n">
        <v>45776.49026620371</v>
      </c>
      <c r="C965" s="1" t="n">
        <v>45929</v>
      </c>
      <c r="D965" t="inlineStr">
        <is>
          <t>VÄSTERNORRLANDS LÄN</t>
        </is>
      </c>
      <c r="E965" t="inlineStr">
        <is>
          <t>ÅNGE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20717-2025</t>
        </is>
      </c>
      <c r="B966" s="1" t="n">
        <v>45776.49040509259</v>
      </c>
      <c r="C966" s="1" t="n">
        <v>45929</v>
      </c>
      <c r="D966" t="inlineStr">
        <is>
          <t>VÄSTERNORRLANDS LÄN</t>
        </is>
      </c>
      <c r="E966" t="inlineStr">
        <is>
          <t>ÅNGE</t>
        </is>
      </c>
      <c r="F966" t="inlineStr">
        <is>
          <t>SCA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20776-2025</t>
        </is>
      </c>
      <c r="B967" s="1" t="n">
        <v>45776.59410879629</v>
      </c>
      <c r="C967" s="1" t="n">
        <v>45929</v>
      </c>
      <c r="D967" t="inlineStr">
        <is>
          <t>VÄSTERNORRLANDS LÄN</t>
        </is>
      </c>
      <c r="E967" t="inlineStr">
        <is>
          <t>ÅNGE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20718-2025</t>
        </is>
      </c>
      <c r="B968" s="1" t="n">
        <v>45776.49047453704</v>
      </c>
      <c r="C968" s="1" t="n">
        <v>45929</v>
      </c>
      <c r="D968" t="inlineStr">
        <is>
          <t>VÄSTERNORRLANDS LÄN</t>
        </is>
      </c>
      <c r="E968" t="inlineStr">
        <is>
          <t>ÅNGE</t>
        </is>
      </c>
      <c r="G968" t="n">
        <v>4.7</v>
      </c>
      <c r="H968" t="n">
        <v>0</v>
      </c>
      <c r="I968" t="n">
        <v>0</v>
      </c>
      <c r="J968" t="n">
        <v>0</v>
      </c>
      <c r="K968" t="n">
        <v>0</v>
      </c>
      <c r="L968" t="n">
        <v>0</v>
      </c>
      <c r="M968" t="n">
        <v>0</v>
      </c>
      <c r="N968" t="n">
        <v>0</v>
      </c>
      <c r="O968" t="n">
        <v>0</v>
      </c>
      <c r="P968" t="n">
        <v>0</v>
      </c>
      <c r="Q968" t="n">
        <v>0</v>
      </c>
      <c r="R968" s="2" t="inlineStr"/>
    </row>
    <row r="969" ht="15" customHeight="1">
      <c r="A969" t="inlineStr">
        <is>
          <t>A 20864-2025</t>
        </is>
      </c>
      <c r="B969" s="1" t="n">
        <v>45777.34417824074</v>
      </c>
      <c r="C969" s="1" t="n">
        <v>45929</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21068-2025</t>
        </is>
      </c>
      <c r="B970" s="1" t="n">
        <v>45777.59413194445</v>
      </c>
      <c r="C970" s="1" t="n">
        <v>45929</v>
      </c>
      <c r="D970" t="inlineStr">
        <is>
          <t>VÄSTERNORRLANDS LÄN</t>
        </is>
      </c>
      <c r="E970" t="inlineStr">
        <is>
          <t>ÅNGE</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20868-2025</t>
        </is>
      </c>
      <c r="B971" s="1" t="n">
        <v>45777.34483796296</v>
      </c>
      <c r="C971" s="1" t="n">
        <v>45929</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21176-2025</t>
        </is>
      </c>
      <c r="B972" s="1" t="n">
        <v>45779.42798611111</v>
      </c>
      <c r="C972" s="1" t="n">
        <v>45929</v>
      </c>
      <c r="D972" t="inlineStr">
        <is>
          <t>VÄSTERNORRLANDS LÄN</t>
        </is>
      </c>
      <c r="E972" t="inlineStr">
        <is>
          <t>ÅNGE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21454-2025</t>
        </is>
      </c>
      <c r="B973" s="1" t="n">
        <v>45782.55322916667</v>
      </c>
      <c r="C973" s="1" t="n">
        <v>45929</v>
      </c>
      <c r="D973" t="inlineStr">
        <is>
          <t>VÄSTERNORRLANDS LÄN</t>
        </is>
      </c>
      <c r="E973" t="inlineStr">
        <is>
          <t>ÅNGE</t>
        </is>
      </c>
      <c r="F973" t="inlineStr">
        <is>
          <t>SCA</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21456-2025</t>
        </is>
      </c>
      <c r="B974" s="1" t="n">
        <v>45782.55342592593</v>
      </c>
      <c r="C974" s="1" t="n">
        <v>45929</v>
      </c>
      <c r="D974" t="inlineStr">
        <is>
          <t>VÄSTERNORRLANDS LÄN</t>
        </is>
      </c>
      <c r="E974" t="inlineStr">
        <is>
          <t>ÅNGE</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21197-2025</t>
        </is>
      </c>
      <c r="B975" s="1" t="n">
        <v>45779.46949074074</v>
      </c>
      <c r="C975" s="1" t="n">
        <v>45929</v>
      </c>
      <c r="D975" t="inlineStr">
        <is>
          <t>VÄSTERNORRLANDS LÄN</t>
        </is>
      </c>
      <c r="E975" t="inlineStr">
        <is>
          <t>ÅNGE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21563-2025</t>
        </is>
      </c>
      <c r="B976" s="1" t="n">
        <v>45782.69822916666</v>
      </c>
      <c r="C976" s="1" t="n">
        <v>45929</v>
      </c>
      <c r="D976" t="inlineStr">
        <is>
          <t>VÄSTERNORRLANDS LÄN</t>
        </is>
      </c>
      <c r="E976" t="inlineStr">
        <is>
          <t>ÅNGE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45030-2024</t>
        </is>
      </c>
      <c r="B977" s="1" t="n">
        <v>45575.52089120371</v>
      </c>
      <c r="C977" s="1" t="n">
        <v>45929</v>
      </c>
      <c r="D977" t="inlineStr">
        <is>
          <t>VÄSTERNORRLANDS LÄN</t>
        </is>
      </c>
      <c r="E977" t="inlineStr">
        <is>
          <t>ÅNGE</t>
        </is>
      </c>
      <c r="G977" t="n">
        <v>1.7</v>
      </c>
      <c r="H977" t="n">
        <v>0</v>
      </c>
      <c r="I977" t="n">
        <v>0</v>
      </c>
      <c r="J977" t="n">
        <v>0</v>
      </c>
      <c r="K977" t="n">
        <v>0</v>
      </c>
      <c r="L977" t="n">
        <v>0</v>
      </c>
      <c r="M977" t="n">
        <v>0</v>
      </c>
      <c r="N977" t="n">
        <v>0</v>
      </c>
      <c r="O977" t="n">
        <v>0</v>
      </c>
      <c r="P977" t="n">
        <v>0</v>
      </c>
      <c r="Q977" t="n">
        <v>0</v>
      </c>
      <c r="R977" s="2" t="inlineStr"/>
    </row>
    <row r="978" ht="15" customHeight="1">
      <c r="A978" t="inlineStr">
        <is>
          <t>A 21263-2025</t>
        </is>
      </c>
      <c r="B978" s="1" t="n">
        <v>45779.61233796296</v>
      </c>
      <c r="C978" s="1" t="n">
        <v>45929</v>
      </c>
      <c r="D978" t="inlineStr">
        <is>
          <t>VÄSTERNORRLANDS LÄN</t>
        </is>
      </c>
      <c r="E978" t="inlineStr">
        <is>
          <t>ÅNGE</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21174-2025</t>
        </is>
      </c>
      <c r="B979" s="1" t="n">
        <v>45779.42746527777</v>
      </c>
      <c r="C979" s="1" t="n">
        <v>45929</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21251-2025</t>
        </is>
      </c>
      <c r="B980" s="1" t="n">
        <v>45779.57417824074</v>
      </c>
      <c r="C980" s="1" t="n">
        <v>45929</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21791-2025</t>
        </is>
      </c>
      <c r="B981" s="1" t="n">
        <v>45783.67771990741</v>
      </c>
      <c r="C981" s="1" t="n">
        <v>45929</v>
      </c>
      <c r="D981" t="inlineStr">
        <is>
          <t>VÄSTERNORRLANDS LÄN</t>
        </is>
      </c>
      <c r="E981" t="inlineStr">
        <is>
          <t>ÅNGE</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21712-2025</t>
        </is>
      </c>
      <c r="B982" s="1" t="n">
        <v>45783.53210648148</v>
      </c>
      <c r="C982" s="1" t="n">
        <v>45929</v>
      </c>
      <c r="D982" t="inlineStr">
        <is>
          <t>VÄSTERNORRLANDS LÄN</t>
        </is>
      </c>
      <c r="E982" t="inlineStr">
        <is>
          <t>ÅNGE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2539-2025</t>
        </is>
      </c>
      <c r="B983" s="1" t="n">
        <v>45674.61581018518</v>
      </c>
      <c r="C983" s="1" t="n">
        <v>45929</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22187-2024</t>
        </is>
      </c>
      <c r="B984" s="1" t="n">
        <v>45446.35222222222</v>
      </c>
      <c r="C984" s="1" t="n">
        <v>45929</v>
      </c>
      <c r="D984" t="inlineStr">
        <is>
          <t>VÄSTERNORRLANDS LÄN</t>
        </is>
      </c>
      <c r="E984" t="inlineStr">
        <is>
          <t>ÅNGE</t>
        </is>
      </c>
      <c r="G984" t="n">
        <v>2.3</v>
      </c>
      <c r="H984" t="n">
        <v>0</v>
      </c>
      <c r="I984" t="n">
        <v>0</v>
      </c>
      <c r="J984" t="n">
        <v>0</v>
      </c>
      <c r="K984" t="n">
        <v>0</v>
      </c>
      <c r="L984" t="n">
        <v>0</v>
      </c>
      <c r="M984" t="n">
        <v>0</v>
      </c>
      <c r="N984" t="n">
        <v>0</v>
      </c>
      <c r="O984" t="n">
        <v>0</v>
      </c>
      <c r="P984" t="n">
        <v>0</v>
      </c>
      <c r="Q984" t="n">
        <v>0</v>
      </c>
      <c r="R984" s="2" t="inlineStr"/>
    </row>
    <row r="985" ht="15" customHeight="1">
      <c r="A985" t="inlineStr">
        <is>
          <t>A 21883-2025</t>
        </is>
      </c>
      <c r="B985" s="1" t="n">
        <v>45784.41361111111</v>
      </c>
      <c r="C985" s="1" t="n">
        <v>45929</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21597-2025</t>
        </is>
      </c>
      <c r="B986" s="1" t="n">
        <v>45783.34493055556</v>
      </c>
      <c r="C986" s="1" t="n">
        <v>45929</v>
      </c>
      <c r="D986" t="inlineStr">
        <is>
          <t>VÄSTERNORRLANDS LÄN</t>
        </is>
      </c>
      <c r="E986" t="inlineStr">
        <is>
          <t>ÅNGE</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25867-2024</t>
        </is>
      </c>
      <c r="B987" s="1" t="n">
        <v>45463</v>
      </c>
      <c r="C987" s="1" t="n">
        <v>45929</v>
      </c>
      <c r="D987" t="inlineStr">
        <is>
          <t>VÄSTERNORRLANDS LÄN</t>
        </is>
      </c>
      <c r="E987" t="inlineStr">
        <is>
          <t>ÅNGE</t>
        </is>
      </c>
      <c r="G987" t="n">
        <v>2.7</v>
      </c>
      <c r="H987" t="n">
        <v>0</v>
      </c>
      <c r="I987" t="n">
        <v>0</v>
      </c>
      <c r="J987" t="n">
        <v>0</v>
      </c>
      <c r="K987" t="n">
        <v>0</v>
      </c>
      <c r="L987" t="n">
        <v>0</v>
      </c>
      <c r="M987" t="n">
        <v>0</v>
      </c>
      <c r="N987" t="n">
        <v>0</v>
      </c>
      <c r="O987" t="n">
        <v>0</v>
      </c>
      <c r="P987" t="n">
        <v>0</v>
      </c>
      <c r="Q987" t="n">
        <v>0</v>
      </c>
      <c r="R987" s="2" t="inlineStr"/>
    </row>
    <row r="988" ht="15" customHeight="1">
      <c r="A988" t="inlineStr">
        <is>
          <t>A 17669-2023</t>
        </is>
      </c>
      <c r="B988" s="1" t="n">
        <v>45036.94457175926</v>
      </c>
      <c r="C988" s="1" t="n">
        <v>45929</v>
      </c>
      <c r="D988" t="inlineStr">
        <is>
          <t>VÄSTERNORRLANDS LÄN</t>
        </is>
      </c>
      <c r="E988" t="inlineStr">
        <is>
          <t>ÅNGE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29395-2023</t>
        </is>
      </c>
      <c r="B989" s="1" t="n">
        <v>45106.4359837963</v>
      </c>
      <c r="C989" s="1" t="n">
        <v>45929</v>
      </c>
      <c r="D989" t="inlineStr">
        <is>
          <t>VÄSTERNORRLANDS LÄN</t>
        </is>
      </c>
      <c r="E989" t="inlineStr">
        <is>
          <t>ÅNGE</t>
        </is>
      </c>
      <c r="G989" t="n">
        <v>3.5</v>
      </c>
      <c r="H989" t="n">
        <v>0</v>
      </c>
      <c r="I989" t="n">
        <v>0</v>
      </c>
      <c r="J989" t="n">
        <v>0</v>
      </c>
      <c r="K989" t="n">
        <v>0</v>
      </c>
      <c r="L989" t="n">
        <v>0</v>
      </c>
      <c r="M989" t="n">
        <v>0</v>
      </c>
      <c r="N989" t="n">
        <v>0</v>
      </c>
      <c r="O989" t="n">
        <v>0</v>
      </c>
      <c r="P989" t="n">
        <v>0</v>
      </c>
      <c r="Q989" t="n">
        <v>0</v>
      </c>
      <c r="R989" s="2" t="inlineStr"/>
    </row>
    <row r="990" ht="15" customHeight="1">
      <c r="A990" t="inlineStr">
        <is>
          <t>A 21862-2025</t>
        </is>
      </c>
      <c r="B990" s="1" t="n">
        <v>45784.36519675926</v>
      </c>
      <c r="C990" s="1" t="n">
        <v>45929</v>
      </c>
      <c r="D990" t="inlineStr">
        <is>
          <t>VÄSTERNORRLANDS LÄN</t>
        </is>
      </c>
      <c r="E990" t="inlineStr">
        <is>
          <t>ÅNGE</t>
        </is>
      </c>
      <c r="F990" t="inlineStr">
        <is>
          <t>SCA</t>
        </is>
      </c>
      <c r="G990" t="n">
        <v>4.6</v>
      </c>
      <c r="H990" t="n">
        <v>0</v>
      </c>
      <c r="I990" t="n">
        <v>0</v>
      </c>
      <c r="J990" t="n">
        <v>0</v>
      </c>
      <c r="K990" t="n">
        <v>0</v>
      </c>
      <c r="L990" t="n">
        <v>0</v>
      </c>
      <c r="M990" t="n">
        <v>0</v>
      </c>
      <c r="N990" t="n">
        <v>0</v>
      </c>
      <c r="O990" t="n">
        <v>0</v>
      </c>
      <c r="P990" t="n">
        <v>0</v>
      </c>
      <c r="Q990" t="n">
        <v>0</v>
      </c>
      <c r="R990" s="2" t="inlineStr"/>
    </row>
    <row r="991" ht="15" customHeight="1">
      <c r="A991" t="inlineStr">
        <is>
          <t>A 21982-2025</t>
        </is>
      </c>
      <c r="B991" s="1" t="n">
        <v>45784.65660879629</v>
      </c>
      <c r="C991" s="1" t="n">
        <v>45929</v>
      </c>
      <c r="D991" t="inlineStr">
        <is>
          <t>VÄSTERNORRLANDS LÄN</t>
        </is>
      </c>
      <c r="E991" t="inlineStr">
        <is>
          <t>ÅNGE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54295-2024</t>
        </is>
      </c>
      <c r="B992" s="1" t="n">
        <v>45617</v>
      </c>
      <c r="C992" s="1" t="n">
        <v>45929</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21686-2025</t>
        </is>
      </c>
      <c r="B993" s="1" t="n">
        <v>45783.490625</v>
      </c>
      <c r="C993" s="1" t="n">
        <v>45929</v>
      </c>
      <c r="D993" t="inlineStr">
        <is>
          <t>VÄSTERNORRLANDS LÄN</t>
        </is>
      </c>
      <c r="E993" t="inlineStr">
        <is>
          <t>ÅNGE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21741-2025</t>
        </is>
      </c>
      <c r="B994" s="1" t="n">
        <v>45783.59415509259</v>
      </c>
      <c r="C994" s="1" t="n">
        <v>45929</v>
      </c>
      <c r="D994" t="inlineStr">
        <is>
          <t>VÄSTERNORRLANDS LÄN</t>
        </is>
      </c>
      <c r="E994" t="inlineStr">
        <is>
          <t>ÅNGE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29063-2023</t>
        </is>
      </c>
      <c r="B995" s="1" t="n">
        <v>45104.94068287037</v>
      </c>
      <c r="C995" s="1" t="n">
        <v>45929</v>
      </c>
      <c r="D995" t="inlineStr">
        <is>
          <t>VÄSTERNORRLANDS LÄN</t>
        </is>
      </c>
      <c r="E995" t="inlineStr">
        <is>
          <t>ÅNGE</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39119-2024</t>
        </is>
      </c>
      <c r="B996" s="1" t="n">
        <v>45548.58939814815</v>
      </c>
      <c r="C996" s="1" t="n">
        <v>45929</v>
      </c>
      <c r="D996" t="inlineStr">
        <is>
          <t>VÄSTERNORRLANDS LÄN</t>
        </is>
      </c>
      <c r="E996" t="inlineStr">
        <is>
          <t>ÅNGE</t>
        </is>
      </c>
      <c r="G996" t="n">
        <v>8</v>
      </c>
      <c r="H996" t="n">
        <v>0</v>
      </c>
      <c r="I996" t="n">
        <v>0</v>
      </c>
      <c r="J996" t="n">
        <v>0</v>
      </c>
      <c r="K996" t="n">
        <v>0</v>
      </c>
      <c r="L996" t="n">
        <v>0</v>
      </c>
      <c r="M996" t="n">
        <v>0</v>
      </c>
      <c r="N996" t="n">
        <v>0</v>
      </c>
      <c r="O996" t="n">
        <v>0</v>
      </c>
      <c r="P996" t="n">
        <v>0</v>
      </c>
      <c r="Q996" t="n">
        <v>0</v>
      </c>
      <c r="R996" s="2" t="inlineStr"/>
    </row>
    <row r="997" ht="15" customHeight="1">
      <c r="A997" t="inlineStr">
        <is>
          <t>A 21685-2025</t>
        </is>
      </c>
      <c r="B997" s="1" t="n">
        <v>45783.49050925926</v>
      </c>
      <c r="C997" s="1" t="n">
        <v>45929</v>
      </c>
      <c r="D997" t="inlineStr">
        <is>
          <t>VÄSTERNORRLANDS LÄN</t>
        </is>
      </c>
      <c r="E997" t="inlineStr">
        <is>
          <t>ÅNGE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51609-2023</t>
        </is>
      </c>
      <c r="B998" s="1" t="n">
        <v>45215</v>
      </c>
      <c r="C998" s="1" t="n">
        <v>45929</v>
      </c>
      <c r="D998" t="inlineStr">
        <is>
          <t>VÄSTERNORRLANDS LÄN</t>
        </is>
      </c>
      <c r="E998" t="inlineStr">
        <is>
          <t>ÅNGE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53970-2021</t>
        </is>
      </c>
      <c r="B999" s="1" t="n">
        <v>44469</v>
      </c>
      <c r="C999" s="1" t="n">
        <v>45929</v>
      </c>
      <c r="D999" t="inlineStr">
        <is>
          <t>VÄSTERNORRLANDS LÄN</t>
        </is>
      </c>
      <c r="E999" t="inlineStr">
        <is>
          <t>ÅNGE</t>
        </is>
      </c>
      <c r="G999" t="n">
        <v>3.4</v>
      </c>
      <c r="H999" t="n">
        <v>0</v>
      </c>
      <c r="I999" t="n">
        <v>0</v>
      </c>
      <c r="J999" t="n">
        <v>0</v>
      </c>
      <c r="K999" t="n">
        <v>0</v>
      </c>
      <c r="L999" t="n">
        <v>0</v>
      </c>
      <c r="M999" t="n">
        <v>0</v>
      </c>
      <c r="N999" t="n">
        <v>0</v>
      </c>
      <c r="O999" t="n">
        <v>0</v>
      </c>
      <c r="P999" t="n">
        <v>0</v>
      </c>
      <c r="Q999" t="n">
        <v>0</v>
      </c>
      <c r="R999" s="2" t="inlineStr"/>
    </row>
    <row r="1000" ht="15" customHeight="1">
      <c r="A1000" t="inlineStr">
        <is>
          <t>A 2415-2024</t>
        </is>
      </c>
      <c r="B1000" s="1" t="n">
        <v>45310</v>
      </c>
      <c r="C1000" s="1" t="n">
        <v>45929</v>
      </c>
      <c r="D1000" t="inlineStr">
        <is>
          <t>VÄSTERNORRLANDS LÄN</t>
        </is>
      </c>
      <c r="E1000" t="inlineStr">
        <is>
          <t>ÅNGE</t>
        </is>
      </c>
      <c r="F1000" t="inlineStr">
        <is>
          <t>Kyrkan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6686-2024</t>
        </is>
      </c>
      <c r="B1001" s="1" t="n">
        <v>45341</v>
      </c>
      <c r="C1001" s="1" t="n">
        <v>45929</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30682-2024</t>
        </is>
      </c>
      <c r="B1002" s="1" t="n">
        <v>45495.95109953704</v>
      </c>
      <c r="C1002" s="1" t="n">
        <v>45929</v>
      </c>
      <c r="D1002" t="inlineStr">
        <is>
          <t>VÄSTERNORRLANDS LÄN</t>
        </is>
      </c>
      <c r="E1002" t="inlineStr">
        <is>
          <t>ÅNGE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32257-2024</t>
        </is>
      </c>
      <c r="B1003" s="1" t="n">
        <v>45511</v>
      </c>
      <c r="C1003" s="1" t="n">
        <v>45929</v>
      </c>
      <c r="D1003" t="inlineStr">
        <is>
          <t>VÄSTERNORRLANDS LÄN</t>
        </is>
      </c>
      <c r="E1003" t="inlineStr">
        <is>
          <t>ÅNGE</t>
        </is>
      </c>
      <c r="F1003" t="inlineStr">
        <is>
          <t>SCA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30753-2024</t>
        </is>
      </c>
      <c r="B1004" s="1" t="n">
        <v>45496</v>
      </c>
      <c r="C1004" s="1" t="n">
        <v>45929</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30754-2024</t>
        </is>
      </c>
      <c r="B1005" s="1" t="n">
        <v>45496</v>
      </c>
      <c r="C1005" s="1" t="n">
        <v>45929</v>
      </c>
      <c r="D1005" t="inlineStr">
        <is>
          <t>VÄSTERNORRLANDS LÄN</t>
        </is>
      </c>
      <c r="E1005" t="inlineStr">
        <is>
          <t>ÅNGE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38960-2021</t>
        </is>
      </c>
      <c r="B1006" s="1" t="n">
        <v>44411</v>
      </c>
      <c r="C1006" s="1" t="n">
        <v>45929</v>
      </c>
      <c r="D1006" t="inlineStr">
        <is>
          <t>VÄSTERNORRLANDS LÄN</t>
        </is>
      </c>
      <c r="E1006" t="inlineStr">
        <is>
          <t>ÅNGE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35581-2024</t>
        </is>
      </c>
      <c r="B1007" s="1" t="n">
        <v>45531</v>
      </c>
      <c r="C1007" s="1" t="n">
        <v>45929</v>
      </c>
      <c r="D1007" t="inlineStr">
        <is>
          <t>VÄSTERNORRLANDS LÄN</t>
        </is>
      </c>
      <c r="E1007" t="inlineStr">
        <is>
          <t>ÅNGE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65633-2021</t>
        </is>
      </c>
      <c r="B1008" s="1" t="n">
        <v>44516.56181712963</v>
      </c>
      <c r="C1008" s="1" t="n">
        <v>45929</v>
      </c>
      <c r="D1008" t="inlineStr">
        <is>
          <t>VÄSTERNORRLANDS LÄN</t>
        </is>
      </c>
      <c r="E1008" t="inlineStr">
        <is>
          <t>ÅNGE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41507-2024</t>
        </is>
      </c>
      <c r="B1009" s="1" t="n">
        <v>45560</v>
      </c>
      <c r="C1009" s="1" t="n">
        <v>45929</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31492-2024</t>
        </is>
      </c>
      <c r="B1010" s="1" t="n">
        <v>45505</v>
      </c>
      <c r="C1010" s="1" t="n">
        <v>45929</v>
      </c>
      <c r="D1010" t="inlineStr">
        <is>
          <t>VÄSTERNORRLANDS LÄN</t>
        </is>
      </c>
      <c r="E1010" t="inlineStr">
        <is>
          <t>ÅNGE</t>
        </is>
      </c>
      <c r="F1010" t="inlineStr">
        <is>
          <t>SCA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6487-2021</t>
        </is>
      </c>
      <c r="B1011" s="1" t="n">
        <v>44235</v>
      </c>
      <c r="C1011" s="1" t="n">
        <v>45929</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17749-2025</t>
        </is>
      </c>
      <c r="B1012" s="1" t="n">
        <v>45758.48380787037</v>
      </c>
      <c r="C1012" s="1" t="n">
        <v>45929</v>
      </c>
      <c r="D1012" t="inlineStr">
        <is>
          <t>VÄSTERNORRLANDS LÄN</t>
        </is>
      </c>
      <c r="E1012" t="inlineStr">
        <is>
          <t>ÅNGE</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38800-2024</t>
        </is>
      </c>
      <c r="B1013" s="1" t="n">
        <v>45547</v>
      </c>
      <c r="C1013" s="1" t="n">
        <v>45929</v>
      </c>
      <c r="D1013" t="inlineStr">
        <is>
          <t>VÄSTERNORRLANDS LÄN</t>
        </is>
      </c>
      <c r="E1013" t="inlineStr">
        <is>
          <t>ÅNGE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42044-2024</t>
        </is>
      </c>
      <c r="B1014" s="1" t="n">
        <v>45561</v>
      </c>
      <c r="C1014" s="1" t="n">
        <v>45929</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3256-2024</t>
        </is>
      </c>
      <c r="B1015" s="1" t="n">
        <v>45316</v>
      </c>
      <c r="C1015" s="1" t="n">
        <v>45929</v>
      </c>
      <c r="D1015" t="inlineStr">
        <is>
          <t>VÄSTERNORRLANDS LÄN</t>
        </is>
      </c>
      <c r="E1015" t="inlineStr">
        <is>
          <t>ÅNGE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2451-2024</t>
        </is>
      </c>
      <c r="B1016" s="1" t="n">
        <v>45312.58627314815</v>
      </c>
      <c r="C1016" s="1" t="n">
        <v>45929</v>
      </c>
      <c r="D1016" t="inlineStr">
        <is>
          <t>VÄSTERNORRLANDS LÄN</t>
        </is>
      </c>
      <c r="E1016" t="inlineStr">
        <is>
          <t>ÅNGE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20880-2025</t>
        </is>
      </c>
      <c r="B1017" s="1" t="n">
        <v>45777</v>
      </c>
      <c r="C1017" s="1" t="n">
        <v>45929</v>
      </c>
      <c r="D1017" t="inlineStr">
        <is>
          <t>VÄSTERNORRLANDS LÄN</t>
        </is>
      </c>
      <c r="E1017" t="inlineStr">
        <is>
          <t>ÅNGE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14751-2025</t>
        </is>
      </c>
      <c r="B1018" s="1" t="n">
        <v>45742.65863425926</v>
      </c>
      <c r="C1018" s="1" t="n">
        <v>45929</v>
      </c>
      <c r="D1018" t="inlineStr">
        <is>
          <t>VÄSTERNORRLANDS LÄN</t>
        </is>
      </c>
      <c r="E1018" t="inlineStr">
        <is>
          <t>ÅNGE</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10339-2025</t>
        </is>
      </c>
      <c r="B1019" s="1" t="n">
        <v>45720</v>
      </c>
      <c r="C1019" s="1" t="n">
        <v>45929</v>
      </c>
      <c r="D1019" t="inlineStr">
        <is>
          <t>VÄSTERNORRLANDS LÄN</t>
        </is>
      </c>
      <c r="E1019" t="inlineStr">
        <is>
          <t>ÅNGE</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41083-2024</t>
        </is>
      </c>
      <c r="B1020" s="1" t="n">
        <v>45559.40684027778</v>
      </c>
      <c r="C1020" s="1" t="n">
        <v>45929</v>
      </c>
      <c r="D1020" t="inlineStr">
        <is>
          <t>VÄSTERNORRLANDS LÄN</t>
        </is>
      </c>
      <c r="E1020" t="inlineStr">
        <is>
          <t>ÅNGE</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41766-2024</t>
        </is>
      </c>
      <c r="B1021" s="1" t="n">
        <v>45561.34594907407</v>
      </c>
      <c r="C1021" s="1" t="n">
        <v>45929</v>
      </c>
      <c r="D1021" t="inlineStr">
        <is>
          <t>VÄSTERNORRLANDS LÄN</t>
        </is>
      </c>
      <c r="E1021" t="inlineStr">
        <is>
          <t>ÅNGE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22219-2025</t>
        </is>
      </c>
      <c r="B1022" s="1" t="n">
        <v>45785.65849537037</v>
      </c>
      <c r="C1022" s="1" t="n">
        <v>45929</v>
      </c>
      <c r="D1022" t="inlineStr">
        <is>
          <t>VÄSTERNORRLANDS LÄN</t>
        </is>
      </c>
      <c r="E1022" t="inlineStr">
        <is>
          <t>ÅNGE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22206-2025</t>
        </is>
      </c>
      <c r="B1023" s="1" t="n">
        <v>45785.65699074074</v>
      </c>
      <c r="C1023" s="1" t="n">
        <v>45929</v>
      </c>
      <c r="D1023" t="inlineStr">
        <is>
          <t>VÄSTERNORRLANDS LÄN</t>
        </is>
      </c>
      <c r="E1023" t="inlineStr">
        <is>
          <t>ÅNGE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18067-2025</t>
        </is>
      </c>
      <c r="B1024" s="1" t="n">
        <v>45761.49016203704</v>
      </c>
      <c r="C1024" s="1" t="n">
        <v>45929</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51024-2024</t>
        </is>
      </c>
      <c r="B1025" s="1" t="n">
        <v>45603.4141087963</v>
      </c>
      <c r="C1025" s="1" t="n">
        <v>45929</v>
      </c>
      <c r="D1025" t="inlineStr">
        <is>
          <t>VÄSTERNORRLANDS LÄN</t>
        </is>
      </c>
      <c r="E1025" t="inlineStr">
        <is>
          <t>ÅNGE</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26640-2024</t>
        </is>
      </c>
      <c r="B1026" s="1" t="n">
        <v>45469.92831018518</v>
      </c>
      <c r="C1026" s="1" t="n">
        <v>45929</v>
      </c>
      <c r="D1026" t="inlineStr">
        <is>
          <t>VÄSTERNORRLANDS LÄN</t>
        </is>
      </c>
      <c r="E1026" t="inlineStr">
        <is>
          <t>ÅNGE</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1095-2023</t>
        </is>
      </c>
      <c r="B1027" s="1" t="n">
        <v>44929</v>
      </c>
      <c r="C1027" s="1" t="n">
        <v>45929</v>
      </c>
      <c r="D1027" t="inlineStr">
        <is>
          <t>VÄSTERNORRLANDS LÄN</t>
        </is>
      </c>
      <c r="E1027" t="inlineStr">
        <is>
          <t>ÅNGE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64121-2021</t>
        </is>
      </c>
      <c r="B1028" s="1" t="n">
        <v>44510.4730787037</v>
      </c>
      <c r="C1028" s="1" t="n">
        <v>45929</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22489-2025</t>
        </is>
      </c>
      <c r="B1029" s="1" t="n">
        <v>45786.64946759259</v>
      </c>
      <c r="C1029" s="1" t="n">
        <v>45929</v>
      </c>
      <c r="D1029" t="inlineStr">
        <is>
          <t>VÄSTERNORRLANDS LÄN</t>
        </is>
      </c>
      <c r="E1029" t="inlineStr">
        <is>
          <t>ÅNGE</t>
        </is>
      </c>
      <c r="F1029" t="inlineStr">
        <is>
          <t>Sveaskog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42881-2024</t>
        </is>
      </c>
      <c r="B1030" s="1" t="n">
        <v>45566.70916666667</v>
      </c>
      <c r="C1030" s="1" t="n">
        <v>45929</v>
      </c>
      <c r="D1030" t="inlineStr">
        <is>
          <t>VÄSTERNORRLANDS LÄN</t>
        </is>
      </c>
      <c r="E1030" t="inlineStr">
        <is>
          <t>ÅNGE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50651-2021</t>
        </is>
      </c>
      <c r="B1031" s="1" t="n">
        <v>44459</v>
      </c>
      <c r="C1031" s="1" t="n">
        <v>45929</v>
      </c>
      <c r="D1031" t="inlineStr">
        <is>
          <t>VÄSTERNORRLANDS LÄN</t>
        </is>
      </c>
      <c r="E1031" t="inlineStr">
        <is>
          <t>ÅNGE</t>
        </is>
      </c>
      <c r="G1031" t="n">
        <v>20.6</v>
      </c>
      <c r="H1031" t="n">
        <v>0</v>
      </c>
      <c r="I1031" t="n">
        <v>0</v>
      </c>
      <c r="J1031" t="n">
        <v>0</v>
      </c>
      <c r="K1031" t="n">
        <v>0</v>
      </c>
      <c r="L1031" t="n">
        <v>0</v>
      </c>
      <c r="M1031" t="n">
        <v>0</v>
      </c>
      <c r="N1031" t="n">
        <v>0</v>
      </c>
      <c r="O1031" t="n">
        <v>0</v>
      </c>
      <c r="P1031" t="n">
        <v>0</v>
      </c>
      <c r="Q1031" t="n">
        <v>0</v>
      </c>
      <c r="R1031" s="2" t="inlineStr"/>
    </row>
    <row r="1032" ht="15" customHeight="1">
      <c r="A1032" t="inlineStr">
        <is>
          <t>A 22752-2023</t>
        </is>
      </c>
      <c r="B1032" s="1" t="n">
        <v>45071.94104166667</v>
      </c>
      <c r="C1032" s="1" t="n">
        <v>45929</v>
      </c>
      <c r="D1032" t="inlineStr">
        <is>
          <t>VÄSTERNORRLANDS LÄN</t>
        </is>
      </c>
      <c r="E1032" t="inlineStr">
        <is>
          <t>ÅNGE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22549-2025</t>
        </is>
      </c>
      <c r="B1033" s="1" t="n">
        <v>45788.48113425926</v>
      </c>
      <c r="C1033" s="1" t="n">
        <v>45929</v>
      </c>
      <c r="D1033" t="inlineStr">
        <is>
          <t>VÄSTERNORRLANDS LÄN</t>
        </is>
      </c>
      <c r="E1033" t="inlineStr">
        <is>
          <t>ÅNGE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60779-2024</t>
        </is>
      </c>
      <c r="B1034" s="1" t="n">
        <v>45644</v>
      </c>
      <c r="C1034" s="1" t="n">
        <v>45929</v>
      </c>
      <c r="D1034" t="inlineStr">
        <is>
          <t>VÄSTERNORRLANDS LÄN</t>
        </is>
      </c>
      <c r="E1034" t="inlineStr">
        <is>
          <t>ÅNGE</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28428-2023</t>
        </is>
      </c>
      <c r="B1035" s="1" t="n">
        <v>45102</v>
      </c>
      <c r="C1035" s="1" t="n">
        <v>45929</v>
      </c>
      <c r="D1035" t="inlineStr">
        <is>
          <t>VÄSTERNORRLANDS LÄN</t>
        </is>
      </c>
      <c r="E1035" t="inlineStr">
        <is>
          <t>ÅNGE</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43366-2024</t>
        </is>
      </c>
      <c r="B1036" s="1" t="n">
        <v>45568</v>
      </c>
      <c r="C1036" s="1" t="n">
        <v>45929</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22926-2025</t>
        </is>
      </c>
      <c r="B1037" s="1" t="n">
        <v>45790</v>
      </c>
      <c r="C1037" s="1" t="n">
        <v>45929</v>
      </c>
      <c r="D1037" t="inlineStr">
        <is>
          <t>VÄSTERNORRLANDS LÄN</t>
        </is>
      </c>
      <c r="E1037" t="inlineStr">
        <is>
          <t>ÅNGE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22928-2025</t>
        </is>
      </c>
      <c r="B1038" s="1" t="n">
        <v>45790.44825231482</v>
      </c>
      <c r="C1038" s="1" t="n">
        <v>45929</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34491-2023</t>
        </is>
      </c>
      <c r="B1039" s="1" t="n">
        <v>45139.94775462963</v>
      </c>
      <c r="C1039" s="1" t="n">
        <v>45929</v>
      </c>
      <c r="D1039" t="inlineStr">
        <is>
          <t>VÄSTERNORRLANDS LÄN</t>
        </is>
      </c>
      <c r="E1039" t="inlineStr">
        <is>
          <t>ÅNGE</t>
        </is>
      </c>
      <c r="F1039" t="inlineStr">
        <is>
          <t>SCA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22791-2025</t>
        </is>
      </c>
      <c r="B1040" s="1" t="n">
        <v>45789.65663194445</v>
      </c>
      <c r="C1040" s="1" t="n">
        <v>45929</v>
      </c>
      <c r="D1040" t="inlineStr">
        <is>
          <t>VÄSTERNORRLANDS LÄN</t>
        </is>
      </c>
      <c r="E1040" t="inlineStr">
        <is>
          <t>ÅNGE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10089-2023</t>
        </is>
      </c>
      <c r="B1041" s="1" t="n">
        <v>44985</v>
      </c>
      <c r="C1041" s="1" t="n">
        <v>45929</v>
      </c>
      <c r="D1041" t="inlineStr">
        <is>
          <t>VÄSTERNORRLANDS LÄN</t>
        </is>
      </c>
      <c r="E1041" t="inlineStr">
        <is>
          <t>ÅNGE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10090-2023</t>
        </is>
      </c>
      <c r="B1042" s="1" t="n">
        <v>44985.94511574074</v>
      </c>
      <c r="C1042" s="1" t="n">
        <v>45929</v>
      </c>
      <c r="D1042" t="inlineStr">
        <is>
          <t>VÄSTERNORRLANDS LÄN</t>
        </is>
      </c>
      <c r="E1042" t="inlineStr">
        <is>
          <t>ÅNGE</t>
        </is>
      </c>
      <c r="F1042" t="inlineStr">
        <is>
          <t>SCA</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39005-2024</t>
        </is>
      </c>
      <c r="B1043" s="1" t="n">
        <v>45548.42743055556</v>
      </c>
      <c r="C1043" s="1" t="n">
        <v>45929</v>
      </c>
      <c r="D1043" t="inlineStr">
        <is>
          <t>VÄSTERNORRLANDS LÄN</t>
        </is>
      </c>
      <c r="E1043" t="inlineStr">
        <is>
          <t>ÅNGE</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23091-2025</t>
        </is>
      </c>
      <c r="B1044" s="1" t="n">
        <v>45791.34456018519</v>
      </c>
      <c r="C1044" s="1" t="n">
        <v>45929</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57593-2022</t>
        </is>
      </c>
      <c r="B1045" s="1" t="n">
        <v>44896.97847222222</v>
      </c>
      <c r="C1045" s="1" t="n">
        <v>45929</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57596-2022</t>
        </is>
      </c>
      <c r="B1046" s="1" t="n">
        <v>44896.97871527778</v>
      </c>
      <c r="C1046" s="1" t="n">
        <v>45929</v>
      </c>
      <c r="D1046" t="inlineStr">
        <is>
          <t>VÄSTERNORRLANDS LÄN</t>
        </is>
      </c>
      <c r="E1046" t="inlineStr">
        <is>
          <t>ÅNGE</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23580-2025</t>
        </is>
      </c>
      <c r="B1047" s="1" t="n">
        <v>45792.62555555555</v>
      </c>
      <c r="C1047" s="1" t="n">
        <v>45929</v>
      </c>
      <c r="D1047" t="inlineStr">
        <is>
          <t>VÄSTERNORRLANDS LÄN</t>
        </is>
      </c>
      <c r="E1047" t="inlineStr">
        <is>
          <t>ÅNGE</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23343-2025</t>
        </is>
      </c>
      <c r="B1048" s="1" t="n">
        <v>45791.65702546296</v>
      </c>
      <c r="C1048" s="1" t="n">
        <v>45929</v>
      </c>
      <c r="D1048" t="inlineStr">
        <is>
          <t>VÄSTERNORRLANDS LÄN</t>
        </is>
      </c>
      <c r="E1048" t="inlineStr">
        <is>
          <t>ÅNGE</t>
        </is>
      </c>
      <c r="F1048" t="inlineStr">
        <is>
          <t>SCA</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23407-2025</t>
        </is>
      </c>
      <c r="B1049" s="1" t="n">
        <v>45792.34549768519</v>
      </c>
      <c r="C1049" s="1" t="n">
        <v>45929</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23573-2025</t>
        </is>
      </c>
      <c r="B1050" s="1" t="n">
        <v>45792.61497685185</v>
      </c>
      <c r="C1050" s="1" t="n">
        <v>45929</v>
      </c>
      <c r="D1050" t="inlineStr">
        <is>
          <t>VÄSTERNORRLANDS LÄN</t>
        </is>
      </c>
      <c r="E1050" t="inlineStr">
        <is>
          <t>ÅNGE</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23590-2025</t>
        </is>
      </c>
      <c r="B1051" s="1" t="n">
        <v>45792.63627314815</v>
      </c>
      <c r="C1051" s="1" t="n">
        <v>45929</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23495-2025</t>
        </is>
      </c>
      <c r="B1052" s="1" t="n">
        <v>45792.46967592592</v>
      </c>
      <c r="C1052" s="1" t="n">
        <v>45929</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41222-2024</t>
        </is>
      </c>
      <c r="B1053" s="1" t="n">
        <v>45559.55306712963</v>
      </c>
      <c r="C1053" s="1" t="n">
        <v>45929</v>
      </c>
      <c r="D1053" t="inlineStr">
        <is>
          <t>VÄSTERNORRLANDS LÄN</t>
        </is>
      </c>
      <c r="E1053" t="inlineStr">
        <is>
          <t>ÅNGE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23589-2025</t>
        </is>
      </c>
      <c r="B1054" s="1" t="n">
        <v>45792.63618055556</v>
      </c>
      <c r="C1054" s="1" t="n">
        <v>45929</v>
      </c>
      <c r="D1054" t="inlineStr">
        <is>
          <t>VÄSTERNORRLANDS LÄN</t>
        </is>
      </c>
      <c r="E1054" t="inlineStr">
        <is>
          <t>ÅNGE</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13091-2024</t>
        </is>
      </c>
      <c r="B1055" s="1" t="n">
        <v>45385</v>
      </c>
      <c r="C1055" s="1" t="n">
        <v>45929</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3624-2024</t>
        </is>
      </c>
      <c r="B1056" s="1" t="n">
        <v>45320.95305555555</v>
      </c>
      <c r="C1056" s="1" t="n">
        <v>45929</v>
      </c>
      <c r="D1056" t="inlineStr">
        <is>
          <t>VÄSTERNORRLANDS LÄN</t>
        </is>
      </c>
      <c r="E1056" t="inlineStr">
        <is>
          <t>ÅNGE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1127-2023</t>
        </is>
      </c>
      <c r="B1057" s="1" t="n">
        <v>44929</v>
      </c>
      <c r="C1057" s="1" t="n">
        <v>45929</v>
      </c>
      <c r="D1057" t="inlineStr">
        <is>
          <t>VÄSTERNORRLANDS LÄN</t>
        </is>
      </c>
      <c r="E1057" t="inlineStr">
        <is>
          <t>ÅNGE</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41781-2024</t>
        </is>
      </c>
      <c r="B1058" s="1" t="n">
        <v>45561.34938657407</v>
      </c>
      <c r="C1058" s="1" t="n">
        <v>45929</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58469-2023</t>
        </is>
      </c>
      <c r="B1059" s="1" t="n">
        <v>45250</v>
      </c>
      <c r="C1059" s="1" t="n">
        <v>45929</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42090-2024</t>
        </is>
      </c>
      <c r="B1060" s="1" t="n">
        <v>45562</v>
      </c>
      <c r="C1060" s="1" t="n">
        <v>45929</v>
      </c>
      <c r="D1060" t="inlineStr">
        <is>
          <t>VÄSTERNORRLANDS LÄN</t>
        </is>
      </c>
      <c r="E1060" t="inlineStr">
        <is>
          <t>ÅNGE</t>
        </is>
      </c>
      <c r="F1060" t="inlineStr">
        <is>
          <t>SCA</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42098-2024</t>
        </is>
      </c>
      <c r="B1061" s="1" t="n">
        <v>45562.34532407407</v>
      </c>
      <c r="C1061" s="1" t="n">
        <v>45929</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55324-2023</t>
        </is>
      </c>
      <c r="B1062" s="1" t="n">
        <v>45237.9734837963</v>
      </c>
      <c r="C1062" s="1" t="n">
        <v>45929</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23252-2025</t>
        </is>
      </c>
      <c r="B1063" s="1" t="n">
        <v>45791.53157407408</v>
      </c>
      <c r="C1063" s="1" t="n">
        <v>45929</v>
      </c>
      <c r="D1063" t="inlineStr">
        <is>
          <t>VÄSTERNORRLANDS LÄN</t>
        </is>
      </c>
      <c r="E1063" t="inlineStr">
        <is>
          <t>ÅNGE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23529-2025</t>
        </is>
      </c>
      <c r="B1064" s="1" t="n">
        <v>45792.53158564815</v>
      </c>
      <c r="C1064" s="1" t="n">
        <v>45929</v>
      </c>
      <c r="D1064" t="inlineStr">
        <is>
          <t>VÄSTERNORRLANDS LÄN</t>
        </is>
      </c>
      <c r="E1064" t="inlineStr">
        <is>
          <t>ÅNGE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23552-2025</t>
        </is>
      </c>
      <c r="B1065" s="1" t="n">
        <v>45792.5738425926</v>
      </c>
      <c r="C1065" s="1" t="n">
        <v>45929</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4361-2024</t>
        </is>
      </c>
      <c r="B1066" s="1" t="n">
        <v>45325.65047453704</v>
      </c>
      <c r="C1066" s="1" t="n">
        <v>45929</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23748-2025</t>
        </is>
      </c>
      <c r="B1067" s="1" t="n">
        <v>45793.44755787037</v>
      </c>
      <c r="C1067" s="1" t="n">
        <v>45929</v>
      </c>
      <c r="D1067" t="inlineStr">
        <is>
          <t>VÄSTERNORRLANDS LÄN</t>
        </is>
      </c>
      <c r="E1067" t="inlineStr">
        <is>
          <t>ÅNGE</t>
        </is>
      </c>
      <c r="F1067" t="inlineStr">
        <is>
          <t>Sveaskog</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43145-2024</t>
        </is>
      </c>
      <c r="B1068" s="1" t="n">
        <v>45567.63030092593</v>
      </c>
      <c r="C1068" s="1" t="n">
        <v>45929</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65229-2021</t>
        </is>
      </c>
      <c r="B1069" s="1" t="n">
        <v>44515</v>
      </c>
      <c r="C1069" s="1" t="n">
        <v>45929</v>
      </c>
      <c r="D1069" t="inlineStr">
        <is>
          <t>VÄSTERNORRLANDS LÄN</t>
        </is>
      </c>
      <c r="E1069" t="inlineStr">
        <is>
          <t>ÅNGE</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23899-2025</t>
        </is>
      </c>
      <c r="B1070" s="1" t="n">
        <v>45794.34414351852</v>
      </c>
      <c r="C1070" s="1" t="n">
        <v>45929</v>
      </c>
      <c r="D1070" t="inlineStr">
        <is>
          <t>VÄSTERNORRLANDS LÄN</t>
        </is>
      </c>
      <c r="E1070" t="inlineStr">
        <is>
          <t>ÅNGE</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23917-2025</t>
        </is>
      </c>
      <c r="B1071" s="1" t="n">
        <v>45795.34481481482</v>
      </c>
      <c r="C1071" s="1" t="n">
        <v>45929</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32069-2023</t>
        </is>
      </c>
      <c r="B1072" s="1" t="n">
        <v>45107</v>
      </c>
      <c r="C1072" s="1" t="n">
        <v>45929</v>
      </c>
      <c r="D1072" t="inlineStr">
        <is>
          <t>VÄSTERNORRLANDS LÄN</t>
        </is>
      </c>
      <c r="E1072" t="inlineStr">
        <is>
          <t>ÅNGE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19829-2025</t>
        </is>
      </c>
      <c r="B1073" s="1" t="n">
        <v>45771.46944444445</v>
      </c>
      <c r="C1073" s="1" t="n">
        <v>45929</v>
      </c>
      <c r="D1073" t="inlineStr">
        <is>
          <t>VÄSTERNORRLANDS LÄN</t>
        </is>
      </c>
      <c r="E1073" t="inlineStr">
        <is>
          <t>ÅNGE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56188-2024</t>
        </is>
      </c>
      <c r="B1074" s="1" t="n">
        <v>45624.57800925926</v>
      </c>
      <c r="C1074" s="1" t="n">
        <v>45929</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46015-2024</t>
        </is>
      </c>
      <c r="B1075" s="1" t="n">
        <v>45580.67760416667</v>
      </c>
      <c r="C1075" s="1" t="n">
        <v>45929</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41302-2024</t>
        </is>
      </c>
      <c r="B1076" s="1" t="n">
        <v>45559.62077546296</v>
      </c>
      <c r="C1076" s="1" t="n">
        <v>45929</v>
      </c>
      <c r="D1076" t="inlineStr">
        <is>
          <t>VÄSTERNORRLANDS LÄN</t>
        </is>
      </c>
      <c r="E1076" t="inlineStr">
        <is>
          <t>ÅNGE</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16576-2023</t>
        </is>
      </c>
      <c r="B1077" s="1" t="n">
        <v>45029.94251157407</v>
      </c>
      <c r="C1077" s="1" t="n">
        <v>45929</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39843-2023</t>
        </is>
      </c>
      <c r="B1078" s="1" t="n">
        <v>45168</v>
      </c>
      <c r="C1078" s="1" t="n">
        <v>45929</v>
      </c>
      <c r="D1078" t="inlineStr">
        <is>
          <t>VÄSTERNORRLANDS LÄN</t>
        </is>
      </c>
      <c r="E1078" t="inlineStr">
        <is>
          <t>ÅNGE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37503-2023</t>
        </is>
      </c>
      <c r="B1079" s="1" t="n">
        <v>45157.5796875</v>
      </c>
      <c r="C1079" s="1" t="n">
        <v>45929</v>
      </c>
      <c r="D1079" t="inlineStr">
        <is>
          <t>VÄSTERNORRLANDS LÄN</t>
        </is>
      </c>
      <c r="E1079" t="inlineStr">
        <is>
          <t>ÅNGE</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23975-2025</t>
        </is>
      </c>
      <c r="B1080" s="1" t="n">
        <v>45796.38614583333</v>
      </c>
      <c r="C1080" s="1" t="n">
        <v>45929</v>
      </c>
      <c r="D1080" t="inlineStr">
        <is>
          <t>VÄSTERNORRLANDS LÄN</t>
        </is>
      </c>
      <c r="E1080" t="inlineStr">
        <is>
          <t>ÅNGE</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23976-2025</t>
        </is>
      </c>
      <c r="B1081" s="1" t="n">
        <v>45796.38625</v>
      </c>
      <c r="C1081" s="1" t="n">
        <v>45929</v>
      </c>
      <c r="D1081" t="inlineStr">
        <is>
          <t>VÄSTERNORRLANDS LÄN</t>
        </is>
      </c>
      <c r="E1081" t="inlineStr">
        <is>
          <t>ÅNGE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3323-2023</t>
        </is>
      </c>
      <c r="B1082" s="1" t="n">
        <v>44945</v>
      </c>
      <c r="C1082" s="1" t="n">
        <v>45929</v>
      </c>
      <c r="D1082" t="inlineStr">
        <is>
          <t>VÄSTERNORRLANDS LÄN</t>
        </is>
      </c>
      <c r="E1082" t="inlineStr">
        <is>
          <t>ÅNGE</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23921-2025</t>
        </is>
      </c>
      <c r="B1083" s="1" t="n">
        <v>45795.34513888889</v>
      </c>
      <c r="C1083" s="1" t="n">
        <v>45929</v>
      </c>
      <c r="D1083" t="inlineStr">
        <is>
          <t>VÄSTERNORRLANDS LÄN</t>
        </is>
      </c>
      <c r="E1083" t="inlineStr">
        <is>
          <t>ÅNGE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54079-2023</t>
        </is>
      </c>
      <c r="B1084" s="1" t="n">
        <v>45231</v>
      </c>
      <c r="C1084" s="1" t="n">
        <v>45929</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29702-2024</t>
        </is>
      </c>
      <c r="B1085" s="1" t="n">
        <v>45485.31525462963</v>
      </c>
      <c r="C1085" s="1" t="n">
        <v>45929</v>
      </c>
      <c r="D1085" t="inlineStr">
        <is>
          <t>VÄSTERNORRLANDS LÄN</t>
        </is>
      </c>
      <c r="E1085" t="inlineStr">
        <is>
          <t>ÅNGE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26641-2024</t>
        </is>
      </c>
      <c r="B1086" s="1" t="n">
        <v>45469.92836805555</v>
      </c>
      <c r="C1086" s="1" t="n">
        <v>45929</v>
      </c>
      <c r="D1086" t="inlineStr">
        <is>
          <t>VÄSTERNORRLANDS LÄN</t>
        </is>
      </c>
      <c r="E1086" t="inlineStr">
        <is>
          <t>ÅNGE</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41741-2023</t>
        </is>
      </c>
      <c r="B1087" s="1" t="n">
        <v>45176.42164351852</v>
      </c>
      <c r="C1087" s="1" t="n">
        <v>45929</v>
      </c>
      <c r="D1087" t="inlineStr">
        <is>
          <t>VÄSTERNORRLANDS LÄN</t>
        </is>
      </c>
      <c r="E1087" t="inlineStr">
        <is>
          <t>ÅNGE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37992-2024</t>
        </is>
      </c>
      <c r="B1088" s="1" t="n">
        <v>45544.59524305556</v>
      </c>
      <c r="C1088" s="1" t="n">
        <v>45929</v>
      </c>
      <c r="D1088" t="inlineStr">
        <is>
          <t>VÄSTERNORRLANDS LÄN</t>
        </is>
      </c>
      <c r="E1088" t="inlineStr">
        <is>
          <t>ÅNGE</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57516-2023</t>
        </is>
      </c>
      <c r="B1089" s="1" t="n">
        <v>45246.44665509259</v>
      </c>
      <c r="C1089" s="1" t="n">
        <v>45929</v>
      </c>
      <c r="D1089" t="inlineStr">
        <is>
          <t>VÄSTERNORRLANDS LÄN</t>
        </is>
      </c>
      <c r="E1089" t="inlineStr">
        <is>
          <t>ÅNGE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23069-2024</t>
        </is>
      </c>
      <c r="B1090" s="1" t="n">
        <v>45450</v>
      </c>
      <c r="C1090" s="1" t="n">
        <v>45929</v>
      </c>
      <c r="D1090" t="inlineStr">
        <is>
          <t>VÄSTERNORRLANDS LÄN</t>
        </is>
      </c>
      <c r="E1090" t="inlineStr">
        <is>
          <t>ÅNGE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51377-2024</t>
        </is>
      </c>
      <c r="B1091" s="1" t="n">
        <v>45604.38142361111</v>
      </c>
      <c r="C1091" s="1" t="n">
        <v>45929</v>
      </c>
      <c r="D1091" t="inlineStr">
        <is>
          <t>VÄSTERNORRLANDS LÄN</t>
        </is>
      </c>
      <c r="E1091" t="inlineStr">
        <is>
          <t>ÅNGE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41575-2024</t>
        </is>
      </c>
      <c r="B1092" s="1" t="n">
        <v>45560.55106481481</v>
      </c>
      <c r="C1092" s="1" t="n">
        <v>45929</v>
      </c>
      <c r="D1092" t="inlineStr">
        <is>
          <t>VÄSTERNORRLANDS LÄN</t>
        </is>
      </c>
      <c r="E1092" t="inlineStr">
        <is>
          <t>ÅNGE</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24008-2025</t>
        </is>
      </c>
      <c r="B1093" s="1" t="n">
        <v>45796.43841435185</v>
      </c>
      <c r="C1093" s="1" t="n">
        <v>45929</v>
      </c>
      <c r="D1093" t="inlineStr">
        <is>
          <t>VÄSTERNORRLANDS LÄN</t>
        </is>
      </c>
      <c r="E1093" t="inlineStr">
        <is>
          <t>ÅNGE</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19007-2025</t>
        </is>
      </c>
      <c r="B1094" s="1" t="n">
        <v>45764.58515046296</v>
      </c>
      <c r="C1094" s="1" t="n">
        <v>45929</v>
      </c>
      <c r="D1094" t="inlineStr">
        <is>
          <t>VÄSTERNORRLANDS LÄN</t>
        </is>
      </c>
      <c r="E1094" t="inlineStr">
        <is>
          <t>ÅNGE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60860-2022</t>
        </is>
      </c>
      <c r="B1095" s="1" t="n">
        <v>44914</v>
      </c>
      <c r="C1095" s="1" t="n">
        <v>45929</v>
      </c>
      <c r="D1095" t="inlineStr">
        <is>
          <t>VÄSTERNORRLANDS LÄN</t>
        </is>
      </c>
      <c r="E1095" t="inlineStr">
        <is>
          <t>ÅNGE</t>
        </is>
      </c>
      <c r="F1095" t="inlineStr">
        <is>
          <t>Holmen skog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60004-2023</t>
        </is>
      </c>
      <c r="B1096" s="1" t="n">
        <v>45257</v>
      </c>
      <c r="C1096" s="1" t="n">
        <v>45929</v>
      </c>
      <c r="D1096" t="inlineStr">
        <is>
          <t>VÄSTERNORRLANDS LÄN</t>
        </is>
      </c>
      <c r="E1096" t="inlineStr">
        <is>
          <t>ÅNGE</t>
        </is>
      </c>
      <c r="F1096" t="inlineStr">
        <is>
          <t>SCA</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24116-2025</t>
        </is>
      </c>
      <c r="B1097" s="1" t="n">
        <v>45796.61498842593</v>
      </c>
      <c r="C1097" s="1" t="n">
        <v>45929</v>
      </c>
      <c r="D1097" t="inlineStr">
        <is>
          <t>VÄSTERNORRLANDS LÄN</t>
        </is>
      </c>
      <c r="E1097" t="inlineStr">
        <is>
          <t>ÅNGE</t>
        </is>
      </c>
      <c r="F1097" t="inlineStr">
        <is>
          <t>SCA</t>
        </is>
      </c>
      <c r="G1097" t="n">
        <v>14.4</v>
      </c>
      <c r="H1097" t="n">
        <v>0</v>
      </c>
      <c r="I1097" t="n">
        <v>0</v>
      </c>
      <c r="J1097" t="n">
        <v>0</v>
      </c>
      <c r="K1097" t="n">
        <v>0</v>
      </c>
      <c r="L1097" t="n">
        <v>0</v>
      </c>
      <c r="M1097" t="n">
        <v>0</v>
      </c>
      <c r="N1097" t="n">
        <v>0</v>
      </c>
      <c r="O1097" t="n">
        <v>0</v>
      </c>
      <c r="P1097" t="n">
        <v>0</v>
      </c>
      <c r="Q1097" t="n">
        <v>0</v>
      </c>
      <c r="R1097" s="2" t="inlineStr"/>
    </row>
    <row r="1098" ht="15" customHeight="1">
      <c r="A1098" t="inlineStr">
        <is>
          <t>A 57286-2022</t>
        </is>
      </c>
      <c r="B1098" s="1" t="n">
        <v>44895.94991898148</v>
      </c>
      <c r="C1098" s="1" t="n">
        <v>45929</v>
      </c>
      <c r="D1098" t="inlineStr">
        <is>
          <t>VÄSTERNORRLANDS LÄN</t>
        </is>
      </c>
      <c r="E1098" t="inlineStr">
        <is>
          <t>ÅNGE</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43622-2023</t>
        </is>
      </c>
      <c r="B1099" s="1" t="n">
        <v>45184.70777777778</v>
      </c>
      <c r="C1099" s="1" t="n">
        <v>45929</v>
      </c>
      <c r="D1099" t="inlineStr">
        <is>
          <t>VÄSTERNORRLANDS LÄN</t>
        </is>
      </c>
      <c r="E1099" t="inlineStr">
        <is>
          <t>ÅNGE</t>
        </is>
      </c>
      <c r="F1099" t="inlineStr">
        <is>
          <t>Holmen skog AB</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16572-2023</t>
        </is>
      </c>
      <c r="B1100" s="1" t="n">
        <v>45029.94224537037</v>
      </c>
      <c r="C1100" s="1" t="n">
        <v>45929</v>
      </c>
      <c r="D1100" t="inlineStr">
        <is>
          <t>VÄSTERNORRLANDS LÄN</t>
        </is>
      </c>
      <c r="E1100" t="inlineStr">
        <is>
          <t>ÅNGE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16365-2023</t>
        </is>
      </c>
      <c r="B1101" s="1" t="n">
        <v>45028</v>
      </c>
      <c r="C1101" s="1" t="n">
        <v>45929</v>
      </c>
      <c r="D1101" t="inlineStr">
        <is>
          <t>VÄSTERNORRLANDS LÄN</t>
        </is>
      </c>
      <c r="E1101" t="inlineStr">
        <is>
          <t>ÅNGE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24458-2025</t>
        </is>
      </c>
      <c r="B1102" s="1" t="n">
        <v>45798.34476851852</v>
      </c>
      <c r="C1102" s="1" t="n">
        <v>45929</v>
      </c>
      <c r="D1102" t="inlineStr">
        <is>
          <t>VÄSTERNORRLANDS LÄN</t>
        </is>
      </c>
      <c r="E1102" t="inlineStr">
        <is>
          <t>ÅNGE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24063-2023</t>
        </is>
      </c>
      <c r="B1103" s="1" t="n">
        <v>45078.94140046297</v>
      </c>
      <c r="C1103" s="1" t="n">
        <v>45929</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29390-2021</t>
        </is>
      </c>
      <c r="B1104" s="1" t="n">
        <v>44361</v>
      </c>
      <c r="C1104" s="1" t="n">
        <v>45929</v>
      </c>
      <c r="D1104" t="inlineStr">
        <is>
          <t>VÄSTERNORRLANDS LÄN</t>
        </is>
      </c>
      <c r="E1104" t="inlineStr">
        <is>
          <t>ÅNGE</t>
        </is>
      </c>
      <c r="F1104" t="inlineStr">
        <is>
          <t>Holmen skog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30054-2024</t>
        </is>
      </c>
      <c r="B1105" s="1" t="n">
        <v>45488.94758101852</v>
      </c>
      <c r="C1105" s="1" t="n">
        <v>45929</v>
      </c>
      <c r="D1105" t="inlineStr">
        <is>
          <t>VÄSTERNORRLANDS LÄN</t>
        </is>
      </c>
      <c r="E1105" t="inlineStr">
        <is>
          <t>ÅNGE</t>
        </is>
      </c>
      <c r="F1105" t="inlineStr">
        <is>
          <t>SCA</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24357-2025</t>
        </is>
      </c>
      <c r="B1106" s="1" t="n">
        <v>45797.59467592592</v>
      </c>
      <c r="C1106" s="1" t="n">
        <v>45929</v>
      </c>
      <c r="D1106" t="inlineStr">
        <is>
          <t>VÄSTERNORRLANDS LÄN</t>
        </is>
      </c>
      <c r="E1106" t="inlineStr">
        <is>
          <t>ÅNGE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10087-2023</t>
        </is>
      </c>
      <c r="B1107" s="1" t="n">
        <v>44985</v>
      </c>
      <c r="C1107" s="1" t="n">
        <v>45929</v>
      </c>
      <c r="D1107" t="inlineStr">
        <is>
          <t>VÄSTERNORRLANDS LÄN</t>
        </is>
      </c>
      <c r="E1107" t="inlineStr">
        <is>
          <t>ÅNGE</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27682-2023</t>
        </is>
      </c>
      <c r="B1108" s="1" t="n">
        <v>45097.93758101852</v>
      </c>
      <c r="C1108" s="1" t="n">
        <v>45929</v>
      </c>
      <c r="D1108" t="inlineStr">
        <is>
          <t>VÄSTERNORRLANDS LÄN</t>
        </is>
      </c>
      <c r="E1108" t="inlineStr">
        <is>
          <t>ÅNGE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24207-2025</t>
        </is>
      </c>
      <c r="B1109" s="1" t="n">
        <v>45797.34439814815</v>
      </c>
      <c r="C1109" s="1" t="n">
        <v>45929</v>
      </c>
      <c r="D1109" t="inlineStr">
        <is>
          <t>VÄSTERNORRLANDS LÄN</t>
        </is>
      </c>
      <c r="E1109" t="inlineStr">
        <is>
          <t>ÅNGE</t>
        </is>
      </c>
      <c r="F1109" t="inlineStr">
        <is>
          <t>SCA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24292-2025</t>
        </is>
      </c>
      <c r="B1110" s="1" t="n">
        <v>45797.46657407407</v>
      </c>
      <c r="C1110" s="1" t="n">
        <v>45929</v>
      </c>
      <c r="D1110" t="inlineStr">
        <is>
          <t>VÄSTERNORRLANDS LÄN</t>
        </is>
      </c>
      <c r="E1110" t="inlineStr">
        <is>
          <t>ÅNGE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4142-2024</t>
        </is>
      </c>
      <c r="B1111" s="1" t="n">
        <v>45323</v>
      </c>
      <c r="C1111" s="1" t="n">
        <v>45929</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27853-2024</t>
        </is>
      </c>
      <c r="B1112" s="1" t="n">
        <v>45475</v>
      </c>
      <c r="C1112" s="1" t="n">
        <v>45929</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10781-2024</t>
        </is>
      </c>
      <c r="B1113" s="1" t="n">
        <v>45369.59635416666</v>
      </c>
      <c r="C1113" s="1" t="n">
        <v>45929</v>
      </c>
      <c r="D1113" t="inlineStr">
        <is>
          <t>VÄSTERNORRLANDS LÄN</t>
        </is>
      </c>
      <c r="E1113" t="inlineStr">
        <is>
          <t>ÅNGE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38795-2023</t>
        </is>
      </c>
      <c r="B1114" s="1" t="n">
        <v>45162</v>
      </c>
      <c r="C1114" s="1" t="n">
        <v>45929</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35979-2023</t>
        </is>
      </c>
      <c r="B1115" s="1" t="n">
        <v>45148</v>
      </c>
      <c r="C1115" s="1" t="n">
        <v>45929</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24627-2025</t>
        </is>
      </c>
      <c r="B1116" s="1" t="n">
        <v>45798.59471064815</v>
      </c>
      <c r="C1116" s="1" t="n">
        <v>45929</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24209-2025</t>
        </is>
      </c>
      <c r="B1117" s="1" t="n">
        <v>45797.3446875</v>
      </c>
      <c r="C1117" s="1" t="n">
        <v>45929</v>
      </c>
      <c r="D1117" t="inlineStr">
        <is>
          <t>VÄSTERNORRLANDS LÄN</t>
        </is>
      </c>
      <c r="E1117" t="inlineStr">
        <is>
          <t>ÅNGE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24232-2025</t>
        </is>
      </c>
      <c r="B1118" s="1" t="n">
        <v>45797.37846064815</v>
      </c>
      <c r="C1118" s="1" t="n">
        <v>45929</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25340-2025</t>
        </is>
      </c>
      <c r="B1119" s="1" t="n">
        <v>45800.60074074074</v>
      </c>
      <c r="C1119" s="1" t="n">
        <v>45929</v>
      </c>
      <c r="D1119" t="inlineStr">
        <is>
          <t>VÄSTERNORRLANDS LÄN</t>
        </is>
      </c>
      <c r="E1119" t="inlineStr">
        <is>
          <t>ÅNGE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35582-2024</t>
        </is>
      </c>
      <c r="B1120" s="1" t="n">
        <v>45531.64800925926</v>
      </c>
      <c r="C1120" s="1" t="n">
        <v>45929</v>
      </c>
      <c r="D1120" t="inlineStr">
        <is>
          <t>VÄSTERNORRLANDS LÄN</t>
        </is>
      </c>
      <c r="E1120" t="inlineStr">
        <is>
          <t>ÅNGE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25273-2025</t>
        </is>
      </c>
      <c r="B1121" s="1" t="n">
        <v>45800.55253472222</v>
      </c>
      <c r="C1121" s="1" t="n">
        <v>45929</v>
      </c>
      <c r="D1121" t="inlineStr">
        <is>
          <t>VÄSTERNORRLANDS LÄN</t>
        </is>
      </c>
      <c r="E1121" t="inlineStr">
        <is>
          <t>ÅNGE</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36466-2024</t>
        </is>
      </c>
      <c r="B1122" s="1" t="n">
        <v>45537.35872685185</v>
      </c>
      <c r="C1122" s="1" t="n">
        <v>45929</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52785-2024</t>
        </is>
      </c>
      <c r="B1123" s="1" t="n">
        <v>45610.55273148148</v>
      </c>
      <c r="C1123" s="1" t="n">
        <v>45929</v>
      </c>
      <c r="D1123" t="inlineStr">
        <is>
          <t>VÄSTERNORRLANDS LÄN</t>
        </is>
      </c>
      <c r="E1123" t="inlineStr">
        <is>
          <t>ÅNGE</t>
        </is>
      </c>
      <c r="F1123" t="inlineStr">
        <is>
          <t>SCA</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52786-2024</t>
        </is>
      </c>
      <c r="B1124" s="1" t="n">
        <v>45610.55283564814</v>
      </c>
      <c r="C1124" s="1" t="n">
        <v>45929</v>
      </c>
      <c r="D1124" t="inlineStr">
        <is>
          <t>VÄSTERNORRLANDS LÄN</t>
        </is>
      </c>
      <c r="E1124" t="inlineStr">
        <is>
          <t>ÅNGE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25352-2025</t>
        </is>
      </c>
      <c r="B1125" s="1" t="n">
        <v>45800.61552083334</v>
      </c>
      <c r="C1125" s="1" t="n">
        <v>45929</v>
      </c>
      <c r="D1125" t="inlineStr">
        <is>
          <t>VÄSTERNORRLANDS LÄN</t>
        </is>
      </c>
      <c r="E1125" t="inlineStr">
        <is>
          <t>ÅNGE</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25017-2025</t>
        </is>
      </c>
      <c r="B1126" s="1" t="n">
        <v>45799.63791666667</v>
      </c>
      <c r="C1126" s="1" t="n">
        <v>45929</v>
      </c>
      <c r="D1126" t="inlineStr">
        <is>
          <t>VÄSTERNORRLANDS LÄN</t>
        </is>
      </c>
      <c r="E1126" t="inlineStr">
        <is>
          <t>ÅNGE</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25241-2025</t>
        </is>
      </c>
      <c r="B1127" s="1" t="n">
        <v>45800.49053240741</v>
      </c>
      <c r="C1127" s="1" t="n">
        <v>45929</v>
      </c>
      <c r="D1127" t="inlineStr">
        <is>
          <t>VÄSTERNORRLANDS LÄN</t>
        </is>
      </c>
      <c r="E1127" t="inlineStr">
        <is>
          <t>ÅNGE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25274-2025</t>
        </is>
      </c>
      <c r="B1128" s="1" t="n">
        <v>45800.55276620371</v>
      </c>
      <c r="C1128" s="1" t="n">
        <v>45929</v>
      </c>
      <c r="D1128" t="inlineStr">
        <is>
          <t>VÄSTERNORRLANDS LÄN</t>
        </is>
      </c>
      <c r="E1128" t="inlineStr">
        <is>
          <t>ÅNGE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25332-2025</t>
        </is>
      </c>
      <c r="B1129" s="1" t="n">
        <v>45800.59418981482</v>
      </c>
      <c r="C1129" s="1" t="n">
        <v>45929</v>
      </c>
      <c r="D1129" t="inlineStr">
        <is>
          <t>VÄSTERNORRLANDS LÄN</t>
        </is>
      </c>
      <c r="E1129" t="inlineStr">
        <is>
          <t>ÅNGE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24852-2025</t>
        </is>
      </c>
      <c r="B1130" s="1" t="n">
        <v>45799.46975694445</v>
      </c>
      <c r="C1130" s="1" t="n">
        <v>45929</v>
      </c>
      <c r="D1130" t="inlineStr">
        <is>
          <t>VÄSTERNORRLANDS LÄN</t>
        </is>
      </c>
      <c r="E1130" t="inlineStr">
        <is>
          <t>ÅNGE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24847-2025</t>
        </is>
      </c>
      <c r="B1131" s="1" t="n">
        <v>45799.46907407408</v>
      </c>
      <c r="C1131" s="1" t="n">
        <v>45929</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25067-2025</t>
        </is>
      </c>
      <c r="B1132" s="1" t="n">
        <v>45799.71908564815</v>
      </c>
      <c r="C1132" s="1" t="n">
        <v>45929</v>
      </c>
      <c r="D1132" t="inlineStr">
        <is>
          <t>VÄSTERNORRLANDS LÄN</t>
        </is>
      </c>
      <c r="E1132" t="inlineStr">
        <is>
          <t>ÅNGE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25532-2025</t>
        </is>
      </c>
      <c r="B1133" s="1" t="n">
        <v>45803.4065162037</v>
      </c>
      <c r="C1133" s="1" t="n">
        <v>45929</v>
      </c>
      <c r="D1133" t="inlineStr">
        <is>
          <t>VÄSTERNORRLANDS LÄN</t>
        </is>
      </c>
      <c r="E1133" t="inlineStr">
        <is>
          <t>ÅNGE</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25810-2025</t>
        </is>
      </c>
      <c r="B1134" s="1" t="n">
        <v>45804.42083333333</v>
      </c>
      <c r="C1134" s="1" t="n">
        <v>45929</v>
      </c>
      <c r="D1134" t="inlineStr">
        <is>
          <t>VÄSTERNORRLANDS LÄN</t>
        </is>
      </c>
      <c r="E1134" t="inlineStr">
        <is>
          <t>ÅNGE</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25717-2025</t>
        </is>
      </c>
      <c r="B1135" s="1" t="n">
        <v>45803.6985300926</v>
      </c>
      <c r="C1135" s="1" t="n">
        <v>45929</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31863-2024</t>
        </is>
      </c>
      <c r="B1136" s="1" t="n">
        <v>45509.74121527778</v>
      </c>
      <c r="C1136" s="1" t="n">
        <v>45929</v>
      </c>
      <c r="D1136" t="inlineStr">
        <is>
          <t>VÄSTERNORRLANDS LÄN</t>
        </is>
      </c>
      <c r="E1136" t="inlineStr">
        <is>
          <t>ÅNGE</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53651-2023</t>
        </is>
      </c>
      <c r="B1137" s="1" t="n">
        <v>45230.60815972222</v>
      </c>
      <c r="C1137" s="1" t="n">
        <v>45929</v>
      </c>
      <c r="D1137" t="inlineStr">
        <is>
          <t>VÄSTERNORRLANDS LÄN</t>
        </is>
      </c>
      <c r="E1137" t="inlineStr">
        <is>
          <t>ÅNGE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25706-2025</t>
        </is>
      </c>
      <c r="B1138" s="1" t="n">
        <v>45803.67788194444</v>
      </c>
      <c r="C1138" s="1" t="n">
        <v>45929</v>
      </c>
      <c r="D1138" t="inlineStr">
        <is>
          <t>VÄSTERNORRLANDS LÄN</t>
        </is>
      </c>
      <c r="E1138" t="inlineStr">
        <is>
          <t>ÅNGE</t>
        </is>
      </c>
      <c r="F1138" t="inlineStr">
        <is>
          <t>SCA</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36877-2024</t>
        </is>
      </c>
      <c r="B1139" s="1" t="n">
        <v>45538.59418981482</v>
      </c>
      <c r="C1139" s="1" t="n">
        <v>45929</v>
      </c>
      <c r="D1139" t="inlineStr">
        <is>
          <t>VÄSTERNORRLANDS LÄN</t>
        </is>
      </c>
      <c r="E1139" t="inlineStr">
        <is>
          <t>ÅNGE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25499-2025</t>
        </is>
      </c>
      <c r="B1140" s="1" t="n">
        <v>45803.344375</v>
      </c>
      <c r="C1140" s="1" t="n">
        <v>45929</v>
      </c>
      <c r="D1140" t="inlineStr">
        <is>
          <t>VÄSTERNORRLANDS LÄN</t>
        </is>
      </c>
      <c r="E1140" t="inlineStr">
        <is>
          <t>ÅNGE</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25772-2025</t>
        </is>
      </c>
      <c r="B1141" s="1" t="n">
        <v>45804.34520833333</v>
      </c>
      <c r="C1141" s="1" t="n">
        <v>45929</v>
      </c>
      <c r="D1141" t="inlineStr">
        <is>
          <t>VÄSTERNORRLANDS LÄN</t>
        </is>
      </c>
      <c r="E1141" t="inlineStr">
        <is>
          <t>ÅNGE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15863-2022</t>
        </is>
      </c>
      <c r="B1142" s="1" t="n">
        <v>44664</v>
      </c>
      <c r="C1142" s="1" t="n">
        <v>45929</v>
      </c>
      <c r="D1142" t="inlineStr">
        <is>
          <t>VÄSTERNORRLANDS LÄN</t>
        </is>
      </c>
      <c r="E1142" t="inlineStr">
        <is>
          <t>ÅNGE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26193-2025</t>
        </is>
      </c>
      <c r="B1143" s="1" t="n">
        <v>45805.48922453704</v>
      </c>
      <c r="C1143" s="1" t="n">
        <v>45929</v>
      </c>
      <c r="D1143" t="inlineStr">
        <is>
          <t>VÄSTERNORRLANDS LÄN</t>
        </is>
      </c>
      <c r="E1143" t="inlineStr">
        <is>
          <t>ÅNGE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26388-2025</t>
        </is>
      </c>
      <c r="B1144" s="1" t="n">
        <v>45806.51069444444</v>
      </c>
      <c r="C1144" s="1" t="n">
        <v>45929</v>
      </c>
      <c r="D1144" t="inlineStr">
        <is>
          <t>VÄSTERNORRLANDS LÄN</t>
        </is>
      </c>
      <c r="E1144" t="inlineStr">
        <is>
          <t>ÅNGE</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26365-2025</t>
        </is>
      </c>
      <c r="B1145" s="1" t="n">
        <v>45806.34412037037</v>
      </c>
      <c r="C1145" s="1" t="n">
        <v>45929</v>
      </c>
      <c r="D1145" t="inlineStr">
        <is>
          <t>VÄSTERNORRLANDS LÄN</t>
        </is>
      </c>
      <c r="E1145" t="inlineStr">
        <is>
          <t>ÅNGE</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26389-2025</t>
        </is>
      </c>
      <c r="B1146" s="1" t="n">
        <v>45806.51078703703</v>
      </c>
      <c r="C1146" s="1" t="n">
        <v>45929</v>
      </c>
      <c r="D1146" t="inlineStr">
        <is>
          <t>VÄSTERNORRLANDS LÄN</t>
        </is>
      </c>
      <c r="E1146" t="inlineStr">
        <is>
          <t>ÅNGE</t>
        </is>
      </c>
      <c r="F1146" t="inlineStr">
        <is>
          <t>SCA</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21262-2025</t>
        </is>
      </c>
      <c r="B1147" s="1" t="n">
        <v>45779</v>
      </c>
      <c r="C1147" s="1" t="n">
        <v>45929</v>
      </c>
      <c r="D1147" t="inlineStr">
        <is>
          <t>VÄSTERNORRLANDS LÄN</t>
        </is>
      </c>
      <c r="E1147" t="inlineStr">
        <is>
          <t>ÅNGE</t>
        </is>
      </c>
      <c r="F1147" t="inlineStr">
        <is>
          <t>Sveaskog</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26366-2025</t>
        </is>
      </c>
      <c r="B1148" s="1" t="n">
        <v>45806.34424768519</v>
      </c>
      <c r="C1148" s="1" t="n">
        <v>45929</v>
      </c>
      <c r="D1148" t="inlineStr">
        <is>
          <t>VÄSTERNORRLANDS LÄN</t>
        </is>
      </c>
      <c r="E1148" t="inlineStr">
        <is>
          <t>ÅNGE</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48787-2024</t>
        </is>
      </c>
      <c r="B1149" s="1" t="n">
        <v>45593.63888888889</v>
      </c>
      <c r="C1149" s="1" t="n">
        <v>45929</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58939-2021</t>
        </is>
      </c>
      <c r="B1150" s="1" t="n">
        <v>44489</v>
      </c>
      <c r="C1150" s="1" t="n">
        <v>45929</v>
      </c>
      <c r="D1150" t="inlineStr">
        <is>
          <t>VÄSTERNORRLANDS LÄN</t>
        </is>
      </c>
      <c r="E1150" t="inlineStr">
        <is>
          <t>ÅNGE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26655-2025</t>
        </is>
      </c>
      <c r="B1151" s="1" t="n">
        <v>45810.39047453704</v>
      </c>
      <c r="C1151" s="1" t="n">
        <v>45929</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42969-2024</t>
        </is>
      </c>
      <c r="B1152" s="1" t="n">
        <v>45567.37300925926</v>
      </c>
      <c r="C1152" s="1" t="n">
        <v>45929</v>
      </c>
      <c r="D1152" t="inlineStr">
        <is>
          <t>VÄSTERNORRLANDS LÄN</t>
        </is>
      </c>
      <c r="E1152" t="inlineStr">
        <is>
          <t>ÅNGE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52683-2024</t>
        </is>
      </c>
      <c r="B1153" s="1" t="n">
        <v>45610</v>
      </c>
      <c r="C1153" s="1" t="n">
        <v>45929</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37558-2023</t>
        </is>
      </c>
      <c r="B1154" s="1" t="n">
        <v>45159.34511574074</v>
      </c>
      <c r="C1154" s="1" t="n">
        <v>45929</v>
      </c>
      <c r="D1154" t="inlineStr">
        <is>
          <t>VÄSTERNORRLANDS LÄN</t>
        </is>
      </c>
      <c r="E1154" t="inlineStr">
        <is>
          <t>ÅNGE</t>
        </is>
      </c>
      <c r="F1154" t="inlineStr">
        <is>
          <t>Kyrkan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25973-2022</t>
        </is>
      </c>
      <c r="B1155" s="1" t="n">
        <v>44734</v>
      </c>
      <c r="C1155" s="1" t="n">
        <v>45929</v>
      </c>
      <c r="D1155" t="inlineStr">
        <is>
          <t>VÄSTERNORRLANDS LÄN</t>
        </is>
      </c>
      <c r="E1155" t="inlineStr">
        <is>
          <t>ÅNGE</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34852-2023</t>
        </is>
      </c>
      <c r="B1156" s="1" t="n">
        <v>45141</v>
      </c>
      <c r="C1156" s="1" t="n">
        <v>45929</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19798-2025</t>
        </is>
      </c>
      <c r="B1157" s="1" t="n">
        <v>45771.44824074074</v>
      </c>
      <c r="C1157" s="1" t="n">
        <v>45929</v>
      </c>
      <c r="D1157" t="inlineStr">
        <is>
          <t>VÄSTERNORRLANDS LÄN</t>
        </is>
      </c>
      <c r="E1157" t="inlineStr">
        <is>
          <t>ÅNGE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26608-2025</t>
        </is>
      </c>
      <c r="B1158" s="1" t="n">
        <v>45809.98600694445</v>
      </c>
      <c r="C1158" s="1" t="n">
        <v>45929</v>
      </c>
      <c r="D1158" t="inlineStr">
        <is>
          <t>VÄSTERNORRLANDS LÄN</t>
        </is>
      </c>
      <c r="E1158" t="inlineStr">
        <is>
          <t>ÅNGE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42242-2023</t>
        </is>
      </c>
      <c r="B1159" s="1" t="n">
        <v>45180.35025462963</v>
      </c>
      <c r="C1159" s="1" t="n">
        <v>45929</v>
      </c>
      <c r="D1159" t="inlineStr">
        <is>
          <t>VÄSTERNORRLANDS LÄN</t>
        </is>
      </c>
      <c r="E1159" t="inlineStr">
        <is>
          <t>ÅNGE</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10558-2023</t>
        </is>
      </c>
      <c r="B1160" s="1" t="n">
        <v>44987.94438657408</v>
      </c>
      <c r="C1160" s="1" t="n">
        <v>45929</v>
      </c>
      <c r="D1160" t="inlineStr">
        <is>
          <t>VÄSTERNORRLANDS LÄN</t>
        </is>
      </c>
      <c r="E1160" t="inlineStr">
        <is>
          <t>ÅNGE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49487-2024</t>
        </is>
      </c>
      <c r="B1161" s="1" t="n">
        <v>45596.35813657408</v>
      </c>
      <c r="C1161" s="1" t="n">
        <v>45929</v>
      </c>
      <c r="D1161" t="inlineStr">
        <is>
          <t>VÄSTERNORRLANDS LÄN</t>
        </is>
      </c>
      <c r="E1161" t="inlineStr">
        <is>
          <t>ÅNGE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44606-2024</t>
        </is>
      </c>
      <c r="B1162" s="1" t="n">
        <v>45574.51195601852</v>
      </c>
      <c r="C1162" s="1" t="n">
        <v>45929</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44626-2024</t>
        </is>
      </c>
      <c r="B1163" s="1" t="n">
        <v>45574.51378472222</v>
      </c>
      <c r="C1163" s="1" t="n">
        <v>45929</v>
      </c>
      <c r="D1163" t="inlineStr">
        <is>
          <t>VÄSTERNORRLANDS LÄN</t>
        </is>
      </c>
      <c r="E1163" t="inlineStr">
        <is>
          <t>ÅNGE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36790-2023</t>
        </is>
      </c>
      <c r="B1164" s="1" t="n">
        <v>45154.36418981481</v>
      </c>
      <c r="C1164" s="1" t="n">
        <v>45929</v>
      </c>
      <c r="D1164" t="inlineStr">
        <is>
          <t>VÄSTERNORRLANDS LÄN</t>
        </is>
      </c>
      <c r="E1164" t="inlineStr">
        <is>
          <t>ÅNGE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26734-2025</t>
        </is>
      </c>
      <c r="B1165" s="1" t="n">
        <v>45810.51087962963</v>
      </c>
      <c r="C1165" s="1" t="n">
        <v>45929</v>
      </c>
      <c r="D1165" t="inlineStr">
        <is>
          <t>VÄSTERNORRLANDS LÄN</t>
        </is>
      </c>
      <c r="E1165" t="inlineStr">
        <is>
          <t>ÅNGE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61781-2023</t>
        </is>
      </c>
      <c r="B1166" s="1" t="n">
        <v>45265.95708333333</v>
      </c>
      <c r="C1166" s="1" t="n">
        <v>45929</v>
      </c>
      <c r="D1166" t="inlineStr">
        <is>
          <t>VÄSTERNORRLANDS LÄN</t>
        </is>
      </c>
      <c r="E1166" t="inlineStr">
        <is>
          <t>ÅNGE</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49187-2024</t>
        </is>
      </c>
      <c r="B1167" s="1" t="n">
        <v>45595.34490740741</v>
      </c>
      <c r="C1167" s="1" t="n">
        <v>45929</v>
      </c>
      <c r="D1167" t="inlineStr">
        <is>
          <t>VÄSTERNORRLANDS LÄN</t>
        </is>
      </c>
      <c r="E1167" t="inlineStr">
        <is>
          <t>ÅNGE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28873-2024</t>
        </is>
      </c>
      <c r="B1168" s="1" t="n">
        <v>45478.94766203704</v>
      </c>
      <c r="C1168" s="1" t="n">
        <v>45929</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27023-2025</t>
        </is>
      </c>
      <c r="B1169" s="1" t="n">
        <v>45811.57342592593</v>
      </c>
      <c r="C1169" s="1" t="n">
        <v>45929</v>
      </c>
      <c r="D1169" t="inlineStr">
        <is>
          <t>VÄSTERNORRLANDS LÄN</t>
        </is>
      </c>
      <c r="E1169" t="inlineStr">
        <is>
          <t>ÅNGE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31563-2024</t>
        </is>
      </c>
      <c r="B1170" s="1" t="n">
        <v>45505</v>
      </c>
      <c r="C1170" s="1" t="n">
        <v>45929</v>
      </c>
      <c r="D1170" t="inlineStr">
        <is>
          <t>VÄSTERNORRLANDS LÄN</t>
        </is>
      </c>
      <c r="E1170" t="inlineStr">
        <is>
          <t>ÅNGE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27164-2025</t>
        </is>
      </c>
      <c r="B1171" s="1" t="n">
        <v>45812.34430555555</v>
      </c>
      <c r="C1171" s="1" t="n">
        <v>45929</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26901-2025</t>
        </is>
      </c>
      <c r="B1172" s="1" t="n">
        <v>45811.34457175926</v>
      </c>
      <c r="C1172" s="1" t="n">
        <v>45929</v>
      </c>
      <c r="D1172" t="inlineStr">
        <is>
          <t>VÄSTERNORRLANDS LÄN</t>
        </is>
      </c>
      <c r="E1172" t="inlineStr">
        <is>
          <t>ÅNGE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34705-2023</t>
        </is>
      </c>
      <c r="B1173" s="1" t="n">
        <v>45140.96452546296</v>
      </c>
      <c r="C1173" s="1" t="n">
        <v>45929</v>
      </c>
      <c r="D1173" t="inlineStr">
        <is>
          <t>VÄSTERNORRLANDS LÄN</t>
        </is>
      </c>
      <c r="E1173" t="inlineStr">
        <is>
          <t>ÅNGE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34750-2023</t>
        </is>
      </c>
      <c r="B1174" s="1" t="n">
        <v>45139</v>
      </c>
      <c r="C1174" s="1" t="n">
        <v>45929</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33750-2024</t>
        </is>
      </c>
      <c r="B1175" s="1" t="n">
        <v>45520.56475694444</v>
      </c>
      <c r="C1175" s="1" t="n">
        <v>45929</v>
      </c>
      <c r="D1175" t="inlineStr">
        <is>
          <t>VÄSTERNORRLANDS LÄN</t>
        </is>
      </c>
      <c r="E1175" t="inlineStr">
        <is>
          <t>ÅNGE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69790-2021</t>
        </is>
      </c>
      <c r="B1176" s="1" t="n">
        <v>44532.605625</v>
      </c>
      <c r="C1176" s="1" t="n">
        <v>45929</v>
      </c>
      <c r="D1176" t="inlineStr">
        <is>
          <t>VÄSTERNORRLANDS LÄN</t>
        </is>
      </c>
      <c r="E1176" t="inlineStr">
        <is>
          <t>ÅNGE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27165-2025</t>
        </is>
      </c>
      <c r="B1177" s="1" t="n">
        <v>45812.34440972222</v>
      </c>
      <c r="C1177" s="1" t="n">
        <v>45929</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3330-2025</t>
        </is>
      </c>
      <c r="B1178" s="1" t="n">
        <v>45679.70041666667</v>
      </c>
      <c r="C1178" s="1" t="n">
        <v>45929</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5931-2025</t>
        </is>
      </c>
      <c r="B1179" s="1" t="n">
        <v>45695.44827546296</v>
      </c>
      <c r="C1179" s="1" t="n">
        <v>45929</v>
      </c>
      <c r="D1179" t="inlineStr">
        <is>
          <t>VÄSTERNORRLANDS LÄN</t>
        </is>
      </c>
      <c r="E1179" t="inlineStr">
        <is>
          <t>ÅNGE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27545-2025</t>
        </is>
      </c>
      <c r="B1180" s="1" t="n">
        <v>45813.46942129629</v>
      </c>
      <c r="C1180" s="1" t="n">
        <v>45929</v>
      </c>
      <c r="D1180" t="inlineStr">
        <is>
          <t>VÄSTERNORRLANDS LÄN</t>
        </is>
      </c>
      <c r="E1180" t="inlineStr">
        <is>
          <t>ÅNGE</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27572-2025</t>
        </is>
      </c>
      <c r="B1181" s="1" t="n">
        <v>45813.49049768518</v>
      </c>
      <c r="C1181" s="1" t="n">
        <v>45929</v>
      </c>
      <c r="D1181" t="inlineStr">
        <is>
          <t>VÄSTERNORRLANDS LÄN</t>
        </is>
      </c>
      <c r="E1181" t="inlineStr">
        <is>
          <t>ÅNGE</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27606-2025</t>
        </is>
      </c>
      <c r="B1182" s="1" t="n">
        <v>45813.53200231482</v>
      </c>
      <c r="C1182" s="1" t="n">
        <v>45929</v>
      </c>
      <c r="D1182" t="inlineStr">
        <is>
          <t>VÄSTERNORRLANDS LÄN</t>
        </is>
      </c>
      <c r="E1182" t="inlineStr">
        <is>
          <t>ÅNGE</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31229-2023</t>
        </is>
      </c>
      <c r="B1183" s="1" t="n">
        <v>45114</v>
      </c>
      <c r="C1183" s="1" t="n">
        <v>45929</v>
      </c>
      <c r="D1183" t="inlineStr">
        <is>
          <t>VÄSTERNORRLANDS LÄN</t>
        </is>
      </c>
      <c r="E1183" t="inlineStr">
        <is>
          <t>ÅNGE</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27639-2025</t>
        </is>
      </c>
      <c r="B1184" s="1" t="n">
        <v>45813</v>
      </c>
      <c r="C1184" s="1" t="n">
        <v>45929</v>
      </c>
      <c r="D1184" t="inlineStr">
        <is>
          <t>VÄSTERNORRLANDS LÄN</t>
        </is>
      </c>
      <c r="E1184" t="inlineStr">
        <is>
          <t>ÅNGE</t>
        </is>
      </c>
      <c r="G1184" t="n">
        <v>22.9</v>
      </c>
      <c r="H1184" t="n">
        <v>0</v>
      </c>
      <c r="I1184" t="n">
        <v>0</v>
      </c>
      <c r="J1184" t="n">
        <v>0</v>
      </c>
      <c r="K1184" t="n">
        <v>0</v>
      </c>
      <c r="L1184" t="n">
        <v>0</v>
      </c>
      <c r="M1184" t="n">
        <v>0</v>
      </c>
      <c r="N1184" t="n">
        <v>0</v>
      </c>
      <c r="O1184" t="n">
        <v>0</v>
      </c>
      <c r="P1184" t="n">
        <v>0</v>
      </c>
      <c r="Q1184" t="n">
        <v>0</v>
      </c>
      <c r="R1184" s="2" t="inlineStr"/>
    </row>
    <row r="1185" ht="15" customHeight="1">
      <c r="A1185" t="inlineStr">
        <is>
          <t>A 48690-2024</t>
        </is>
      </c>
      <c r="B1185" s="1" t="n">
        <v>45593.50704861111</v>
      </c>
      <c r="C1185" s="1" t="n">
        <v>45929</v>
      </c>
      <c r="D1185" t="inlineStr">
        <is>
          <t>VÄSTERNORRLANDS LÄN</t>
        </is>
      </c>
      <c r="E1185" t="inlineStr">
        <is>
          <t>ÅNGE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28070-2025</t>
        </is>
      </c>
      <c r="B1186" s="1" t="n">
        <v>45817.67739583334</v>
      </c>
      <c r="C1186" s="1" t="n">
        <v>45929</v>
      </c>
      <c r="D1186" t="inlineStr">
        <is>
          <t>VÄSTERNORRLANDS LÄN</t>
        </is>
      </c>
      <c r="E1186" t="inlineStr">
        <is>
          <t>ÅNGE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19342-2024</t>
        </is>
      </c>
      <c r="B1187" s="1" t="n">
        <v>45428</v>
      </c>
      <c r="C1187" s="1" t="n">
        <v>45929</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25035-2023</t>
        </is>
      </c>
      <c r="B1188" s="1" t="n">
        <v>45085</v>
      </c>
      <c r="C1188" s="1" t="n">
        <v>45929</v>
      </c>
      <c r="D1188" t="inlineStr">
        <is>
          <t>VÄSTERNORRLANDS LÄN</t>
        </is>
      </c>
      <c r="E1188" t="inlineStr">
        <is>
          <t>ÅNGE</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28085-2025</t>
        </is>
      </c>
      <c r="B1189" s="1" t="n">
        <v>45817.71924768519</v>
      </c>
      <c r="C1189" s="1" t="n">
        <v>45929</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40755-2023</t>
        </is>
      </c>
      <c r="B1190" s="1" t="n">
        <v>45170</v>
      </c>
      <c r="C1190" s="1" t="n">
        <v>45929</v>
      </c>
      <c r="D1190" t="inlineStr">
        <is>
          <t>VÄSTERNORRLANDS LÄN</t>
        </is>
      </c>
      <c r="E1190" t="inlineStr">
        <is>
          <t>ÅNGE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28143-2025</t>
        </is>
      </c>
      <c r="B1191" s="1" t="n">
        <v>45818.34546296296</v>
      </c>
      <c r="C1191" s="1" t="n">
        <v>45929</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28404-2025</t>
        </is>
      </c>
      <c r="B1192" s="1" t="n">
        <v>45819.34532407407</v>
      </c>
      <c r="C1192" s="1" t="n">
        <v>45929</v>
      </c>
      <c r="D1192" t="inlineStr">
        <is>
          <t>VÄSTERNORRLANDS LÄN</t>
        </is>
      </c>
      <c r="E1192" t="inlineStr">
        <is>
          <t>ÅNGE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28896-2025</t>
        </is>
      </c>
      <c r="B1193" s="1" t="n">
        <v>45820.63584490741</v>
      </c>
      <c r="C1193" s="1" t="n">
        <v>45929</v>
      </c>
      <c r="D1193" t="inlineStr">
        <is>
          <t>VÄSTERNORRLANDS LÄN</t>
        </is>
      </c>
      <c r="E1193" t="inlineStr">
        <is>
          <t>ÅNGE</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28819-2025</t>
        </is>
      </c>
      <c r="B1194" s="1" t="n">
        <v>45820.53758101852</v>
      </c>
      <c r="C1194" s="1" t="n">
        <v>45929</v>
      </c>
      <c r="D1194" t="inlineStr">
        <is>
          <t>VÄSTERNORRLANDS LÄN</t>
        </is>
      </c>
      <c r="E1194" t="inlineStr">
        <is>
          <t>ÅNGE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28845-2025</t>
        </is>
      </c>
      <c r="B1195" s="1" t="n">
        <v>45820.57324074074</v>
      </c>
      <c r="C1195" s="1" t="n">
        <v>45929</v>
      </c>
      <c r="D1195" t="inlineStr">
        <is>
          <t>VÄSTERNORRLANDS LÄN</t>
        </is>
      </c>
      <c r="E1195" t="inlineStr">
        <is>
          <t>ÅNGE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28814-2025</t>
        </is>
      </c>
      <c r="B1196" s="1" t="n">
        <v>45820.52846064815</v>
      </c>
      <c r="C1196" s="1" t="n">
        <v>45929</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28717-2025</t>
        </is>
      </c>
      <c r="B1197" s="1" t="n">
        <v>45820</v>
      </c>
      <c r="C1197" s="1" t="n">
        <v>45929</v>
      </c>
      <c r="D1197" t="inlineStr">
        <is>
          <t>VÄSTERNORRLANDS LÄN</t>
        </is>
      </c>
      <c r="E1197" t="inlineStr">
        <is>
          <t>ÅNGE</t>
        </is>
      </c>
      <c r="F1197" t="inlineStr">
        <is>
          <t>SCA</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29350-2025</t>
        </is>
      </c>
      <c r="B1198" s="1" t="n">
        <v>45824.53206018519</v>
      </c>
      <c r="C1198" s="1" t="n">
        <v>45929</v>
      </c>
      <c r="D1198" t="inlineStr">
        <is>
          <t>VÄSTERNORRLANDS LÄN</t>
        </is>
      </c>
      <c r="E1198" t="inlineStr">
        <is>
          <t>ÅNGE</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29153-2025</t>
        </is>
      </c>
      <c r="B1199" s="1" t="n">
        <v>45821.63574074074</v>
      </c>
      <c r="C1199" s="1" t="n">
        <v>45929</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41284-2024</t>
        </is>
      </c>
      <c r="B1200" s="1" t="n">
        <v>45559.59520833333</v>
      </c>
      <c r="C1200" s="1" t="n">
        <v>45929</v>
      </c>
      <c r="D1200" t="inlineStr">
        <is>
          <t>VÄSTERNORRLANDS LÄN</t>
        </is>
      </c>
      <c r="E1200" t="inlineStr">
        <is>
          <t>ÅNGE</t>
        </is>
      </c>
      <c r="F1200" t="inlineStr">
        <is>
          <t>SCA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32901-2023</t>
        </is>
      </c>
      <c r="B1201" s="1" t="n">
        <v>45124.95063657407</v>
      </c>
      <c r="C1201" s="1" t="n">
        <v>45929</v>
      </c>
      <c r="D1201" t="inlineStr">
        <is>
          <t>VÄSTERNORRLANDS LÄN</t>
        </is>
      </c>
      <c r="E1201" t="inlineStr">
        <is>
          <t>ÅNGE</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16903-2024</t>
        </is>
      </c>
      <c r="B1202" s="1" t="n">
        <v>45411.63106481481</v>
      </c>
      <c r="C1202" s="1" t="n">
        <v>45929</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16915-2024</t>
        </is>
      </c>
      <c r="B1203" s="1" t="n">
        <v>45411.65185185185</v>
      </c>
      <c r="C1203" s="1" t="n">
        <v>45929</v>
      </c>
      <c r="D1203" t="inlineStr">
        <is>
          <t>VÄSTERNORRLANDS LÄN</t>
        </is>
      </c>
      <c r="E1203" t="inlineStr">
        <is>
          <t>ÅNGE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5613-2024</t>
        </is>
      </c>
      <c r="B1204" s="1" t="n">
        <v>45334</v>
      </c>
      <c r="C1204" s="1" t="n">
        <v>45929</v>
      </c>
      <c r="D1204" t="inlineStr">
        <is>
          <t>VÄSTERNORRLANDS LÄN</t>
        </is>
      </c>
      <c r="E1204" t="inlineStr">
        <is>
          <t>ÅNGE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54456-2024</t>
        </is>
      </c>
      <c r="B1205" s="1" t="n">
        <v>45617.53160879629</v>
      </c>
      <c r="C1205" s="1" t="n">
        <v>45929</v>
      </c>
      <c r="D1205" t="inlineStr">
        <is>
          <t>VÄSTERNORRLANDS LÄN</t>
        </is>
      </c>
      <c r="E1205" t="inlineStr">
        <is>
          <t>ÅNGE</t>
        </is>
      </c>
      <c r="F1205" t="inlineStr">
        <is>
          <t>SCA</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29862-2025</t>
        </is>
      </c>
      <c r="B1206" s="1" t="n">
        <v>45826.3465625</v>
      </c>
      <c r="C1206" s="1" t="n">
        <v>45929</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29882-2025</t>
        </is>
      </c>
      <c r="B1207" s="1" t="n">
        <v>45826.36548611111</v>
      </c>
      <c r="C1207" s="1" t="n">
        <v>45929</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25311-2023</t>
        </is>
      </c>
      <c r="B1208" s="1" t="n">
        <v>45086.93869212963</v>
      </c>
      <c r="C1208" s="1" t="n">
        <v>45929</v>
      </c>
      <c r="D1208" t="inlineStr">
        <is>
          <t>VÄSTERNORRLANDS LÄN</t>
        </is>
      </c>
      <c r="E1208" t="inlineStr">
        <is>
          <t>ÅNGE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29916-2025</t>
        </is>
      </c>
      <c r="B1209" s="1" t="n">
        <v>45826.41822916667</v>
      </c>
      <c r="C1209" s="1" t="n">
        <v>45929</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29560-2025</t>
        </is>
      </c>
      <c r="B1210" s="1" t="n">
        <v>45825.36497685185</v>
      </c>
      <c r="C1210" s="1" t="n">
        <v>45929</v>
      </c>
      <c r="D1210" t="inlineStr">
        <is>
          <t>VÄSTERNORRLANDS LÄN</t>
        </is>
      </c>
      <c r="E1210" t="inlineStr">
        <is>
          <t>ÅNGE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4904-2024</t>
        </is>
      </c>
      <c r="B1211" s="1" t="n">
        <v>45329.47856481482</v>
      </c>
      <c r="C1211" s="1" t="n">
        <v>45929</v>
      </c>
      <c r="D1211" t="inlineStr">
        <is>
          <t>VÄSTERNORRLANDS LÄN</t>
        </is>
      </c>
      <c r="E1211" t="inlineStr">
        <is>
          <t>ÅNGE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29786-2025</t>
        </is>
      </c>
      <c r="B1212" s="1" t="n">
        <v>45825.65663194445</v>
      </c>
      <c r="C1212" s="1" t="n">
        <v>45929</v>
      </c>
      <c r="D1212" t="inlineStr">
        <is>
          <t>VÄSTERNORRLANDS LÄN</t>
        </is>
      </c>
      <c r="E1212" t="inlineStr">
        <is>
          <t>ÅNGE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29462-2024</t>
        </is>
      </c>
      <c r="B1213" s="1" t="n">
        <v>45483.96979166667</v>
      </c>
      <c r="C1213" s="1" t="n">
        <v>45929</v>
      </c>
      <c r="D1213" t="inlineStr">
        <is>
          <t>VÄSTERNORRLANDS LÄN</t>
        </is>
      </c>
      <c r="E1213" t="inlineStr">
        <is>
          <t>ÅNGE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44178-2023</t>
        </is>
      </c>
      <c r="B1214" s="1" t="n">
        <v>45183</v>
      </c>
      <c r="C1214" s="1" t="n">
        <v>45929</v>
      </c>
      <c r="D1214" t="inlineStr">
        <is>
          <t>VÄSTERNORRLANDS LÄN</t>
        </is>
      </c>
      <c r="E1214" t="inlineStr">
        <is>
          <t>ÅNGE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30475-2025</t>
        </is>
      </c>
      <c r="B1215" s="1" t="n">
        <v>45828.34444444445</v>
      </c>
      <c r="C1215" s="1" t="n">
        <v>45929</v>
      </c>
      <c r="D1215" t="inlineStr">
        <is>
          <t>VÄSTERNORRLANDS LÄN</t>
        </is>
      </c>
      <c r="E1215" t="inlineStr">
        <is>
          <t>ÅNGE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8648-2025</t>
        </is>
      </c>
      <c r="B1216" s="1" t="n">
        <v>45712.34501157407</v>
      </c>
      <c r="C1216" s="1" t="n">
        <v>45929</v>
      </c>
      <c r="D1216" t="inlineStr">
        <is>
          <t>VÄSTERNORRLANDS LÄN</t>
        </is>
      </c>
      <c r="E1216" t="inlineStr">
        <is>
          <t>ÅNGE</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27952-2024</t>
        </is>
      </c>
      <c r="B1217" s="1" t="n">
        <v>45476.33063657407</v>
      </c>
      <c r="C1217" s="1" t="n">
        <v>45929</v>
      </c>
      <c r="D1217" t="inlineStr">
        <is>
          <t>VÄSTERNORRLANDS LÄN</t>
        </is>
      </c>
      <c r="E1217" t="inlineStr">
        <is>
          <t>ÅNGE</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32439-2024</t>
        </is>
      </c>
      <c r="B1218" s="1" t="n">
        <v>45512</v>
      </c>
      <c r="C1218" s="1" t="n">
        <v>45929</v>
      </c>
      <c r="D1218" t="inlineStr">
        <is>
          <t>VÄSTERNORRLANDS LÄN</t>
        </is>
      </c>
      <c r="E1218" t="inlineStr">
        <is>
          <t>ÅNGE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51054-2024</t>
        </is>
      </c>
      <c r="B1219" s="1" t="n">
        <v>45603</v>
      </c>
      <c r="C1219" s="1" t="n">
        <v>45929</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60363-2024</t>
        </is>
      </c>
      <c r="B1220" s="1" t="n">
        <v>45643</v>
      </c>
      <c r="C1220" s="1" t="n">
        <v>45929</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51070-2024</t>
        </is>
      </c>
      <c r="B1221" s="1" t="n">
        <v>45603</v>
      </c>
      <c r="C1221" s="1" t="n">
        <v>45929</v>
      </c>
      <c r="D1221" t="inlineStr">
        <is>
          <t>VÄSTERNORRLANDS LÄN</t>
        </is>
      </c>
      <c r="E1221" t="inlineStr">
        <is>
          <t>ÅNGE</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60514-2024</t>
        </is>
      </c>
      <c r="B1222" s="1" t="n">
        <v>45643.67474537037</v>
      </c>
      <c r="C1222" s="1" t="n">
        <v>45929</v>
      </c>
      <c r="D1222" t="inlineStr">
        <is>
          <t>VÄSTERNORRLANDS LÄN</t>
        </is>
      </c>
      <c r="E1222" t="inlineStr">
        <is>
          <t>ÅNGE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52665-2024</t>
        </is>
      </c>
      <c r="B1223" s="1" t="n">
        <v>45610.36549768518</v>
      </c>
      <c r="C1223" s="1" t="n">
        <v>45929</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30875-2025</t>
        </is>
      </c>
      <c r="B1224" s="1" t="n">
        <v>45832.34447916667</v>
      </c>
      <c r="C1224" s="1" t="n">
        <v>45929</v>
      </c>
      <c r="D1224" t="inlineStr">
        <is>
          <t>VÄSTERNORRLANDS LÄN</t>
        </is>
      </c>
      <c r="E1224" t="inlineStr">
        <is>
          <t>ÅNGE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31211-2025</t>
        </is>
      </c>
      <c r="B1225" s="1" t="n">
        <v>45832.71938657408</v>
      </c>
      <c r="C1225" s="1" t="n">
        <v>45929</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30618-2025</t>
        </is>
      </c>
      <c r="B1226" s="1" t="n">
        <v>45831.46909722222</v>
      </c>
      <c r="C1226" s="1" t="n">
        <v>45929</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31188-2025</t>
        </is>
      </c>
      <c r="B1227" s="1" t="n">
        <v>45832.67842592593</v>
      </c>
      <c r="C1227" s="1" t="n">
        <v>45929</v>
      </c>
      <c r="D1227" t="inlineStr">
        <is>
          <t>VÄSTERNORRLANDS LÄN</t>
        </is>
      </c>
      <c r="E1227" t="inlineStr">
        <is>
          <t>ÅNGE</t>
        </is>
      </c>
      <c r="F1227" t="inlineStr">
        <is>
          <t>SCA</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41831-2021</t>
        </is>
      </c>
      <c r="B1228" s="1" t="n">
        <v>44425.92212962963</v>
      </c>
      <c r="C1228" s="1" t="n">
        <v>45929</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31042-2025</t>
        </is>
      </c>
      <c r="B1229" s="1" t="n">
        <v>45832.55267361111</v>
      </c>
      <c r="C1229" s="1" t="n">
        <v>45929</v>
      </c>
      <c r="D1229" t="inlineStr">
        <is>
          <t>VÄSTERNORRLANDS LÄN</t>
        </is>
      </c>
      <c r="E1229" t="inlineStr">
        <is>
          <t>ÅNGE</t>
        </is>
      </c>
      <c r="F1229" t="inlineStr">
        <is>
          <t>SCA</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31135-2025</t>
        </is>
      </c>
      <c r="B1230" s="1" t="n">
        <v>45832.63581018519</v>
      </c>
      <c r="C1230" s="1" t="n">
        <v>45929</v>
      </c>
      <c r="D1230" t="inlineStr">
        <is>
          <t>VÄSTERNORRLANDS LÄN</t>
        </is>
      </c>
      <c r="E1230" t="inlineStr">
        <is>
          <t>ÅNGE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30892-2025</t>
        </is>
      </c>
      <c r="B1231" s="1" t="n">
        <v>45832.34663194444</v>
      </c>
      <c r="C1231" s="1" t="n">
        <v>45929</v>
      </c>
      <c r="D1231" t="inlineStr">
        <is>
          <t>VÄSTERNORRLANDS LÄN</t>
        </is>
      </c>
      <c r="E1231" t="inlineStr">
        <is>
          <t>ÅNGE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57815-2024</t>
        </is>
      </c>
      <c r="B1232" s="1" t="n">
        <v>45631.37068287037</v>
      </c>
      <c r="C1232" s="1" t="n">
        <v>45929</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30598-2025</t>
        </is>
      </c>
      <c r="B1233" s="1" t="n">
        <v>45831.44834490741</v>
      </c>
      <c r="C1233" s="1" t="n">
        <v>45929</v>
      </c>
      <c r="D1233" t="inlineStr">
        <is>
          <t>VÄSTERNORRLANDS LÄN</t>
        </is>
      </c>
      <c r="E1233" t="inlineStr">
        <is>
          <t>ÅNGE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6691-2024</t>
        </is>
      </c>
      <c r="B1234" s="1" t="n">
        <v>45341</v>
      </c>
      <c r="C1234" s="1" t="n">
        <v>45929</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12123-2024</t>
        </is>
      </c>
      <c r="B1235" s="1" t="n">
        <v>45377</v>
      </c>
      <c r="C1235" s="1" t="n">
        <v>45929</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31041-2025</t>
        </is>
      </c>
      <c r="B1236" s="1" t="n">
        <v>45832.55247685185</v>
      </c>
      <c r="C1236" s="1" t="n">
        <v>45929</v>
      </c>
      <c r="D1236" t="inlineStr">
        <is>
          <t>VÄSTERNORRLANDS LÄN</t>
        </is>
      </c>
      <c r="E1236" t="inlineStr">
        <is>
          <t>ÅNGE</t>
        </is>
      </c>
      <c r="F1236" t="inlineStr">
        <is>
          <t>SCA</t>
        </is>
      </c>
      <c r="G1236" t="n">
        <v>15.1</v>
      </c>
      <c r="H1236" t="n">
        <v>0</v>
      </c>
      <c r="I1236" t="n">
        <v>0</v>
      </c>
      <c r="J1236" t="n">
        <v>0</v>
      </c>
      <c r="K1236" t="n">
        <v>0</v>
      </c>
      <c r="L1236" t="n">
        <v>0</v>
      </c>
      <c r="M1236" t="n">
        <v>0</v>
      </c>
      <c r="N1236" t="n">
        <v>0</v>
      </c>
      <c r="O1236" t="n">
        <v>0</v>
      </c>
      <c r="P1236" t="n">
        <v>0</v>
      </c>
      <c r="Q1236" t="n">
        <v>0</v>
      </c>
      <c r="R1236" s="2" t="inlineStr"/>
    </row>
    <row r="1237" ht="15" customHeight="1">
      <c r="A1237" t="inlineStr">
        <is>
          <t>A 31139-2025</t>
        </is>
      </c>
      <c r="B1237" s="1" t="n">
        <v>45832.63633101852</v>
      </c>
      <c r="C1237" s="1" t="n">
        <v>45929</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30877-2025</t>
        </is>
      </c>
      <c r="B1238" s="1" t="n">
        <v>45832.34478009259</v>
      </c>
      <c r="C1238" s="1" t="n">
        <v>45929</v>
      </c>
      <c r="D1238" t="inlineStr">
        <is>
          <t>VÄSTERNORRLANDS LÄN</t>
        </is>
      </c>
      <c r="E1238" t="inlineStr">
        <is>
          <t>ÅNGE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30888-2025</t>
        </is>
      </c>
      <c r="B1239" s="1" t="n">
        <v>45832.34606481482</v>
      </c>
      <c r="C1239" s="1" t="n">
        <v>45929</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12806-2025</t>
        </is>
      </c>
      <c r="B1240" s="1" t="n">
        <v>45733.61518518518</v>
      </c>
      <c r="C1240" s="1" t="n">
        <v>45929</v>
      </c>
      <c r="D1240" t="inlineStr">
        <is>
          <t>VÄSTERNORRLANDS LÄN</t>
        </is>
      </c>
      <c r="E1240" t="inlineStr">
        <is>
          <t>ÅNGE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31275-2025</t>
        </is>
      </c>
      <c r="B1241" s="1" t="n">
        <v>45833.34459490741</v>
      </c>
      <c r="C1241" s="1" t="n">
        <v>45929</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20024-2023</t>
        </is>
      </c>
      <c r="B1242" s="1" t="n">
        <v>45051</v>
      </c>
      <c r="C1242" s="1" t="n">
        <v>45929</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31452-2025</t>
        </is>
      </c>
      <c r="B1243" s="1" t="n">
        <v>45833.53179398148</v>
      </c>
      <c r="C1243" s="1" t="n">
        <v>45929</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13164-2022</t>
        </is>
      </c>
      <c r="B1244" s="1" t="n">
        <v>44644</v>
      </c>
      <c r="C1244" s="1" t="n">
        <v>45929</v>
      </c>
      <c r="D1244" t="inlineStr">
        <is>
          <t>VÄSTERNORRLANDS LÄN</t>
        </is>
      </c>
      <c r="E1244" t="inlineStr">
        <is>
          <t>ÅNGE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31544-2025</t>
        </is>
      </c>
      <c r="B1245" s="1" t="n">
        <v>45833.63597222222</v>
      </c>
      <c r="C1245" s="1" t="n">
        <v>45929</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31646-2025</t>
        </is>
      </c>
      <c r="B1246" s="1" t="n">
        <v>45834.34563657407</v>
      </c>
      <c r="C1246" s="1" t="n">
        <v>45929</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5456-2024</t>
        </is>
      </c>
      <c r="B1247" s="1" t="n">
        <v>45331</v>
      </c>
      <c r="C1247" s="1" t="n">
        <v>45929</v>
      </c>
      <c r="D1247" t="inlineStr">
        <is>
          <t>VÄSTERNORRLANDS LÄN</t>
        </is>
      </c>
      <c r="E1247" t="inlineStr">
        <is>
          <t>ÅNGE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30474-2024</t>
        </is>
      </c>
      <c r="B1248" s="1" t="n">
        <v>45491</v>
      </c>
      <c r="C1248" s="1" t="n">
        <v>45929</v>
      </c>
      <c r="D1248" t="inlineStr">
        <is>
          <t>VÄSTERNORRLANDS LÄN</t>
        </is>
      </c>
      <c r="E1248" t="inlineStr">
        <is>
          <t>ÅNGE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30475-2024</t>
        </is>
      </c>
      <c r="B1249" s="1" t="n">
        <v>45491</v>
      </c>
      <c r="C1249" s="1" t="n">
        <v>45929</v>
      </c>
      <c r="D1249" t="inlineStr">
        <is>
          <t>VÄSTERNORRLANDS LÄN</t>
        </is>
      </c>
      <c r="E1249" t="inlineStr">
        <is>
          <t>ÅNGE</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31484-2025</t>
        </is>
      </c>
      <c r="B1250" s="1" t="n">
        <v>45833.57418981481</v>
      </c>
      <c r="C1250" s="1" t="n">
        <v>45929</v>
      </c>
      <c r="D1250" t="inlineStr">
        <is>
          <t>VÄSTERNORRLANDS LÄN</t>
        </is>
      </c>
      <c r="E1250" t="inlineStr">
        <is>
          <t>ÅNGE</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31642-2025</t>
        </is>
      </c>
      <c r="B1251" s="1" t="n">
        <v>45834.34474537037</v>
      </c>
      <c r="C1251" s="1" t="n">
        <v>45929</v>
      </c>
      <c r="D1251" t="inlineStr">
        <is>
          <t>VÄSTERNORRLANDS LÄN</t>
        </is>
      </c>
      <c r="E1251" t="inlineStr">
        <is>
          <t>ÅNGE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31666-2025</t>
        </is>
      </c>
      <c r="B1252" s="1" t="n">
        <v>45834.36519675926</v>
      </c>
      <c r="C1252" s="1" t="n">
        <v>45929</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71965-2021</t>
        </is>
      </c>
      <c r="B1253" s="1" t="n">
        <v>44544.32483796297</v>
      </c>
      <c r="C1253" s="1" t="n">
        <v>45929</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56574-2024</t>
        </is>
      </c>
      <c r="B1254" s="1" t="n">
        <v>45625.59616898148</v>
      </c>
      <c r="C1254" s="1" t="n">
        <v>45929</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58087-2024</t>
        </is>
      </c>
      <c r="B1255" s="1" t="n">
        <v>45632.34502314815</v>
      </c>
      <c r="C1255" s="1" t="n">
        <v>45929</v>
      </c>
      <c r="D1255" t="inlineStr">
        <is>
          <t>VÄSTERNORRLANDS LÄN</t>
        </is>
      </c>
      <c r="E1255" t="inlineStr">
        <is>
          <t>ÅNGE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50231-2024</t>
        </is>
      </c>
      <c r="B1256" s="1" t="n">
        <v>45600.55251157407</v>
      </c>
      <c r="C1256" s="1" t="n">
        <v>45929</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10025-2025</t>
        </is>
      </c>
      <c r="B1257" s="1" t="n">
        <v>45719.49002314815</v>
      </c>
      <c r="C1257" s="1" t="n">
        <v>45929</v>
      </c>
      <c r="D1257" t="inlineStr">
        <is>
          <t>VÄSTERNORRLANDS LÄN</t>
        </is>
      </c>
      <c r="E1257" t="inlineStr">
        <is>
          <t>ÅNGE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32025-2025</t>
        </is>
      </c>
      <c r="B1258" s="1" t="n">
        <v>45835.40721064815</v>
      </c>
      <c r="C1258" s="1" t="n">
        <v>45929</v>
      </c>
      <c r="D1258" t="inlineStr">
        <is>
          <t>VÄSTERNORRLANDS LÄN</t>
        </is>
      </c>
      <c r="E1258" t="inlineStr">
        <is>
          <t>ÅNGE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26092-2025</t>
        </is>
      </c>
      <c r="B1259" s="1" t="n">
        <v>45805</v>
      </c>
      <c r="C1259" s="1" t="n">
        <v>45929</v>
      </c>
      <c r="D1259" t="inlineStr">
        <is>
          <t>VÄSTERNORRLANDS LÄN</t>
        </is>
      </c>
      <c r="E1259" t="inlineStr">
        <is>
          <t>ÅNGE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32024-2025</t>
        </is>
      </c>
      <c r="B1260" s="1" t="n">
        <v>45835.40706018519</v>
      </c>
      <c r="C1260" s="1" t="n">
        <v>45929</v>
      </c>
      <c r="D1260" t="inlineStr">
        <is>
          <t>VÄSTERNORRLANDS LÄN</t>
        </is>
      </c>
      <c r="E1260" t="inlineStr">
        <is>
          <t>ÅNGE</t>
        </is>
      </c>
      <c r="F1260" t="inlineStr">
        <is>
          <t>SCA</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32051-2025</t>
        </is>
      </c>
      <c r="B1261" s="1" t="n">
        <v>45835.44185185185</v>
      </c>
      <c r="C1261" s="1" t="n">
        <v>45929</v>
      </c>
      <c r="D1261" t="inlineStr">
        <is>
          <t>VÄSTERNORRLANDS LÄN</t>
        </is>
      </c>
      <c r="E1261" t="inlineStr">
        <is>
          <t>ÅNGE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32847-2025</t>
        </is>
      </c>
      <c r="B1262" s="1" t="n">
        <v>45839.57354166666</v>
      </c>
      <c r="C1262" s="1" t="n">
        <v>45929</v>
      </c>
      <c r="D1262" t="inlineStr">
        <is>
          <t>VÄSTERNORRLANDS LÄN</t>
        </is>
      </c>
      <c r="E1262" t="inlineStr">
        <is>
          <t>ÅNGE</t>
        </is>
      </c>
      <c r="F1262" t="inlineStr">
        <is>
          <t>SCA</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33719-2025</t>
        </is>
      </c>
      <c r="B1263" s="1" t="n">
        <v>45841.90143518519</v>
      </c>
      <c r="C1263" s="1" t="n">
        <v>45929</v>
      </c>
      <c r="D1263" t="inlineStr">
        <is>
          <t>VÄSTERNORRLANDS LÄN</t>
        </is>
      </c>
      <c r="E1263" t="inlineStr">
        <is>
          <t>ÅNGE</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33782-2025</t>
        </is>
      </c>
      <c r="B1264" s="1" t="n">
        <v>45842.40678240741</v>
      </c>
      <c r="C1264" s="1" t="n">
        <v>45929</v>
      </c>
      <c r="D1264" t="inlineStr">
        <is>
          <t>VÄSTERNORRLANDS LÄN</t>
        </is>
      </c>
      <c r="E1264" t="inlineStr">
        <is>
          <t>ÅNGE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33720-2025</t>
        </is>
      </c>
      <c r="B1265" s="1" t="n">
        <v>45841.90605324074</v>
      </c>
      <c r="C1265" s="1" t="n">
        <v>45929</v>
      </c>
      <c r="D1265" t="inlineStr">
        <is>
          <t>VÄSTERNORRLANDS LÄN</t>
        </is>
      </c>
      <c r="E1265" t="inlineStr">
        <is>
          <t>ÅNGE</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59600-2024</t>
        </is>
      </c>
      <c r="B1266" s="1" t="n">
        <v>45638.71763888889</v>
      </c>
      <c r="C1266" s="1" t="n">
        <v>45929</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33806-2025</t>
        </is>
      </c>
      <c r="B1267" s="1" t="n">
        <v>45842.44865740741</v>
      </c>
      <c r="C1267" s="1" t="n">
        <v>45929</v>
      </c>
      <c r="D1267" t="inlineStr">
        <is>
          <t>VÄSTERNORRLANDS LÄN</t>
        </is>
      </c>
      <c r="E1267" t="inlineStr">
        <is>
          <t>ÅNGE</t>
        </is>
      </c>
      <c r="F1267" t="inlineStr">
        <is>
          <t>SCA</t>
        </is>
      </c>
      <c r="G1267" t="n">
        <v>24.6</v>
      </c>
      <c r="H1267" t="n">
        <v>0</v>
      </c>
      <c r="I1267" t="n">
        <v>0</v>
      </c>
      <c r="J1267" t="n">
        <v>0</v>
      </c>
      <c r="K1267" t="n">
        <v>0</v>
      </c>
      <c r="L1267" t="n">
        <v>0</v>
      </c>
      <c r="M1267" t="n">
        <v>0</v>
      </c>
      <c r="N1267" t="n">
        <v>0</v>
      </c>
      <c r="O1267" t="n">
        <v>0</v>
      </c>
      <c r="P1267" t="n">
        <v>0</v>
      </c>
      <c r="Q1267" t="n">
        <v>0</v>
      </c>
      <c r="R1267" s="2" t="inlineStr"/>
    </row>
    <row r="1268" ht="15" customHeight="1">
      <c r="A1268" t="inlineStr">
        <is>
          <t>A 3133-2024</t>
        </is>
      </c>
      <c r="B1268" s="1" t="n">
        <v>45316.55885416667</v>
      </c>
      <c r="C1268" s="1" t="n">
        <v>45929</v>
      </c>
      <c r="D1268" t="inlineStr">
        <is>
          <t>VÄSTERNORRLANDS LÄN</t>
        </is>
      </c>
      <c r="E1268" t="inlineStr">
        <is>
          <t>ÅNGE</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33717-2025</t>
        </is>
      </c>
      <c r="B1269" s="1" t="n">
        <v>45841.89357638889</v>
      </c>
      <c r="C1269" s="1" t="n">
        <v>45929</v>
      </c>
      <c r="D1269" t="inlineStr">
        <is>
          <t>VÄSTERNORRLANDS LÄN</t>
        </is>
      </c>
      <c r="E1269" t="inlineStr">
        <is>
          <t>ÅNGE</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33738-2025</t>
        </is>
      </c>
      <c r="B1270" s="1" t="n">
        <v>45842.33795138889</v>
      </c>
      <c r="C1270" s="1" t="n">
        <v>45929</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17210-2022</t>
        </is>
      </c>
      <c r="B1271" s="1" t="n">
        <v>44677.92701388889</v>
      </c>
      <c r="C1271" s="1" t="n">
        <v>45929</v>
      </c>
      <c r="D1271" t="inlineStr">
        <is>
          <t>VÄSTERNORRLANDS LÄN</t>
        </is>
      </c>
      <c r="E1271" t="inlineStr">
        <is>
          <t>ÅNGE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10195-2024</t>
        </is>
      </c>
      <c r="B1272" s="1" t="n">
        <v>45364</v>
      </c>
      <c r="C1272" s="1" t="n">
        <v>45929</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38703-2025</t>
        </is>
      </c>
      <c r="B1273" s="1" t="n">
        <v>45885.34440972222</v>
      </c>
      <c r="C1273" s="1" t="n">
        <v>45929</v>
      </c>
      <c r="D1273" t="inlineStr">
        <is>
          <t>VÄSTERNORRLANDS LÄN</t>
        </is>
      </c>
      <c r="E1273" t="inlineStr">
        <is>
          <t>ÅNGE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361-2025</t>
        </is>
      </c>
      <c r="B1274" s="1" t="n">
        <v>45660</v>
      </c>
      <c r="C1274" s="1" t="n">
        <v>45929</v>
      </c>
      <c r="D1274" t="inlineStr">
        <is>
          <t>VÄSTERNORRLANDS LÄN</t>
        </is>
      </c>
      <c r="E1274" t="inlineStr">
        <is>
          <t>ÅNGE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12021-2022</t>
        </is>
      </c>
      <c r="B1275" s="1" t="n">
        <v>44635</v>
      </c>
      <c r="C1275" s="1" t="n">
        <v>45929</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60401-2020</t>
        </is>
      </c>
      <c r="B1276" s="1" t="n">
        <v>44152</v>
      </c>
      <c r="C1276" s="1" t="n">
        <v>45929</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38711-2025</t>
        </is>
      </c>
      <c r="B1277" s="1" t="n">
        <v>45886.34450231482</v>
      </c>
      <c r="C1277" s="1" t="n">
        <v>45929</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6690-2024</t>
        </is>
      </c>
      <c r="B1278" s="1" t="n">
        <v>45341</v>
      </c>
      <c r="C1278" s="1" t="n">
        <v>45929</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34019-2025</t>
        </is>
      </c>
      <c r="B1279" s="1" t="n">
        <v>45845.34416666667</v>
      </c>
      <c r="C1279" s="1" t="n">
        <v>45929</v>
      </c>
      <c r="D1279" t="inlineStr">
        <is>
          <t>VÄSTERNORRLANDS LÄN</t>
        </is>
      </c>
      <c r="E1279" t="inlineStr">
        <is>
          <t>ÅNGE</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3977-2025</t>
        </is>
      </c>
      <c r="B1280" s="1" t="n">
        <v>45684</v>
      </c>
      <c r="C1280" s="1" t="n">
        <v>45929</v>
      </c>
      <c r="D1280" t="inlineStr">
        <is>
          <t>VÄSTERNORRLANDS LÄN</t>
        </is>
      </c>
      <c r="E1280" t="inlineStr">
        <is>
          <t>ÅNGE</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34031-2025</t>
        </is>
      </c>
      <c r="B1281" s="1" t="n">
        <v>45845.36508101852</v>
      </c>
      <c r="C1281" s="1" t="n">
        <v>45929</v>
      </c>
      <c r="D1281" t="inlineStr">
        <is>
          <t>VÄSTERNORRLANDS LÄN</t>
        </is>
      </c>
      <c r="E1281" t="inlineStr">
        <is>
          <t>ÅNGE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38715-2025</t>
        </is>
      </c>
      <c r="B1282" s="1" t="n">
        <v>45886.34501157407</v>
      </c>
      <c r="C1282" s="1" t="n">
        <v>45929</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14976-2025</t>
        </is>
      </c>
      <c r="B1283" s="1" t="n">
        <v>45743</v>
      </c>
      <c r="C1283" s="1" t="n">
        <v>45929</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5249-2025</t>
        </is>
      </c>
      <c r="B1284" s="1" t="n">
        <v>45692.34465277778</v>
      </c>
      <c r="C1284" s="1" t="n">
        <v>45929</v>
      </c>
      <c r="D1284" t="inlineStr">
        <is>
          <t>VÄSTERNORRLANDS LÄN</t>
        </is>
      </c>
      <c r="E1284" t="inlineStr">
        <is>
          <t>ÅNGE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39434-2025</t>
        </is>
      </c>
      <c r="B1285" s="1" t="n">
        <v>45889.67811342593</v>
      </c>
      <c r="C1285" s="1" t="n">
        <v>45929</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57271-2024</t>
        </is>
      </c>
      <c r="B1286" s="1" t="n">
        <v>45629.57364583333</v>
      </c>
      <c r="C1286" s="1" t="n">
        <v>45929</v>
      </c>
      <c r="D1286" t="inlineStr">
        <is>
          <t>VÄSTERNORRLANDS LÄN</t>
        </is>
      </c>
      <c r="E1286" t="inlineStr">
        <is>
          <t>ÅNGE</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5369-2022</t>
        </is>
      </c>
      <c r="B1287" s="1" t="n">
        <v>44594.92113425926</v>
      </c>
      <c r="C1287" s="1" t="n">
        <v>45929</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34785-2025</t>
        </is>
      </c>
      <c r="B1288" s="1" t="n">
        <v>45848.67771990741</v>
      </c>
      <c r="C1288" s="1" t="n">
        <v>45929</v>
      </c>
      <c r="D1288" t="inlineStr">
        <is>
          <t>VÄSTERNORRLANDS LÄN</t>
        </is>
      </c>
      <c r="E1288" t="inlineStr">
        <is>
          <t>ÅNGE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39444-2025</t>
        </is>
      </c>
      <c r="B1289" s="1" t="n">
        <v>45889.69826388889</v>
      </c>
      <c r="C1289" s="1" t="n">
        <v>45929</v>
      </c>
      <c r="D1289" t="inlineStr">
        <is>
          <t>VÄSTERNORRLANDS LÄN</t>
        </is>
      </c>
      <c r="E1289" t="inlineStr">
        <is>
          <t>ÅNGE</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34629-2025</t>
        </is>
      </c>
      <c r="B1290" s="1" t="n">
        <v>45847.93006944445</v>
      </c>
      <c r="C1290" s="1" t="n">
        <v>45929</v>
      </c>
      <c r="D1290" t="inlineStr">
        <is>
          <t>VÄSTERNORRLANDS LÄN</t>
        </is>
      </c>
      <c r="E1290" t="inlineStr">
        <is>
          <t>ÅNGE</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22755-2023</t>
        </is>
      </c>
      <c r="B1291" s="1" t="n">
        <v>45071.94127314815</v>
      </c>
      <c r="C1291" s="1" t="n">
        <v>45929</v>
      </c>
      <c r="D1291" t="inlineStr">
        <is>
          <t>VÄSTERNORRLANDS LÄN</t>
        </is>
      </c>
      <c r="E1291" t="inlineStr">
        <is>
          <t>ÅNGE</t>
        </is>
      </c>
      <c r="F1291" t="inlineStr">
        <is>
          <t>SCA</t>
        </is>
      </c>
      <c r="G1291" t="n">
        <v>12.6</v>
      </c>
      <c r="H1291" t="n">
        <v>0</v>
      </c>
      <c r="I1291" t="n">
        <v>0</v>
      </c>
      <c r="J1291" t="n">
        <v>0</v>
      </c>
      <c r="K1291" t="n">
        <v>0</v>
      </c>
      <c r="L1291" t="n">
        <v>0</v>
      </c>
      <c r="M1291" t="n">
        <v>0</v>
      </c>
      <c r="N1291" t="n">
        <v>0</v>
      </c>
      <c r="O1291" t="n">
        <v>0</v>
      </c>
      <c r="P1291" t="n">
        <v>0</v>
      </c>
      <c r="Q1291" t="n">
        <v>0</v>
      </c>
      <c r="R1291" s="2" t="inlineStr"/>
    </row>
    <row r="1292" ht="15" customHeight="1">
      <c r="A1292" t="inlineStr">
        <is>
          <t>A 50419-2022</t>
        </is>
      </c>
      <c r="B1292" s="1" t="n">
        <v>44861</v>
      </c>
      <c r="C1292" s="1" t="n">
        <v>45929</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34591-2025</t>
        </is>
      </c>
      <c r="B1293" s="1" t="n">
        <v>45847.62920138889</v>
      </c>
      <c r="C1293" s="1" t="n">
        <v>45929</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34593-2025</t>
        </is>
      </c>
      <c r="B1294" s="1" t="n">
        <v>45847.6316087963</v>
      </c>
      <c r="C1294" s="1" t="n">
        <v>45929</v>
      </c>
      <c r="D1294" t="inlineStr">
        <is>
          <t>VÄSTERNORRLANDS LÄN</t>
        </is>
      </c>
      <c r="E1294" t="inlineStr">
        <is>
          <t>ÅNGE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42881-2023</t>
        </is>
      </c>
      <c r="B1295" s="1" t="n">
        <v>45182.45256944445</v>
      </c>
      <c r="C1295" s="1" t="n">
        <v>45929</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16450-2025</t>
        </is>
      </c>
      <c r="B1296" s="1" t="n">
        <v>45751.51081018519</v>
      </c>
      <c r="C1296" s="1" t="n">
        <v>45929</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18430-2025</t>
        </is>
      </c>
      <c r="B1297" s="1" t="n">
        <v>45762.63576388889</v>
      </c>
      <c r="C1297" s="1" t="n">
        <v>45929</v>
      </c>
      <c r="D1297" t="inlineStr">
        <is>
          <t>VÄSTERNORRLANDS LÄN</t>
        </is>
      </c>
      <c r="E1297" t="inlineStr">
        <is>
          <t>ÅNGE</t>
        </is>
      </c>
      <c r="F1297" t="inlineStr">
        <is>
          <t>SCA</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43916-2023</t>
        </is>
      </c>
      <c r="B1298" s="1" t="n">
        <v>45187.72152777778</v>
      </c>
      <c r="C1298" s="1" t="n">
        <v>45929</v>
      </c>
      <c r="D1298" t="inlineStr">
        <is>
          <t>VÄSTERNORRLANDS LÄN</t>
        </is>
      </c>
      <c r="E1298" t="inlineStr">
        <is>
          <t>ÅNGE</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20255-2023</t>
        </is>
      </c>
      <c r="B1299" s="1" t="n">
        <v>45055</v>
      </c>
      <c r="C1299" s="1" t="n">
        <v>45929</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54429-2024</t>
        </is>
      </c>
      <c r="B1300" s="1" t="n">
        <v>45617.49087962963</v>
      </c>
      <c r="C1300" s="1" t="n">
        <v>45929</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59222-2020</t>
        </is>
      </c>
      <c r="B1301" s="1" t="n">
        <v>44147</v>
      </c>
      <c r="C1301" s="1" t="n">
        <v>45929</v>
      </c>
      <c r="D1301" t="inlineStr">
        <is>
          <t>VÄSTERNORRLANDS LÄN</t>
        </is>
      </c>
      <c r="E1301" t="inlineStr">
        <is>
          <t>ÅNGE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36492-2023</t>
        </is>
      </c>
      <c r="B1302" s="1" t="n">
        <v>45152.92479166666</v>
      </c>
      <c r="C1302" s="1" t="n">
        <v>45929</v>
      </c>
      <c r="D1302" t="inlineStr">
        <is>
          <t>VÄSTERNORRLANDS LÄN</t>
        </is>
      </c>
      <c r="E1302" t="inlineStr">
        <is>
          <t>ÅNGE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8650-2024</t>
        </is>
      </c>
      <c r="B1303" s="1" t="n">
        <v>45356</v>
      </c>
      <c r="C1303" s="1" t="n">
        <v>45929</v>
      </c>
      <c r="D1303" t="inlineStr">
        <is>
          <t>VÄSTERNORRLANDS LÄN</t>
        </is>
      </c>
      <c r="E1303" t="inlineStr">
        <is>
          <t>ÅNGE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56569-2024</t>
        </is>
      </c>
      <c r="B1304" s="1" t="n">
        <v>45625</v>
      </c>
      <c r="C1304" s="1" t="n">
        <v>45929</v>
      </c>
      <c r="D1304" t="inlineStr">
        <is>
          <t>VÄSTERNORRLANDS LÄN</t>
        </is>
      </c>
      <c r="E1304" t="inlineStr">
        <is>
          <t>ÅNGE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57529-2024</t>
        </is>
      </c>
      <c r="B1305" s="1" t="n">
        <v>45630</v>
      </c>
      <c r="C1305" s="1" t="n">
        <v>45929</v>
      </c>
      <c r="D1305" t="inlineStr">
        <is>
          <t>VÄSTERNORRLANDS LÄN</t>
        </is>
      </c>
      <c r="E1305" t="inlineStr">
        <is>
          <t>ÅNGE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4872-2025</t>
        </is>
      </c>
      <c r="B1306" s="1" t="n">
        <v>45688.67619212963</v>
      </c>
      <c r="C1306" s="1" t="n">
        <v>45929</v>
      </c>
      <c r="D1306" t="inlineStr">
        <is>
          <t>VÄSTERNORRLANDS LÄN</t>
        </is>
      </c>
      <c r="E1306" t="inlineStr">
        <is>
          <t>ÅNGE</t>
        </is>
      </c>
      <c r="F1306" t="inlineStr">
        <is>
          <t>SCA</t>
        </is>
      </c>
      <c r="G1306" t="n">
        <v>31.3</v>
      </c>
      <c r="H1306" t="n">
        <v>0</v>
      </c>
      <c r="I1306" t="n">
        <v>0</v>
      </c>
      <c r="J1306" t="n">
        <v>0</v>
      </c>
      <c r="K1306" t="n">
        <v>0</v>
      </c>
      <c r="L1306" t="n">
        <v>0</v>
      </c>
      <c r="M1306" t="n">
        <v>0</v>
      </c>
      <c r="N1306" t="n">
        <v>0</v>
      </c>
      <c r="O1306" t="n">
        <v>0</v>
      </c>
      <c r="P1306" t="n">
        <v>0</v>
      </c>
      <c r="Q1306" t="n">
        <v>0</v>
      </c>
      <c r="R1306" s="2" t="inlineStr"/>
      <c r="U1306">
        <f>HYPERLINK("https://klasma.github.io/Logging_2260/knärot/A 4872-2025 karta knärot.png", "A 4872-2025")</f>
        <v/>
      </c>
      <c r="V1306">
        <f>HYPERLINK("https://klasma.github.io/Logging_2260/klagomål/A 4872-2025 FSC-klagomål.docx", "A 4872-2025")</f>
        <v/>
      </c>
      <c r="W1306">
        <f>HYPERLINK("https://klasma.github.io/Logging_2260/klagomålsmail/A 4872-2025 FSC-klagomål mail.docx", "A 4872-2025")</f>
        <v/>
      </c>
      <c r="X1306">
        <f>HYPERLINK("https://klasma.github.io/Logging_2260/tillsyn/A 4872-2025 tillsynsbegäran.docx", "A 4872-2025")</f>
        <v/>
      </c>
      <c r="Y1306">
        <f>HYPERLINK("https://klasma.github.io/Logging_2260/tillsynsmail/A 4872-2025 tillsynsbegäran mail.docx", "A 4872-2025")</f>
        <v/>
      </c>
    </row>
    <row r="1307" ht="15" customHeight="1">
      <c r="A1307" t="inlineStr">
        <is>
          <t>A 16973-2025</t>
        </is>
      </c>
      <c r="B1307" s="1" t="n">
        <v>45755.46967592592</v>
      </c>
      <c r="C1307" s="1" t="n">
        <v>45929</v>
      </c>
      <c r="D1307" t="inlineStr">
        <is>
          <t>VÄSTERNORRLANDS LÄN</t>
        </is>
      </c>
      <c r="E1307" t="inlineStr">
        <is>
          <t>ÅNGE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48632-2023</t>
        </is>
      </c>
      <c r="B1308" s="1" t="n">
        <v>45208.57944444445</v>
      </c>
      <c r="C1308" s="1" t="n">
        <v>45929</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8747-2022</t>
        </is>
      </c>
      <c r="B1309" s="1" t="n">
        <v>44614.33912037037</v>
      </c>
      <c r="C1309" s="1" t="n">
        <v>45929</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14888-2022</t>
        </is>
      </c>
      <c r="B1310" s="1" t="n">
        <v>44656</v>
      </c>
      <c r="C1310" s="1" t="n">
        <v>45929</v>
      </c>
      <c r="D1310" t="inlineStr">
        <is>
          <t>VÄSTERNORRLANDS LÄN</t>
        </is>
      </c>
      <c r="E1310" t="inlineStr">
        <is>
          <t>ÅNGE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55329-2023</t>
        </is>
      </c>
      <c r="B1311" s="1" t="n">
        <v>45237</v>
      </c>
      <c r="C1311" s="1" t="n">
        <v>45929</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3986-2025</t>
        </is>
      </c>
      <c r="B1312" s="1" t="n">
        <v>45684.55262731481</v>
      </c>
      <c r="C1312" s="1" t="n">
        <v>45929</v>
      </c>
      <c r="D1312" t="inlineStr">
        <is>
          <t>VÄSTERNORRLANDS LÄN</t>
        </is>
      </c>
      <c r="E1312" t="inlineStr">
        <is>
          <t>ÅNGE</t>
        </is>
      </c>
      <c r="F1312" t="inlineStr">
        <is>
          <t>SCA</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46795-2023</t>
        </is>
      </c>
      <c r="B1313" s="1" t="n">
        <v>45198</v>
      </c>
      <c r="C1313" s="1" t="n">
        <v>45929</v>
      </c>
      <c r="D1313" t="inlineStr">
        <is>
          <t>VÄSTERNORRLANDS LÄN</t>
        </is>
      </c>
      <c r="E1313" t="inlineStr">
        <is>
          <t>ÅNGE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4094-2025</t>
        </is>
      </c>
      <c r="B1314" s="1" t="n">
        <v>45684.6778125</v>
      </c>
      <c r="C1314" s="1" t="n">
        <v>45929</v>
      </c>
      <c r="D1314" t="inlineStr">
        <is>
          <t>VÄSTERNORRLANDS LÄN</t>
        </is>
      </c>
      <c r="E1314" t="inlineStr">
        <is>
          <t>ÅNGE</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39973-2023</t>
        </is>
      </c>
      <c r="B1315" s="1" t="n">
        <v>45168.5858912037</v>
      </c>
      <c r="C1315" s="1" t="n">
        <v>45929</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58637-2023</t>
        </is>
      </c>
      <c r="B1316" s="1" t="n">
        <v>45251</v>
      </c>
      <c r="C1316" s="1" t="n">
        <v>45929</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4236-2025</t>
        </is>
      </c>
      <c r="B1317" s="1" t="n">
        <v>45685.56534722223</v>
      </c>
      <c r="C1317" s="1" t="n">
        <v>45929</v>
      </c>
      <c r="D1317" t="inlineStr">
        <is>
          <t>VÄSTERNORRLANDS LÄN</t>
        </is>
      </c>
      <c r="E1317" t="inlineStr">
        <is>
          <t>ÅNGE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51131-2022</t>
        </is>
      </c>
      <c r="B1318" s="1" t="n">
        <v>44868</v>
      </c>
      <c r="C1318" s="1" t="n">
        <v>45929</v>
      </c>
      <c r="D1318" t="inlineStr">
        <is>
          <t>VÄSTERNORRLANDS LÄN</t>
        </is>
      </c>
      <c r="E1318" t="inlineStr">
        <is>
          <t>ÅNGE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5999-2025</t>
        </is>
      </c>
      <c r="B1319" s="1" t="n">
        <v>45695</v>
      </c>
      <c r="C1319" s="1" t="n">
        <v>45929</v>
      </c>
      <c r="D1319" t="inlineStr">
        <is>
          <t>VÄSTERNORRLANDS LÄN</t>
        </is>
      </c>
      <c r="E1319" t="inlineStr">
        <is>
          <t>ÅNGE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26015-2024</t>
        </is>
      </c>
      <c r="B1320" s="1" t="n">
        <v>45467.95872685185</v>
      </c>
      <c r="C1320" s="1" t="n">
        <v>45929</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26010-2024</t>
        </is>
      </c>
      <c r="B1321" s="1" t="n">
        <v>45467.95819444444</v>
      </c>
      <c r="C1321" s="1" t="n">
        <v>45929</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60365-2024</t>
        </is>
      </c>
      <c r="B1322" s="1" t="n">
        <v>45643</v>
      </c>
      <c r="C1322" s="1" t="n">
        <v>45929</v>
      </c>
      <c r="D1322" t="inlineStr">
        <is>
          <t>VÄSTERNORRLANDS LÄN</t>
        </is>
      </c>
      <c r="E1322" t="inlineStr">
        <is>
          <t>ÅNGE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11871-2025</t>
        </is>
      </c>
      <c r="B1323" s="1" t="n">
        <v>45728.42740740741</v>
      </c>
      <c r="C1323" s="1" t="n">
        <v>45929</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15799-2025</t>
        </is>
      </c>
      <c r="B1324" s="1" t="n">
        <v>45748.64768518518</v>
      </c>
      <c r="C1324" s="1" t="n">
        <v>45929</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47488-2023</t>
        </is>
      </c>
      <c r="B1325" s="1" t="n">
        <v>45202.94168981481</v>
      </c>
      <c r="C1325" s="1" t="n">
        <v>45929</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54982-2023</t>
        </is>
      </c>
      <c r="B1326" s="1" t="n">
        <v>45236</v>
      </c>
      <c r="C1326" s="1" t="n">
        <v>45929</v>
      </c>
      <c r="D1326" t="inlineStr">
        <is>
          <t>VÄSTERNORRLANDS LÄN</t>
        </is>
      </c>
      <c r="E1326" t="inlineStr">
        <is>
          <t>ÅNGE</t>
        </is>
      </c>
      <c r="F1326" t="inlineStr">
        <is>
          <t>SCA</t>
        </is>
      </c>
      <c r="G1326" t="n">
        <v>26.2</v>
      </c>
      <c r="H1326" t="n">
        <v>0</v>
      </c>
      <c r="I1326" t="n">
        <v>0</v>
      </c>
      <c r="J1326" t="n">
        <v>0</v>
      </c>
      <c r="K1326" t="n">
        <v>0</v>
      </c>
      <c r="L1326" t="n">
        <v>0</v>
      </c>
      <c r="M1326" t="n">
        <v>0</v>
      </c>
      <c r="N1326" t="n">
        <v>0</v>
      </c>
      <c r="O1326" t="n">
        <v>0</v>
      </c>
      <c r="P1326" t="n">
        <v>0</v>
      </c>
      <c r="Q1326" t="n">
        <v>0</v>
      </c>
      <c r="R1326" s="2" t="inlineStr"/>
    </row>
    <row r="1327" ht="15" customHeight="1">
      <c r="A1327" t="inlineStr">
        <is>
          <t>A 57560-2023</t>
        </is>
      </c>
      <c r="B1327" s="1" t="n">
        <v>45243</v>
      </c>
      <c r="C1327" s="1" t="n">
        <v>45929</v>
      </c>
      <c r="D1327" t="inlineStr">
        <is>
          <t>VÄSTERNORRLANDS LÄN</t>
        </is>
      </c>
      <c r="E1327" t="inlineStr">
        <is>
          <t>ÅNGE</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57568-2023</t>
        </is>
      </c>
      <c r="B1328" s="1" t="n">
        <v>45246.50484953704</v>
      </c>
      <c r="C1328" s="1" t="n">
        <v>45929</v>
      </c>
      <c r="D1328" t="inlineStr">
        <is>
          <t>VÄSTERNORRLANDS LÄN</t>
        </is>
      </c>
      <c r="E1328" t="inlineStr">
        <is>
          <t>ÅNGE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18112-2025</t>
        </is>
      </c>
      <c r="B1329" s="1" t="n">
        <v>45761.57350694444</v>
      </c>
      <c r="C1329" s="1" t="n">
        <v>45929</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63530-2023</t>
        </is>
      </c>
      <c r="B1330" s="1" t="n">
        <v>45274</v>
      </c>
      <c r="C1330" s="1" t="n">
        <v>45929</v>
      </c>
      <c r="D1330" t="inlineStr">
        <is>
          <t>VÄSTERNORRLANDS LÄN</t>
        </is>
      </c>
      <c r="E1330" t="inlineStr">
        <is>
          <t>ÅNGE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3253-2024</t>
        </is>
      </c>
      <c r="B1331" s="1" t="n">
        <v>45316</v>
      </c>
      <c r="C1331" s="1" t="n">
        <v>45929</v>
      </c>
      <c r="D1331" t="inlineStr">
        <is>
          <t>VÄSTERNORRLANDS LÄN</t>
        </is>
      </c>
      <c r="E1331" t="inlineStr">
        <is>
          <t>ÅNGE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49945-2023</t>
        </is>
      </c>
      <c r="B1332" s="1" t="n">
        <v>45215.3625462963</v>
      </c>
      <c r="C1332" s="1" t="n">
        <v>45929</v>
      </c>
      <c r="D1332" t="inlineStr">
        <is>
          <t>VÄSTERNORRLANDS LÄN</t>
        </is>
      </c>
      <c r="E1332" t="inlineStr">
        <is>
          <t>ÅNGE</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25903-2022</t>
        </is>
      </c>
      <c r="B1333" s="1" t="n">
        <v>44733</v>
      </c>
      <c r="C1333" s="1" t="n">
        <v>45929</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19709-2025</t>
        </is>
      </c>
      <c r="B1334" s="1" t="n">
        <v>45771.34263888889</v>
      </c>
      <c r="C1334" s="1" t="n">
        <v>45929</v>
      </c>
      <c r="D1334" t="inlineStr">
        <is>
          <t>VÄSTERNORRLANDS LÄN</t>
        </is>
      </c>
      <c r="E1334" t="inlineStr">
        <is>
          <t>ÅNGE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19723-2025</t>
        </is>
      </c>
      <c r="B1335" s="1" t="n">
        <v>45771.36490740741</v>
      </c>
      <c r="C1335" s="1" t="n">
        <v>45929</v>
      </c>
      <c r="D1335" t="inlineStr">
        <is>
          <t>VÄSTERNORRLANDS LÄN</t>
        </is>
      </c>
      <c r="E1335" t="inlineStr">
        <is>
          <t>ÅNGE</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24324-2022</t>
        </is>
      </c>
      <c r="B1336" s="1" t="n">
        <v>44725.945</v>
      </c>
      <c r="C1336" s="1" t="n">
        <v>45929</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24325-2022</t>
        </is>
      </c>
      <c r="B1337" s="1" t="n">
        <v>44725.94506944445</v>
      </c>
      <c r="C1337" s="1" t="n">
        <v>45929</v>
      </c>
      <c r="D1337" t="inlineStr">
        <is>
          <t>VÄSTERNORRLANDS LÄN</t>
        </is>
      </c>
      <c r="E1337" t="inlineStr">
        <is>
          <t>ÅNGE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30803-2022</t>
        </is>
      </c>
      <c r="B1338" s="1" t="n">
        <v>44764</v>
      </c>
      <c r="C1338" s="1" t="n">
        <v>45929</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17744-2025</t>
        </is>
      </c>
      <c r="B1339" s="1" t="n">
        <v>45758</v>
      </c>
      <c r="C1339" s="1" t="n">
        <v>45929</v>
      </c>
      <c r="D1339" t="inlineStr">
        <is>
          <t>VÄSTERNORRLANDS LÄN</t>
        </is>
      </c>
      <c r="E1339" t="inlineStr">
        <is>
          <t>ÅNGE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2433-2024</t>
        </is>
      </c>
      <c r="B1340" s="1" t="n">
        <v>45310</v>
      </c>
      <c r="C1340" s="1" t="n">
        <v>45929</v>
      </c>
      <c r="D1340" t="inlineStr">
        <is>
          <t>VÄSTERNORRLANDS LÄN</t>
        </is>
      </c>
      <c r="E1340" t="inlineStr">
        <is>
          <t>ÅNGE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56615-2023</t>
        </is>
      </c>
      <c r="B1341" s="1" t="n">
        <v>45243</v>
      </c>
      <c r="C1341" s="1" t="n">
        <v>45929</v>
      </c>
      <c r="D1341" t="inlineStr">
        <is>
          <t>VÄSTERNORRLANDS LÄN</t>
        </is>
      </c>
      <c r="E1341" t="inlineStr">
        <is>
          <t>ÅNGE</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61461-2023</t>
        </is>
      </c>
      <c r="B1342" s="1" t="n">
        <v>45264.9261574074</v>
      </c>
      <c r="C1342" s="1" t="n">
        <v>45929</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27661-2024</t>
        </is>
      </c>
      <c r="B1343" s="1" t="n">
        <v>45474.95365740741</v>
      </c>
      <c r="C1343" s="1" t="n">
        <v>45929</v>
      </c>
      <c r="D1343" t="inlineStr">
        <is>
          <t>VÄSTERNORRLANDS LÄN</t>
        </is>
      </c>
      <c r="E1343" t="inlineStr">
        <is>
          <t>ÅNGE</t>
        </is>
      </c>
      <c r="F1343" t="inlineStr">
        <is>
          <t>SCA</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45890-2021</t>
        </is>
      </c>
      <c r="B1344" s="1" t="n">
        <v>44441</v>
      </c>
      <c r="C1344" s="1" t="n">
        <v>45929</v>
      </c>
      <c r="D1344" t="inlineStr">
        <is>
          <t>VÄSTERNORRLANDS LÄN</t>
        </is>
      </c>
      <c r="E1344" t="inlineStr">
        <is>
          <t>ÅNGE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60003-2023</t>
        </is>
      </c>
      <c r="B1345" s="1" t="n">
        <v>45257</v>
      </c>
      <c r="C1345" s="1" t="n">
        <v>45929</v>
      </c>
      <c r="D1345" t="inlineStr">
        <is>
          <t>VÄSTERNORRLANDS LÄN</t>
        </is>
      </c>
      <c r="E1345" t="inlineStr">
        <is>
          <t>ÅNGE</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213-2024</t>
        </is>
      </c>
      <c r="B1346" s="1" t="n">
        <v>45293</v>
      </c>
      <c r="C1346" s="1" t="n">
        <v>45929</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40788-2024</t>
        </is>
      </c>
      <c r="B1347" s="1" t="n">
        <v>45558.50974537037</v>
      </c>
      <c r="C1347" s="1" t="n">
        <v>45929</v>
      </c>
      <c r="D1347" t="inlineStr">
        <is>
          <t>VÄSTERNORRLANDS LÄN</t>
        </is>
      </c>
      <c r="E1347" t="inlineStr">
        <is>
          <t>ÅNGE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741-2024</t>
        </is>
      </c>
      <c r="B1348" s="1" t="n">
        <v>45300.46591435185</v>
      </c>
      <c r="C1348" s="1" t="n">
        <v>45929</v>
      </c>
      <c r="D1348" t="inlineStr">
        <is>
          <t>VÄSTERNORRLANDS LÄN</t>
        </is>
      </c>
      <c r="E1348" t="inlineStr">
        <is>
          <t>ÅNGE</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54611-2023</t>
        </is>
      </c>
      <c r="B1349" s="1" t="n">
        <v>45233</v>
      </c>
      <c r="C1349" s="1" t="n">
        <v>45929</v>
      </c>
      <c r="D1349" t="inlineStr">
        <is>
          <t>VÄSTERNORRLANDS LÄN</t>
        </is>
      </c>
      <c r="E1349" t="inlineStr">
        <is>
          <t>ÅNGE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14673-2025</t>
        </is>
      </c>
      <c r="B1350" s="1" t="n">
        <v>45742.55309027778</v>
      </c>
      <c r="C1350" s="1" t="n">
        <v>45929</v>
      </c>
      <c r="D1350" t="inlineStr">
        <is>
          <t>VÄSTERNORRLANDS LÄN</t>
        </is>
      </c>
      <c r="E1350" t="inlineStr">
        <is>
          <t>ÅNGE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15032-2025</t>
        </is>
      </c>
      <c r="B1351" s="1" t="n">
        <v>45743.67748842593</v>
      </c>
      <c r="C1351" s="1" t="n">
        <v>45929</v>
      </c>
      <c r="D1351" t="inlineStr">
        <is>
          <t>VÄSTERNORRLANDS LÄN</t>
        </is>
      </c>
      <c r="E1351" t="inlineStr">
        <is>
          <t>ÅNGE</t>
        </is>
      </c>
      <c r="F1351" t="inlineStr">
        <is>
          <t>SCA</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7692-2024</t>
        </is>
      </c>
      <c r="B1352" s="1" t="n">
        <v>45349</v>
      </c>
      <c r="C1352" s="1" t="n">
        <v>45929</v>
      </c>
      <c r="D1352" t="inlineStr">
        <is>
          <t>VÄSTERNORRLANDS LÄN</t>
        </is>
      </c>
      <c r="E1352" t="inlineStr">
        <is>
          <t>ÅNGE</t>
        </is>
      </c>
      <c r="F1352" t="inlineStr">
        <is>
          <t>SCA</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29673-2024</t>
        </is>
      </c>
      <c r="B1353" s="1" t="n">
        <v>45484.94210648148</v>
      </c>
      <c r="C1353" s="1" t="n">
        <v>45929</v>
      </c>
      <c r="D1353" t="inlineStr">
        <is>
          <t>VÄSTERNORRLANDS LÄN</t>
        </is>
      </c>
      <c r="E1353" t="inlineStr">
        <is>
          <t>ÅNGE</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5602-2025</t>
        </is>
      </c>
      <c r="B1354" s="1" t="n">
        <v>45693</v>
      </c>
      <c r="C1354" s="1" t="n">
        <v>45929</v>
      </c>
      <c r="D1354" t="inlineStr">
        <is>
          <t>VÄSTERNORRLANDS LÄN</t>
        </is>
      </c>
      <c r="E1354" t="inlineStr">
        <is>
          <t>ÅNGE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30751-2024</t>
        </is>
      </c>
      <c r="B1355" s="1" t="n">
        <v>45496.69339120371</v>
      </c>
      <c r="C1355" s="1" t="n">
        <v>45929</v>
      </c>
      <c r="D1355" t="inlineStr">
        <is>
          <t>VÄSTERNORRLANDS LÄN</t>
        </is>
      </c>
      <c r="E1355" t="inlineStr">
        <is>
          <t>ÅNGE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38099-2024</t>
        </is>
      </c>
      <c r="B1356" s="1" t="n">
        <v>45545.35920138889</v>
      </c>
      <c r="C1356" s="1" t="n">
        <v>45929</v>
      </c>
      <c r="D1356" t="inlineStr">
        <is>
          <t>VÄSTERNORRLANDS LÄN</t>
        </is>
      </c>
      <c r="E1356" t="inlineStr">
        <is>
          <t>ÅNGE</t>
        </is>
      </c>
      <c r="F1356" t="inlineStr">
        <is>
          <t>Holmen skog AB</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44636-2024</t>
        </is>
      </c>
      <c r="B1357" s="1" t="n">
        <v>45574.51491898148</v>
      </c>
      <c r="C1357" s="1" t="n">
        <v>45929</v>
      </c>
      <c r="D1357" t="inlineStr">
        <is>
          <t>VÄSTERNORRLANDS LÄN</t>
        </is>
      </c>
      <c r="E1357" t="inlineStr">
        <is>
          <t>ÅNGE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64375-2023</t>
        </is>
      </c>
      <c r="B1358" s="1" t="n">
        <v>45280</v>
      </c>
      <c r="C1358" s="1" t="n">
        <v>45929</v>
      </c>
      <c r="D1358" t="inlineStr">
        <is>
          <t>VÄSTERNORRLANDS LÄN</t>
        </is>
      </c>
      <c r="E1358" t="inlineStr">
        <is>
          <t>ÅNGE</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60296-2021</t>
        </is>
      </c>
      <c r="B1359" s="1" t="n">
        <v>44495</v>
      </c>
      <c r="C1359" s="1" t="n">
        <v>45929</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c r="A1360" t="inlineStr">
        <is>
          <t>A 63556-2021</t>
        </is>
      </c>
      <c r="B1360" s="1" t="n">
        <v>44508.70231481481</v>
      </c>
      <c r="C1360" s="1" t="n">
        <v>45929</v>
      </c>
      <c r="D1360" t="inlineStr">
        <is>
          <t>VÄSTERNORRLANDS LÄN</t>
        </is>
      </c>
      <c r="E1360" t="inlineStr">
        <is>
          <t>ÅNGE</t>
        </is>
      </c>
      <c r="G1360" t="n">
        <v>4.2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2025-09-29T12:16:51Z</dcterms:created>
  <dcterms:modified xmlns:dcterms="http://purl.org/dc/terms/" xmlns:xsi="http://www.w3.org/2001/XMLSchema-instance" xsi:type="dcterms:W3CDTF">2025-09-29T12:16:52Z</dcterms:modified>
</cp:coreProperties>
</file>