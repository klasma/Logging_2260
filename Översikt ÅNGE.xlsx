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45338</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45338</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45338</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45338</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45338</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45338</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45338</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45338</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45338</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45338</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45338</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45338</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45338</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45338</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45338</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45338</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45338</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45338</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45338</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45338</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45338</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45338</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45338</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45338</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45338</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45338</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45338</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45338</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45338</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45338</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45338</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45338</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45338</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45338</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45338</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45338</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45338</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45338</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45338</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45338</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45338</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45338</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45338</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45338</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45338</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45338</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45338</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45338</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45338</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45338</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45338</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45338</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45338</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45338</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45338</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45338</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45338</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45338</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45338</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45338</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45338</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45338</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45338</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32898-2023</t>
        </is>
      </c>
      <c r="B65" s="1" t="n">
        <v>45124</v>
      </c>
      <c r="C65" s="1" t="n">
        <v>45338</v>
      </c>
      <c r="D65" t="inlineStr">
        <is>
          <t>VÄSTERNORRLANDS LÄN</t>
        </is>
      </c>
      <c r="E65" t="inlineStr">
        <is>
          <t>ÅNGE</t>
        </is>
      </c>
      <c r="F65" t="inlineStr">
        <is>
          <t>SCA</t>
        </is>
      </c>
      <c r="G65" t="n">
        <v>9.1</v>
      </c>
      <c r="H65" t="n">
        <v>1</v>
      </c>
      <c r="I65" t="n">
        <v>1</v>
      </c>
      <c r="J65" t="n">
        <v>5</v>
      </c>
      <c r="K65" t="n">
        <v>0</v>
      </c>
      <c r="L65" t="n">
        <v>0</v>
      </c>
      <c r="M65" t="n">
        <v>0</v>
      </c>
      <c r="N65" t="n">
        <v>0</v>
      </c>
      <c r="O65" t="n">
        <v>5</v>
      </c>
      <c r="P65" t="n">
        <v>0</v>
      </c>
      <c r="Q65" t="n">
        <v>6</v>
      </c>
      <c r="R65" s="2" t="inlineStr">
        <is>
          <t>Garnlav
Granticka
Lunglav
Tretåig hackspett
Ullticka
Stuplav</t>
        </is>
      </c>
      <c r="S65">
        <f>HYPERLINK("https://klasma.github.io/Logging_2260/artfynd/A 32898-2023 artfynd.xlsx", "A 32898-2023")</f>
        <v/>
      </c>
      <c r="T65">
        <f>HYPERLINK("https://klasma.github.io/Logging_2260/kartor/A 32898-2023 karta.png",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32897-2023</t>
        </is>
      </c>
      <c r="B66" s="1" t="n">
        <v>45124</v>
      </c>
      <c r="C66" s="1" t="n">
        <v>45338</v>
      </c>
      <c r="D66" t="inlineStr">
        <is>
          <t>VÄSTERNORRLANDS LÄN</t>
        </is>
      </c>
      <c r="E66" t="inlineStr">
        <is>
          <t>ÅNGE</t>
        </is>
      </c>
      <c r="F66" t="inlineStr">
        <is>
          <t>SCA</t>
        </is>
      </c>
      <c r="G66" t="n">
        <v>8.1</v>
      </c>
      <c r="H66" t="n">
        <v>3</v>
      </c>
      <c r="I66" t="n">
        <v>0</v>
      </c>
      <c r="J66" t="n">
        <v>5</v>
      </c>
      <c r="K66" t="n">
        <v>1</v>
      </c>
      <c r="L66" t="n">
        <v>0</v>
      </c>
      <c r="M66" t="n">
        <v>0</v>
      </c>
      <c r="N66" t="n">
        <v>0</v>
      </c>
      <c r="O66" t="n">
        <v>6</v>
      </c>
      <c r="P66" t="n">
        <v>1</v>
      </c>
      <c r="Q66" t="n">
        <v>6</v>
      </c>
      <c r="R66" s="2" t="inlineStr">
        <is>
          <t>Doftticka
Gammelgransskål
Garnlav
Lunglav
Spillkråka
Tretåig hackspett</t>
        </is>
      </c>
      <c r="S66">
        <f>HYPERLINK("https://klasma.github.io/Logging_2260/artfynd/A 32897-2023 artfynd.xlsx", "A 32897-2023")</f>
        <v/>
      </c>
      <c r="T66">
        <f>HYPERLINK("https://klasma.github.io/Logging_2260/kartor/A 32897-2023 karta.png", "A 32897-2023")</f>
        <v/>
      </c>
      <c r="V66">
        <f>HYPERLINK("https://klasma.github.io/Logging_2260/klagomål/A 32897-2023 FSC-klagomål.docx", "A 32897-2023")</f>
        <v/>
      </c>
      <c r="W66">
        <f>HYPERLINK("https://klasma.github.io/Logging_2260/klagomålsmail/A 32897-2023 FSC-klagomål mail.docx", "A 32897-2023")</f>
        <v/>
      </c>
      <c r="X66">
        <f>HYPERLINK("https://klasma.github.io/Logging_2260/tillsyn/A 32897-2023 tillsynsbegäran.docx", "A 32897-2023")</f>
        <v/>
      </c>
      <c r="Y66">
        <f>HYPERLINK("https://klasma.github.io/Logging_2260/tillsynsmail/A 32897-2023 tillsynsbegäran mail.docx", "A 32897-2023")</f>
        <v/>
      </c>
      <c r="Z66">
        <f>HYPERLINK("https://klasma.github.io/Logging_2260/fåglar/A 32897-2023 prioriterade fågelarter.docx", "A 32897-2023")</f>
        <v/>
      </c>
    </row>
    <row r="67" ht="15" customHeight="1">
      <c r="A67" t="inlineStr">
        <is>
          <t>A 34694-2023</t>
        </is>
      </c>
      <c r="B67" s="1" t="n">
        <v>45141</v>
      </c>
      <c r="C67" s="1" t="n">
        <v>45338</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45338</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45338</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45338</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45338</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45338</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45338</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45338</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45338</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45338</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45338</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45338</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45338</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45338</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45338</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45338</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45338</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45338</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45338</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45338</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45338</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45338</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45338</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45338</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45338</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45338</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45338</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45338</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45338</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45338</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45338</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45338</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45338</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45338</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45338</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45338</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45338</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45338</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45338</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45338</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45338</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45338</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45338</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45338</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45338</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45338</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45338</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45338</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45338</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45338</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45338</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45338</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45338</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45338</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45338</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45338</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45338</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45338</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45338</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45338</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45338</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45338</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45338</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45338</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45338</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45338</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45338</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45338</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45338</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45338</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45338</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45338</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45338</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45338</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45338</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45338</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45338</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45338</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45338</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45338</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45338</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45338</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45338</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45338</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45338</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45338</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45338</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45338</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45338</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45338</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45338</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45338</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45338</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45338</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45338</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45338</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45338</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45338</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45338</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45338</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45338</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45338</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45338</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45338</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45338</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45338</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45338</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45338</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45338</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45338</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45338</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45338</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45338</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45338</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45338</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45338</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45338</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45338</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45338</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45338</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45338</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45338</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45338</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45338</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45338</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45338</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45338</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45338</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45338</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45338</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45338</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45338</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45338</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45338</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45338</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45338</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45338</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45338</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45338</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45338</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45338</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45338</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45338</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45338</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45338</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45338</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45338</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45338</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45338</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45338</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45338</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45338</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45338</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45338</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45338</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45338</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45338</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45338</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45338</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45338</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45338</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45338</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45338</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45338</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45338</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45338</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45338</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45338</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45338</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45338</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45338</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45338</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45338</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45338</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45338</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45338</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45338</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45338</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45338</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45338</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45338</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45338</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45338</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45338</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45338</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45338</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45338</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45338</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45338</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45338</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45338</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45338</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45338</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45338</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45338</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45338</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45338</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45338</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45338</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45338</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45338</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45338</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45338</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45338</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45338</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45338</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45338</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45338</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45338</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45338</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45338</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45338</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45338</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45338</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45338</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45338</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45338</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45338</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45338</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45338</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45338</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45338</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45338</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45338</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45338</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45338</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45338</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45338</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45338</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45338</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45338</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45338</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45338</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45338</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45338</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45338</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45338</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45338</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45338</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45338</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45338</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45338</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45338</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45338</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45338</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45338</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45338</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45338</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45338</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45338</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45338</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45338</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45338</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45338</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45338</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45338</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45338</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45338</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45338</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45338</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45338</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45338</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45338</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45338</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45338</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45338</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45338</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45338</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45338</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45338</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45338</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45338</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45338</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45338</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45338</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45338</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45338</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45338</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45338</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45338</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45338</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45338</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45338</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45338</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45338</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45338</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45338</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45338</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45338</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45338</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45338</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45338</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45338</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45338</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45338</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45338</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45338</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45338</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45338</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45338</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45338</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45338</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45338</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45338</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45338</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45338</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45338</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45338</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45338</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45338</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45338</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45338</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45338</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45338</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45338</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45338</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45338</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45338</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45338</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45338</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45338</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45338</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45338</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45338</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45338</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45338</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45338</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45338</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45338</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45338</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45338</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45338</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45338</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45338</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45338</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45338</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45338</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45338</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45338</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45338</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45338</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45338</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45338</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45338</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45338</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45338</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45338</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45338</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45338</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45338</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45338</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45338</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45338</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45338</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45338</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45338</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45338</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45338</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45338</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45338</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45338</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45338</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45338</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45338</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45338</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45338</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45338</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45338</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45338</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45338</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45338</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45338</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45338</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45338</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45338</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45338</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45338</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45338</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45338</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45338</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45338</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45338</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45338</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45338</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45338</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45338</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45338</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45338</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45338</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45338</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45338</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45338</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45338</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45338</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45338</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45338</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45338</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45338</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45338</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45338</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45338</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45338</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45338</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45338</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45338</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45338</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45338</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45338</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45338</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45338</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45338</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45338</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45338</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45338</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45338</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45338</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45338</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45338</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45338</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45338</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45338</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45338</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45338</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45338</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45338</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45338</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45338</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45338</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45338</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45338</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45338</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45338</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45338</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45338</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45338</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45338</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45338</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45338</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45338</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45338</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45338</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45338</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45338</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45338</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45338</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45338</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45338</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45338</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45338</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45338</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45338</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45338</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45338</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45338</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45338</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45338</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45338</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45338</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45338</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45338</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45338</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45338</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45338</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45338</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45338</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45338</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45338</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45338</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45338</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45338</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45338</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45338</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45338</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45338</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45338</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45338</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45338</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45338</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45338</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45338</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45338</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45338</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45338</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45338</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45338</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45338</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45338</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45338</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45338</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45338</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45338</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45338</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45338</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45338</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45338</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45338</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45338</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45338</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45338</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45338</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45338</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45338</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45338</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45338</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45338</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45338</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45338</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45338</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45338</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45338</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45338</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45338</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45338</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45338</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45338</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45338</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45338</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45338</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45338</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45338</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45338</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45338</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45338</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45338</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45338</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45338</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45338</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45338</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45338</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45338</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45338</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45338</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45338</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45338</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45338</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45338</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45338</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45338</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45338</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45338</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45338</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45338</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45338</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45338</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45338</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45338</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45338</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45338</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45338</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45338</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45338</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45338</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45338</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45338</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45338</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45338</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45338</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45338</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45338</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45338</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45338</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45338</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45338</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45338</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45338</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45338</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45338</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45338</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45338</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45338</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45338</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45338</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45338</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45338</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45338</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45338</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45338</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45338</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45338</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45338</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45338</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45338</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45338</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45338</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45338</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45338</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45338</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45338</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45338</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45338</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45338</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45338</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45338</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45338</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45338</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45338</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45338</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45338</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45338</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45338</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45338</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45338</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45338</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45338</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45338</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45338</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45338</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45338</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45338</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45338</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45338</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45338</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45338</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45338</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45338</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45338</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45338</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45338</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45338</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45338</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45338</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45338</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45338</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45338</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45338</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45338</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45338</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45338</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45338</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45338</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45338</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45338</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45338</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45338</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45338</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45338</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45338</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45338</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45338</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45338</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45338</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45338</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45338</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45338</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45338</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45338</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45338</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45338</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45338</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45338</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45338</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45338</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45338</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45338</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45338</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45338</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45338</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45338</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45338</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45338</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45338</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45338</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45338</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45338</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45338</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45338</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45338</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45338</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45338</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45338</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45338</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45338</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45338</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45338</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45338</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45338</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45338</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45338</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45338</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45338</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45338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45338</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45338</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45338</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45338</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45338</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45338</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45338</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45338</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45338</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45338</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45338</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45338</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45338</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45338</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45338</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45338</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45338</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45338</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45338</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45338</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45338</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45338</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45338</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45338</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45338</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45338</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45338</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45338</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45338</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45338</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45338</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45338</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45338</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45338</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45338</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45338</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45338</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45338</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45338</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45338</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45338</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45338</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45338</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45338</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45338</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45338</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45338</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45338</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45338</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45338</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45338</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45338</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45338</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45338</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45338</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45338</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45338</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45338</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45338</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45338</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45338</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45338</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45338</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45338</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45338</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45338</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45338</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45338</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45338</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45338</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45338</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45338</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45338</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45338</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45338</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45338</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45338</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45338</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45338</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45338</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45338</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45338</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45338</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45338</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45338</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45338</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45338</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45338</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45338</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45338</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45338</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45338</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45338</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45338</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45338</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45338</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45338</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45338</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45338</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45338</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45338</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45338</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45338</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45338</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45338</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45338</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45338</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45338</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45338</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45338</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45338</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45338</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45338</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45338</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45338</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45338</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45338</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45338</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45338</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45338</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45338</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45338</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45338</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45338</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45338</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45338</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45338</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45338</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45338</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45338</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45338</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45338</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45338</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45338</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45338</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45338</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45338</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45338</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45338</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45338</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45338</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45338</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45338</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45338</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45338</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45338</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45338</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45338</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45338</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45338</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45338</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45338</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45338</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45338</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45338</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45338</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45338</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45338</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45338</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45338</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45338</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45338</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45338</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45338</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45338</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45338</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45338</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45338</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45338</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45338</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45338</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45338</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45338</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45338</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45338</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45338</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45338</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45338</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45338</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45338</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45338</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45338</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45338</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45338</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45338</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45338</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45338</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45338</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45338</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45338</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45338</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45338</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45338</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45338</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45338</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45338</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45338</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45338</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45338</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45338</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45338</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45338</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45338</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45338</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45338</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45338</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45338</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45338</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45338</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45338</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45338</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45338</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45338</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45338</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45338</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45338</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45338</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45338</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45338</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45338</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45338</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45338</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45338</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45338</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45338</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45338</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45338</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45338</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45338</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45338</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45338</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45338</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45338</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45338</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45338</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45338</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45338</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45338</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45338</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45338</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45338</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45338</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45338</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45338</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45338</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45338</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45338</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45338</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45338</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45338</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45338</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45338</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45338</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45338</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45338</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45338</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45338</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45338</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45338</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45338</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45338</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45338</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45338</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45338</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45338</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45338</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45338</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45338</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45338</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45338</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45338</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45338</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45338</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45338</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45338</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45338</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45338</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45338</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45338</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45338</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45338</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45338</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45338</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45338</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45338</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45338</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45338</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45338</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45338</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45338</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45338</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45338</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45338</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45338</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45338</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45338</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45338</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45338</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45338</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45338</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45338</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45338</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45338</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45338</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45338</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45338</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45338</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45338</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45338</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45338</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45338</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45338</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45338</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45338</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45338</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45338</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45338</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45338</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45338</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45338</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45338</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45338</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45338</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45338</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45338</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45338</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45338</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45338</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45338</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45338</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45338</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45338</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45338</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45338</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45338</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45338</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45338</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45338</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45338</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45338</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45338</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45338</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45338</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45338</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45338</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45338</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45338</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45338</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45338</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45338</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45338</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45338</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45338</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45338</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45338</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45338</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45338</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45338</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45338</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45338</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45338</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45338</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45338</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45338</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45338</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45338</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45338</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45338</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45338</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45338</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45338</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45338</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45338</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45338</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45338</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45338</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45338</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45338</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45338</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45338</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45338</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45338</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45338</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45338</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45338</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45338</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45338</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45338</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45338</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45338</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45338</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45338</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45338</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45338</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45338</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45338</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45338</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45338</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45338</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45338</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45338</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45338</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45338</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45338</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45338</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45338</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45338</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45338</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45338</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45338</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45338</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45338</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45338</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45338</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45338</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45338</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45338</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45338</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45338</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45338</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45338</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45338</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45338</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45338</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45338</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45338</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45338</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45338</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45338</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45338</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45338</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45338</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45338</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45338</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45338</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45338</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45338</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45338</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45338</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45338</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45338</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45338</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45338</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45338</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45338</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45338</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45338</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45338</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45338</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45338</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45338</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45338</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45338</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45338</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45338</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45338</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45338</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45338</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45338</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45338</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45338</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45338</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45338</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45338</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45338</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45338</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45338</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45338</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45338</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45338</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45338</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45338</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45338</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45338</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45338</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45338</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45338</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45338</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45338</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45338</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45338</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45338</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45338</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45338</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45338</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45338</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45338</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45338</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45338</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45338</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45338</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45338</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45338</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45338</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45338</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45338</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45338</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45338</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45338</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45338</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45338</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45338</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45338</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45338</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45338</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45338</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45338</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45338</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45338</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45338</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45338</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45338</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45338</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45338</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45338</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45338</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45338</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45338</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45338</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45338</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45338</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45338</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45338</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45338</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45338</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45338</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45338</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45338</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45338</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45338</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45338</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45338</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45338</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45338</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45338</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45338</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45338</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45338</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45338</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45338</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45338</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45338</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45338</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45338</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45338</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45338</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45338</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45338</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45338</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45338</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45338</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45338</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45338</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45338</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45338</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45338</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45338</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45338</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45338</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45338</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45338</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45338</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45338</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45338</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45338</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45338</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45338</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45338</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45338</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45338</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45338</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45338</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45338</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45338</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45338</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45338</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45338</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45338</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45338</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45338</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45338</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45338</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45338</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45338</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45338</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45338</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45338</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45338</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45338</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45338</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45338</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45338</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45338</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45338</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45338</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45338</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45338</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45338</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45338</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45338</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45338</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45338</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45338</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45338</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45338</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45338</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45338</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45338</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45338</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45338</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45338</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45338</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45338</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45338</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45338</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45338</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45338</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45338</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45338</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45338</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45338</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45338</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45338</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45338</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45338</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45338</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45338</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45338</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45338</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45338</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45338</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45338</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45338</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45338</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45338</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45338</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45338</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45338</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45338</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45338</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45338</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45338</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45338</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45338</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45338</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45338</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45338</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45338</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45338</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45338</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45338</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45338</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45338</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45338</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45338</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45338</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45338</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45338</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45338</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45338</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45338</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45338</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45338</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45338</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45338</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45338</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45338</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45338</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45338</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45338</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45338</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45338</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45338</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45338</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45338</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45338</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45338</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45338</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45338</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45338</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45338</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45338</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45338</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45338</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45338</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45338</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45338</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45338</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45338</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45338</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45338</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45338</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45338</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45338</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45338</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45338</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45338</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45338</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45338</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45338</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45338</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45338</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45338</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45338</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45338</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45338</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45338</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45338</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45338</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45338</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45338</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45338</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45338</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45338</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45338</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45338</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45338</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45338</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45338</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45338</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45338</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45338</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45338</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45338</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45338</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45338</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45338</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45338</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45338</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45338</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45338</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45338</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45338</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45338</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45338</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45338</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45338</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45338</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45338</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45338</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45338</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45338</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45338</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45338</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45338</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45338</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45338</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45338</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45338</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45338</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45338</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45338</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45338</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45338</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45338</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45338</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45338</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45338</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45338</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45338</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45338</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45338</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45338</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45338</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45338</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45338</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45338</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45338</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45338</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45338</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45338</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45338</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45338</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45338</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45338</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45338</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45338</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45338</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45338</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45338</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45338</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45338</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45338</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45338</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45338</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45338</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45338</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45338</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45338</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45338</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45338</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45338</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45338</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45338</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45338</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45338</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45338</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45338</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45338</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45338</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45338</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45338</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45338</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45338</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45338</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45338</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45338</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45338</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45338</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45338</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45338</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45338</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45338</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45338</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45338</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45338</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45338</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45338</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45338</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45338</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45338</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45338</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45338</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45338</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45338</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45338</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45338</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45338</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45338</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45338</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45338</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45338</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45338</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45338</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45338</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45338</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45338</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45338</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45338</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45338</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45338</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45338</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45338</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45338</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45338</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45338</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45338</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45338</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45338</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45338</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45338</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45338</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45338</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45338</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45338</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45338</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45338</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45338</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45338</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45338</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45338</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45338</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45338</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45338</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45338</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45338</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45338</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45338</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45338</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45338</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45338</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45338</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45338</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45338</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45338</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45338</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45338</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45338</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45338</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45338</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45338</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45338</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45338</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45338</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45338</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45338</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45338</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45338</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45338</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45338</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45338</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45338</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45338</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45338</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45338</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45338</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45338</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45338</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45338</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2436-2024</t>
        </is>
      </c>
      <c r="B1647" s="1" t="n">
        <v>45310</v>
      </c>
      <c r="C1647" s="1" t="n">
        <v>45338</v>
      </c>
      <c r="D1647" t="inlineStr">
        <is>
          <t>VÄSTERNORRLANDS LÄN</t>
        </is>
      </c>
      <c r="E1647" t="inlineStr">
        <is>
          <t>ÅNGE</t>
        </is>
      </c>
      <c r="F1647" t="inlineStr">
        <is>
          <t>SCA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2432-2024</t>
        </is>
      </c>
      <c r="B1648" s="1" t="n">
        <v>45310</v>
      </c>
      <c r="C1648" s="1" t="n">
        <v>45338</v>
      </c>
      <c r="D1648" t="inlineStr">
        <is>
          <t>VÄSTERNORRLANDS LÄN</t>
        </is>
      </c>
      <c r="E1648" t="inlineStr">
        <is>
          <t>ÅNGE</t>
        </is>
      </c>
      <c r="F1648" t="inlineStr">
        <is>
          <t>SCA</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2435-2024</t>
        </is>
      </c>
      <c r="B1649" s="1" t="n">
        <v>45310</v>
      </c>
      <c r="C1649" s="1" t="n">
        <v>45338</v>
      </c>
      <c r="D1649" t="inlineStr">
        <is>
          <t>VÄSTERNORRLANDS LÄN</t>
        </is>
      </c>
      <c r="E1649" t="inlineStr">
        <is>
          <t>ÅNGE</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2415-2024</t>
        </is>
      </c>
      <c r="B1650" s="1" t="n">
        <v>45310</v>
      </c>
      <c r="C1650" s="1" t="n">
        <v>45338</v>
      </c>
      <c r="D1650" t="inlineStr">
        <is>
          <t>VÄSTERNORRLANDS LÄN</t>
        </is>
      </c>
      <c r="E1650" t="inlineStr">
        <is>
          <t>ÅNGE</t>
        </is>
      </c>
      <c r="F1650" t="inlineStr">
        <is>
          <t>Kyrkan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2434-2024</t>
        </is>
      </c>
      <c r="B1651" s="1" t="n">
        <v>45310</v>
      </c>
      <c r="C1651" s="1" t="n">
        <v>45338</v>
      </c>
      <c r="D1651" t="inlineStr">
        <is>
          <t>VÄSTERNORRLANDS LÄN</t>
        </is>
      </c>
      <c r="E1651" t="inlineStr">
        <is>
          <t>ÅNGE</t>
        </is>
      </c>
      <c r="F1651" t="inlineStr">
        <is>
          <t>SCA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2433-2024</t>
        </is>
      </c>
      <c r="B1652" s="1" t="n">
        <v>45310</v>
      </c>
      <c r="C1652" s="1" t="n">
        <v>45338</v>
      </c>
      <c r="D1652" t="inlineStr">
        <is>
          <t>VÄSTERNORRLANDS LÄN</t>
        </is>
      </c>
      <c r="E1652" t="inlineStr">
        <is>
          <t>ÅNGE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45338</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45338</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3253-2024</t>
        </is>
      </c>
      <c r="B1655" s="1" t="n">
        <v>45316</v>
      </c>
      <c r="C1655" s="1" t="n">
        <v>45338</v>
      </c>
      <c r="D1655" t="inlineStr">
        <is>
          <t>VÄSTERNORRLANDS LÄN</t>
        </is>
      </c>
      <c r="E1655" t="inlineStr">
        <is>
          <t>ÅNGE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45338</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3249-2024</t>
        </is>
      </c>
      <c r="B1657" s="1" t="n">
        <v>45316</v>
      </c>
      <c r="C1657" s="1" t="n">
        <v>45338</v>
      </c>
      <c r="D1657" t="inlineStr">
        <is>
          <t>VÄSTERNORRLANDS LÄN</t>
        </is>
      </c>
      <c r="E1657" t="inlineStr">
        <is>
          <t>ÅNGE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3256-2024</t>
        </is>
      </c>
      <c r="B1658" s="1" t="n">
        <v>45316</v>
      </c>
      <c r="C1658" s="1" t="n">
        <v>45338</v>
      </c>
      <c r="D1658" t="inlineStr">
        <is>
          <t>VÄSTERNORRLANDS LÄN</t>
        </is>
      </c>
      <c r="E1658" t="inlineStr">
        <is>
          <t>ÅNGE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3133-2024</t>
        </is>
      </c>
      <c r="B1659" s="1" t="n">
        <v>45316</v>
      </c>
      <c r="C1659" s="1" t="n">
        <v>45338</v>
      </c>
      <c r="D1659" t="inlineStr">
        <is>
          <t>VÄSTERNORRLANDS LÄN</t>
        </is>
      </c>
      <c r="E1659" t="inlineStr">
        <is>
          <t>ÅNGE</t>
        </is>
      </c>
      <c r="F1659" t="inlineStr">
        <is>
          <t>Holmen skog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45338</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45338</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45338</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45338</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45338</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45338</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45338</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45338</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45338</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4140-2024</t>
        </is>
      </c>
      <c r="B1669" s="1" t="n">
        <v>45323</v>
      </c>
      <c r="C1669" s="1" t="n">
        <v>45338</v>
      </c>
      <c r="D1669" t="inlineStr">
        <is>
          <t>VÄSTERNORRLANDS LÄN</t>
        </is>
      </c>
      <c r="E1669" t="inlineStr">
        <is>
          <t>ÅNGE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4172-2024</t>
        </is>
      </c>
      <c r="B1670" s="1" t="n">
        <v>45323</v>
      </c>
      <c r="C1670" s="1" t="n">
        <v>45338</v>
      </c>
      <c r="D1670" t="inlineStr">
        <is>
          <t>VÄSTERNORRLANDS LÄN</t>
        </is>
      </c>
      <c r="E1670" t="inlineStr">
        <is>
          <t>ÅNGE</t>
        </is>
      </c>
      <c r="F1670" t="inlineStr">
        <is>
          <t>SCA</t>
        </is>
      </c>
      <c r="G1670" t="n">
        <v>29.8</v>
      </c>
      <c r="H1670" t="n">
        <v>0</v>
      </c>
      <c r="I1670" t="n">
        <v>0</v>
      </c>
      <c r="J1670" t="n">
        <v>0</v>
      </c>
      <c r="K1670" t="n">
        <v>0</v>
      </c>
      <c r="L1670" t="n">
        <v>0</v>
      </c>
      <c r="M1670" t="n">
        <v>0</v>
      </c>
      <c r="N1670" t="n">
        <v>0</v>
      </c>
      <c r="O1670" t="n">
        <v>0</v>
      </c>
      <c r="P1670" t="n">
        <v>0</v>
      </c>
      <c r="Q1670" t="n">
        <v>0</v>
      </c>
      <c r="R1670" s="2" t="inlineStr"/>
    </row>
    <row r="1671" ht="15" customHeight="1">
      <c r="A1671" t="inlineStr">
        <is>
          <t>A 4166-2024</t>
        </is>
      </c>
      <c r="B1671" s="1" t="n">
        <v>45323</v>
      </c>
      <c r="C1671" s="1" t="n">
        <v>45338</v>
      </c>
      <c r="D1671" t="inlineStr">
        <is>
          <t>VÄSTERNORRLANDS LÄN</t>
        </is>
      </c>
      <c r="E1671" t="inlineStr">
        <is>
          <t>ÅNGE</t>
        </is>
      </c>
      <c r="G1671" t="n">
        <v>10.6</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45338</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45338</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45338</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45338</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45338</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45338</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4810-2024</t>
        </is>
      </c>
      <c r="B1678" s="1" t="n">
        <v>45328</v>
      </c>
      <c r="C1678" s="1" t="n">
        <v>45338</v>
      </c>
      <c r="D1678" t="inlineStr">
        <is>
          <t>VÄSTERNORRLANDS LÄN</t>
        </is>
      </c>
      <c r="E1678" t="inlineStr">
        <is>
          <t>ÅNGE</t>
        </is>
      </c>
      <c r="F1678" t="inlineStr">
        <is>
          <t>SCA</t>
        </is>
      </c>
      <c r="G1678" t="n">
        <v>15.8</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45338</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4898-2024</t>
        </is>
      </c>
      <c r="B1680" s="1" t="n">
        <v>45329</v>
      </c>
      <c r="C1680" s="1" t="n">
        <v>45338</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45338</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45331</v>
      </c>
      <c r="C1682" s="1" t="n">
        <v>45338</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45338</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45338</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5613-2024</t>
        </is>
      </c>
      <c r="B1685" s="1" t="n">
        <v>45334</v>
      </c>
      <c r="C1685" s="1" t="n">
        <v>45338</v>
      </c>
      <c r="D1685" t="inlineStr">
        <is>
          <t>VÄSTERNORRLANDS LÄN</t>
        </is>
      </c>
      <c r="E1685" t="inlineStr">
        <is>
          <t>ÅNGE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45338</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45338</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45338</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c r="A1689" t="inlineStr">
        <is>
          <t>A 6285-2024</t>
        </is>
      </c>
      <c r="B1689" s="1" t="n">
        <v>45337</v>
      </c>
      <c r="C1689" s="1" t="n">
        <v>45338</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2024-02-16T16:07:24Z</dcterms:created>
  <dcterms:modified xmlns:dcterms="http://purl.org/dc/terms/" xmlns:xsi="http://www.w3.org/2001/XMLSchema-instance" xsi:type="dcterms:W3CDTF">2024-02-16T16:07:25Z</dcterms:modified>
</cp:coreProperties>
</file>